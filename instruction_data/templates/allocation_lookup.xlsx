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projects/onesky_financial_agent/instruction_data/templates/"/>
    </mc:Choice>
  </mc:AlternateContent>
  <xr:revisionPtr revIDLastSave="0" documentId="8_{F6ED0565-B0E3-554B-9DFF-A41D2C2C52B8}" xr6:coauthVersionLast="47" xr6:coauthVersionMax="47" xr10:uidLastSave="{00000000-0000-0000-0000-000000000000}"/>
  <bookViews>
    <workbookView xWindow="780" yWindow="1000" windowWidth="27640" windowHeight="15520" xr2:uid="{3CFA7C63-352C-B641-971E-C18FCED00617}"/>
  </bookViews>
  <sheets>
    <sheet name="Lookup2_Allocation" sheetId="1" r:id="rId1"/>
  </sheets>
  <externalReferences>
    <externalReference r:id="rId2"/>
  </externalReferences>
  <definedNames>
    <definedName name="CHActCashBalance">#REF!</definedName>
    <definedName name="CHExpenseForcast">#REF!</definedName>
    <definedName name="CHFundrasingForcast">#REF!</definedName>
    <definedName name="CHManagementForcast">#REF!</definedName>
    <definedName name="CHQ4CashAvailableMonth">#REF!</definedName>
    <definedName name="CHQ4CashBalance">#REF!</definedName>
    <definedName name="CHRevenueForcast">#REF!</definedName>
    <definedName name="CHYTDExpense">#REF!</definedName>
    <definedName name="CHYTDRevenue">#REF!</definedName>
    <definedName name="CHYTDRevenueVariance">#REF!</definedName>
    <definedName name="Combined">#REF!</definedName>
    <definedName name="CombinedForcastNet">#REF!</definedName>
    <definedName name="CombinedYTDExpense">#REF!</definedName>
    <definedName name="CombinedYTDExpenseVariance">#REF!</definedName>
    <definedName name="CombinedYTDNet">#REF!</definedName>
    <definedName name="CombinedYTDNetVariance">#REF!</definedName>
    <definedName name="CombinedYTDRevenue">#REF!</definedName>
    <definedName name="CombinedYTDVariance">#REF!</definedName>
    <definedName name="ConbimedExpenseForcast">#REF!</definedName>
    <definedName name="ConbimedProgramExpenseForcast">#REF!</definedName>
    <definedName name="NewCountryForcast">#REF!</definedName>
    <definedName name="NewCountryForcastVariance">#REF!</definedName>
    <definedName name="NewCountryYTD">#REF!</definedName>
    <definedName name="NewcountryYTDVariance">#REF!</definedName>
    <definedName name="OSCashalance">#REF!</definedName>
    <definedName name="OSCashalanceAct">#REF!</definedName>
    <definedName name="OSCashEndBalance">#REF!</definedName>
    <definedName name="OSExpenseForcast">#REF!</definedName>
    <definedName name="OSExpenseForcastRenovation">#REF!</definedName>
    <definedName name="OSForcastNet">#REF!</definedName>
    <definedName name="OSForcastNetVariance">#REF!</definedName>
    <definedName name="OSFundrasingForcast">#REF!</definedName>
    <definedName name="OSHKCenterCashBalance">#REF!</definedName>
    <definedName name="OSManagementForcast">#REF!</definedName>
    <definedName name="OSProgramAnnual">#REF!</definedName>
    <definedName name="OSRevenueForcast">#REF!</definedName>
    <definedName name="OSRevenueForcastVariance">#REF!</definedName>
    <definedName name="OSYTDExpense">#REF!</definedName>
    <definedName name="OSYTDExpenseVariance">#REF!</definedName>
    <definedName name="OSYTDNet">#REF!</definedName>
    <definedName name="OSYTDRevenue">#REF!</definedName>
    <definedName name="OSYTDRevenueVariance">#REF!</definedName>
    <definedName name="RateOSAnnualVsLast">#REF!</definedName>
    <definedName name="RateOSYTDRevenue">#REF!</definedName>
    <definedName name="UnresNetAnnual">#REF!</definedName>
    <definedName name="UnresNetDiff">#REF!</definedName>
    <definedName name="UnresNetYTD">#REF!</definedName>
    <definedName name="YTDCashBalance">#REF!</definedName>
    <definedName name="YTDMonthOfCash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AB6" i="1"/>
  <c r="AD6" i="1" s="1"/>
  <c r="AC6" i="1"/>
  <c r="AI6" i="1" s="1"/>
  <c r="AE6" i="1"/>
  <c r="AF6" i="1"/>
  <c r="AG6" i="1"/>
  <c r="AH6" i="1"/>
  <c r="J7" i="1"/>
  <c r="AB7" i="1"/>
  <c r="AC7" i="1" s="1"/>
  <c r="J8" i="1"/>
  <c r="AB8" i="1"/>
  <c r="AC8" i="1"/>
  <c r="AI8" i="1" s="1"/>
  <c r="AJ8" i="1" s="1"/>
  <c r="AD8" i="1"/>
  <c r="AE8" i="1"/>
  <c r="AF8" i="1"/>
  <c r="AG8" i="1"/>
  <c r="AH8" i="1"/>
  <c r="J9" i="1"/>
  <c r="AB9" i="1"/>
  <c r="AG9" i="1" s="1"/>
  <c r="AC9" i="1"/>
  <c r="AD9" i="1"/>
  <c r="AE9" i="1"/>
  <c r="AF9" i="1"/>
  <c r="J10" i="1"/>
  <c r="AB10" i="1"/>
  <c r="AE10" i="1" s="1"/>
  <c r="AC10" i="1"/>
  <c r="AD10" i="1"/>
  <c r="J11" i="1"/>
  <c r="AB11" i="1"/>
  <c r="AC11" i="1" s="1"/>
  <c r="J12" i="1"/>
  <c r="AB12" i="1"/>
  <c r="AC12" i="1"/>
  <c r="AI12" i="1" s="1"/>
  <c r="AJ12" i="1" s="1"/>
  <c r="AD12" i="1"/>
  <c r="AE12" i="1"/>
  <c r="AF12" i="1"/>
  <c r="AG12" i="1"/>
  <c r="AH12" i="1"/>
  <c r="J13" i="1"/>
  <c r="AB13" i="1"/>
  <c r="AG13" i="1" s="1"/>
  <c r="AC13" i="1"/>
  <c r="AD13" i="1"/>
  <c r="AE13" i="1"/>
  <c r="AF13" i="1"/>
  <c r="J14" i="1"/>
  <c r="AB14" i="1"/>
  <c r="AE14" i="1" s="1"/>
  <c r="AC14" i="1"/>
  <c r="AD14" i="1"/>
  <c r="J15" i="1"/>
  <c r="AB15" i="1"/>
  <c r="AC15" i="1" s="1"/>
  <c r="J16" i="1"/>
  <c r="AB16" i="1"/>
  <c r="AC16" i="1"/>
  <c r="AI16" i="1" s="1"/>
  <c r="AJ16" i="1" s="1"/>
  <c r="AD16" i="1"/>
  <c r="AE16" i="1"/>
  <c r="AF16" i="1"/>
  <c r="AG16" i="1"/>
  <c r="AH16" i="1"/>
  <c r="J17" i="1"/>
  <c r="AB17" i="1"/>
  <c r="AG17" i="1" s="1"/>
  <c r="AC17" i="1"/>
  <c r="AD17" i="1"/>
  <c r="AE17" i="1"/>
  <c r="AF17" i="1"/>
  <c r="J18" i="1"/>
  <c r="AB18" i="1"/>
  <c r="AE18" i="1" s="1"/>
  <c r="AC18" i="1"/>
  <c r="AD18" i="1"/>
  <c r="J19" i="1"/>
  <c r="AB19" i="1"/>
  <c r="AC19" i="1" s="1"/>
  <c r="J20" i="1"/>
  <c r="AB20" i="1"/>
  <c r="AC20" i="1"/>
  <c r="AI20" i="1" s="1"/>
  <c r="AJ20" i="1" s="1"/>
  <c r="AD20" i="1"/>
  <c r="AE20" i="1"/>
  <c r="AF20" i="1"/>
  <c r="AG20" i="1"/>
  <c r="AH20" i="1"/>
  <c r="J21" i="1"/>
  <c r="AB21" i="1"/>
  <c r="AG21" i="1" s="1"/>
  <c r="AC21" i="1"/>
  <c r="AD21" i="1"/>
  <c r="AE21" i="1"/>
  <c r="AF21" i="1"/>
  <c r="J22" i="1"/>
  <c r="AB22" i="1"/>
  <c r="AE22" i="1" s="1"/>
  <c r="AC22" i="1"/>
  <c r="AD22" i="1"/>
  <c r="O24" i="1"/>
  <c r="AB24" i="1" s="1"/>
  <c r="P24" i="1"/>
  <c r="Q24" i="1"/>
  <c r="V24" i="1"/>
  <c r="AI17" i="1" l="1"/>
  <c r="AJ17" i="1" s="1"/>
  <c r="AJ6" i="1"/>
  <c r="AI10" i="1"/>
  <c r="AJ10" i="1" s="1"/>
  <c r="AI7" i="1"/>
  <c r="AJ7" i="1" s="1"/>
  <c r="AC24" i="1"/>
  <c r="AE7" i="1"/>
  <c r="AD7" i="1"/>
  <c r="AH19" i="1"/>
  <c r="AH15" i="1"/>
  <c r="AH11" i="1"/>
  <c r="AI11" i="1" s="1"/>
  <c r="AJ11" i="1" s="1"/>
  <c r="AH7" i="1"/>
  <c r="AH24" i="1" s="1"/>
  <c r="AG19" i="1"/>
  <c r="AI19" i="1" s="1"/>
  <c r="AJ19" i="1" s="1"/>
  <c r="AG15" i="1"/>
  <c r="AG11" i="1"/>
  <c r="AG7" i="1"/>
  <c r="AH22" i="1"/>
  <c r="AF19" i="1"/>
  <c r="AH18" i="1"/>
  <c r="AF15" i="1"/>
  <c r="AH14" i="1"/>
  <c r="AF11" i="1"/>
  <c r="AH10" i="1"/>
  <c r="AF7" i="1"/>
  <c r="AG22" i="1"/>
  <c r="AI22" i="1" s="1"/>
  <c r="AJ22" i="1" s="1"/>
  <c r="AE19" i="1"/>
  <c r="AG18" i="1"/>
  <c r="AE15" i="1"/>
  <c r="AG14" i="1"/>
  <c r="AI14" i="1" s="1"/>
  <c r="AJ14" i="1" s="1"/>
  <c r="AE11" i="1"/>
  <c r="AG10" i="1"/>
  <c r="AF22" i="1"/>
  <c r="AH21" i="1"/>
  <c r="AI21" i="1" s="1"/>
  <c r="AJ21" i="1" s="1"/>
  <c r="AD19" i="1"/>
  <c r="AF18" i="1"/>
  <c r="AI18" i="1" s="1"/>
  <c r="AJ18" i="1" s="1"/>
  <c r="AH17" i="1"/>
  <c r="AD15" i="1"/>
  <c r="AD24" i="1" s="1"/>
  <c r="AF14" i="1"/>
  <c r="AH13" i="1"/>
  <c r="AI13" i="1" s="1"/>
  <c r="AJ13" i="1" s="1"/>
  <c r="AD11" i="1"/>
  <c r="AF10" i="1"/>
  <c r="AH9" i="1"/>
  <c r="AI9" i="1" s="1"/>
  <c r="AJ9" i="1" s="1"/>
  <c r="AI15" i="1" l="1"/>
  <c r="AJ15" i="1" s="1"/>
  <c r="AF24" i="1"/>
  <c r="AG24" i="1"/>
  <c r="AI24" i="1"/>
  <c r="AE24" i="1"/>
</calcChain>
</file>

<file path=xl/sharedStrings.xml><?xml version="1.0" encoding="utf-8"?>
<sst xmlns="http://schemas.openxmlformats.org/spreadsheetml/2006/main" count="116" uniqueCount="62">
  <si>
    <t>Vietnam Tax Company</t>
  </si>
  <si>
    <t>100% ELC</t>
  </si>
  <si>
    <t>Alice Do Kim Dung</t>
  </si>
  <si>
    <t>ELC</t>
  </si>
  <si>
    <t>Phan Thi Thảo Nguyên</t>
  </si>
  <si>
    <t>Pham Thi  Dieu Loan</t>
  </si>
  <si>
    <t>HBC</t>
  </si>
  <si>
    <t>Tran Thi Que Chi</t>
  </si>
  <si>
    <t>Bui Thi Huong</t>
  </si>
  <si>
    <t>Phan Thi Thao Nguyen</t>
  </si>
  <si>
    <t>Support</t>
  </si>
  <si>
    <t>Huynh My Ngoc</t>
  </si>
  <si>
    <t>Nguyen Thi Thanh Thanh</t>
  </si>
  <si>
    <t>Le Thi Thu Huyen</t>
  </si>
  <si>
    <t>Dang Thanh Canh</t>
  </si>
  <si>
    <t>Truong Thi Hai</t>
  </si>
  <si>
    <t>Nguyen Hong Kim</t>
  </si>
  <si>
    <t>Maggie Huyen Nguyen</t>
  </si>
  <si>
    <t>Thuy Thi Bich Thuy Tran</t>
  </si>
  <si>
    <t>MOET</t>
  </si>
  <si>
    <t>Phan Doan Kim Nhung</t>
  </si>
  <si>
    <t>done</t>
  </si>
  <si>
    <t>Hoang Thi Kieu Oanh</t>
  </si>
  <si>
    <t>100% MOET</t>
  </si>
  <si>
    <t>Sophie Nguyen Thi Bao Nhung</t>
  </si>
  <si>
    <t>Que Chi</t>
  </si>
  <si>
    <t>Hien Thi Hien Vo</t>
  </si>
  <si>
    <t>Total</t>
  </si>
  <si>
    <t>Dự án tập huấn toàn quốc/ National Training</t>
  </si>
  <si>
    <t>ICC Qng</t>
  </si>
  <si>
    <t>ICC HD</t>
  </si>
  <si>
    <t>ICC QN</t>
  </si>
  <si>
    <t>ICC DN</t>
  </si>
  <si>
    <t>ELC training</t>
  </si>
  <si>
    <t>MOET BG</t>
  </si>
  <si>
    <t>MOET BN</t>
  </si>
  <si>
    <t>MOET BD</t>
  </si>
  <si>
    <t>MOET HCM</t>
  </si>
  <si>
    <t>MOET LA</t>
  </si>
  <si>
    <t>QNg ICC</t>
  </si>
  <si>
    <t>HD ICC</t>
  </si>
  <si>
    <t>QN ICC</t>
  </si>
  <si>
    <t>DN ICC</t>
  </si>
  <si>
    <t>General VN</t>
  </si>
  <si>
    <t>In support</t>
  </si>
  <si>
    <t>ELC Operation</t>
  </si>
  <si>
    <t>Month</t>
  </si>
  <si>
    <t>Portion</t>
  </si>
  <si>
    <t>Note</t>
  </si>
  <si>
    <t>Salary Allocation 2024</t>
  </si>
  <si>
    <t>Group</t>
  </si>
  <si>
    <t>Allocation</t>
  </si>
  <si>
    <t>Current booking</t>
  </si>
  <si>
    <t>6 Unit</t>
  </si>
  <si>
    <t>VNMOET</t>
  </si>
  <si>
    <t>VNQNg</t>
  </si>
  <si>
    <t>VNHD</t>
  </si>
  <si>
    <t>VNQN</t>
  </si>
  <si>
    <t>VNDN</t>
  </si>
  <si>
    <t>VNELC</t>
  </si>
  <si>
    <t>Salary Allocation Projection - PACCOM report</t>
  </si>
  <si>
    <t>OneSky 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</si>
</sst>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2"/>
      <color rgb="FF7030A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164" fontId="2" fillId="0" borderId="1" xfId="0" applyNumberFormat="1" applyFont="1" applyBorder="1"/>
    <xf numFmtId="164" fontId="2" fillId="0" borderId="1" xfId="1" applyNumberFormat="1" applyFont="1" applyBorder="1"/>
    <xf numFmtId="0" fontId="2" fillId="0" borderId="1" xfId="0" applyFont="1" applyBorder="1"/>
    <xf numFmtId="9" fontId="2" fillId="0" borderId="1" xfId="0" applyNumberFormat="1" applyFont="1" applyBorder="1" applyAlignment="1">
      <alignment horizontal="center"/>
    </xf>
    <xf numFmtId="9" fontId="2" fillId="0" borderId="1" xfId="2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0" fillId="0" borderId="3" xfId="0" applyBorder="1"/>
    <xf numFmtId="164" fontId="2" fillId="0" borderId="3" xfId="0" applyNumberFormat="1" applyFont="1" applyBorder="1"/>
    <xf numFmtId="164" fontId="0" fillId="0" borderId="3" xfId="1" applyNumberFormat="1" applyFont="1" applyBorder="1"/>
    <xf numFmtId="0" fontId="0" fillId="0" borderId="4" xfId="0" applyBorder="1"/>
    <xf numFmtId="9" fontId="0" fillId="0" borderId="4" xfId="0" applyNumberFormat="1" applyBorder="1" applyAlignment="1">
      <alignment horizontal="center"/>
    </xf>
    <xf numFmtId="9" fontId="0" fillId="0" borderId="4" xfId="2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/>
    <xf numFmtId="164" fontId="0" fillId="0" borderId="0" xfId="0" applyNumberFormat="1"/>
    <xf numFmtId="9" fontId="0" fillId="0" borderId="3" xfId="0" applyNumberFormat="1" applyBorder="1" applyAlignment="1">
      <alignment horizontal="center"/>
    </xf>
    <xf numFmtId="9" fontId="0" fillId="0" borderId="3" xfId="2" applyFont="1" applyFill="1" applyBorder="1" applyAlignment="1">
      <alignment horizontal="center"/>
    </xf>
    <xf numFmtId="164" fontId="2" fillId="0" borderId="5" xfId="0" applyNumberFormat="1" applyFont="1" applyBorder="1"/>
    <xf numFmtId="164" fontId="0" fillId="0" borderId="5" xfId="1" applyNumberFormat="1" applyFont="1" applyBorder="1"/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yle/projects/onesky_financial_agent/instruction_data/ToKyle_OneSky.xlsx" TargetMode="External"/><Relationship Id="rId1" Type="http://schemas.openxmlformats.org/officeDocument/2006/relationships/externalLinkPath" Target="/Users/kyle/projects/onesky_financial_agent/instruction_data/ToKyle_OneSk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Output (Oct)"/>
      <sheetName val="Output(link)"/>
      <sheetName val="(1a)Transactions"/>
      <sheetName val="(1b)PIT+SI"/>
      <sheetName val="(1c)manual input"/>
      <sheetName val="1230"/>
      <sheetName val="1500"/>
      <sheetName val="1252"/>
      <sheetName val="30 Bank (VND)"/>
      <sheetName val="29 Bank (USD)"/>
      <sheetName val="Lookup1_Acct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92823-3FAF-1B42-B256-2FD9D554B093}">
  <dimension ref="A2:AJ27"/>
  <sheetViews>
    <sheetView tabSelected="1" topLeftCell="B1" zoomScale="70" zoomScaleNormal="70" workbookViewId="0">
      <pane xSplit="2" ySplit="5" topLeftCell="D6" activePane="bottomRight" state="frozen"/>
      <selection activeCell="A610" sqref="A610"/>
      <selection pane="topRight" activeCell="A610" sqref="A610"/>
      <selection pane="bottomLeft" activeCell="A610" sqref="A610"/>
      <selection pane="bottomRight" activeCell="I37" sqref="I37"/>
    </sheetView>
  </sheetViews>
  <sheetFormatPr baseColWidth="10" defaultColWidth="8.83203125" defaultRowHeight="15" x14ac:dyDescent="0.2"/>
  <cols>
    <col min="1" max="1" width="38.83203125" bestFit="1" customWidth="1"/>
    <col min="2" max="2" width="8" customWidth="1"/>
    <col min="3" max="3" width="26.33203125" customWidth="1"/>
    <col min="9" max="9" width="23.83203125" customWidth="1"/>
    <col min="11" max="11" width="12.6640625" customWidth="1"/>
    <col min="12" max="12" width="11.5" customWidth="1"/>
    <col min="13" max="13" width="0" hidden="1" customWidth="1"/>
    <col min="14" max="14" width="16.6640625" hidden="1" customWidth="1"/>
    <col min="15" max="15" width="14.33203125" hidden="1" customWidth="1"/>
    <col min="16" max="16" width="15.5" hidden="1" customWidth="1"/>
    <col min="17" max="22" width="15.6640625" hidden="1" customWidth="1"/>
    <col min="23" max="26" width="9" hidden="1" customWidth="1"/>
    <col min="27" max="27" width="12.5" hidden="1" customWidth="1"/>
    <col min="28" max="28" width="17.6640625" hidden="1" customWidth="1"/>
    <col min="29" max="29" width="16.33203125" hidden="1" customWidth="1"/>
    <col min="30" max="33" width="16.1640625" hidden="1" customWidth="1"/>
    <col min="34" max="34" width="21.6640625" hidden="1" customWidth="1"/>
    <col min="35" max="35" width="18.33203125" hidden="1" customWidth="1"/>
    <col min="36" max="36" width="0" hidden="1" customWidth="1"/>
  </cols>
  <sheetData>
    <row r="2" spans="1:36" x14ac:dyDescent="0.2">
      <c r="C2" t="s">
        <v>61</v>
      </c>
      <c r="D2" s="29"/>
      <c r="E2" s="29"/>
      <c r="F2" s="29"/>
      <c r="G2" s="29"/>
      <c r="H2" s="29"/>
      <c r="I2" s="29"/>
      <c r="J2" s="29"/>
    </row>
    <row r="3" spans="1:36" s="30" customFormat="1" ht="17" x14ac:dyDescent="0.2">
      <c r="C3" s="30" t="s">
        <v>60</v>
      </c>
      <c r="D3" s="32" t="s">
        <v>59</v>
      </c>
      <c r="E3" s="32" t="s">
        <v>58</v>
      </c>
      <c r="F3" s="32" t="s">
        <v>57</v>
      </c>
      <c r="G3" s="32" t="s">
        <v>56</v>
      </c>
      <c r="H3" s="32" t="s">
        <v>55</v>
      </c>
      <c r="I3" s="32" t="s">
        <v>54</v>
      </c>
      <c r="J3" s="31"/>
      <c r="N3" s="30" t="s">
        <v>45</v>
      </c>
      <c r="O3" s="30" t="s">
        <v>33</v>
      </c>
      <c r="P3" s="30" t="s">
        <v>44</v>
      </c>
      <c r="Q3" s="30" t="s">
        <v>43</v>
      </c>
      <c r="R3" s="30" t="s">
        <v>42</v>
      </c>
      <c r="S3" s="30" t="s">
        <v>41</v>
      </c>
      <c r="T3" s="30" t="s">
        <v>40</v>
      </c>
      <c r="U3" s="30" t="s">
        <v>39</v>
      </c>
      <c r="V3" s="30" t="s">
        <v>19</v>
      </c>
      <c r="W3" s="30" t="s">
        <v>38</v>
      </c>
      <c r="X3" s="30" t="s">
        <v>37</v>
      </c>
      <c r="Y3" s="30" t="s">
        <v>36</v>
      </c>
      <c r="Z3" s="30" t="s">
        <v>35</v>
      </c>
      <c r="AA3" s="30" t="s">
        <v>34</v>
      </c>
    </row>
    <row r="4" spans="1:36" x14ac:dyDescent="0.2">
      <c r="D4" s="29">
        <v>1</v>
      </c>
      <c r="E4" s="29">
        <v>2</v>
      </c>
      <c r="F4" s="29">
        <v>3</v>
      </c>
      <c r="G4" s="29">
        <v>4</v>
      </c>
      <c r="H4" s="29">
        <v>5</v>
      </c>
      <c r="I4" s="29">
        <v>6</v>
      </c>
      <c r="J4" s="29" t="s">
        <v>53</v>
      </c>
      <c r="N4" t="s">
        <v>52</v>
      </c>
      <c r="AC4" t="s">
        <v>51</v>
      </c>
    </row>
    <row r="5" spans="1:36" ht="32" x14ac:dyDescent="0.2">
      <c r="B5" s="27" t="s">
        <v>50</v>
      </c>
      <c r="C5" s="27" t="s">
        <v>49</v>
      </c>
      <c r="D5" s="28" t="s">
        <v>3</v>
      </c>
      <c r="E5" s="28" t="s">
        <v>32</v>
      </c>
      <c r="F5" s="28" t="s">
        <v>31</v>
      </c>
      <c r="G5" s="28" t="s">
        <v>30</v>
      </c>
      <c r="H5" s="28" t="s">
        <v>29</v>
      </c>
      <c r="I5" s="28" t="s">
        <v>28</v>
      </c>
      <c r="J5" s="28" t="s">
        <v>27</v>
      </c>
      <c r="K5" s="27" t="s">
        <v>48</v>
      </c>
      <c r="L5" s="26" t="s">
        <v>47</v>
      </c>
      <c r="M5" s="25" t="s">
        <v>46</v>
      </c>
      <c r="N5" s="24" t="s">
        <v>45</v>
      </c>
      <c r="O5" s="24" t="s">
        <v>33</v>
      </c>
      <c r="P5" s="24" t="s">
        <v>44</v>
      </c>
      <c r="Q5" s="24" t="s">
        <v>43</v>
      </c>
      <c r="R5" s="24" t="s">
        <v>42</v>
      </c>
      <c r="S5" s="24" t="s">
        <v>41</v>
      </c>
      <c r="T5" s="24" t="s">
        <v>40</v>
      </c>
      <c r="U5" s="24" t="s">
        <v>39</v>
      </c>
      <c r="V5" s="24" t="s">
        <v>19</v>
      </c>
      <c r="W5" s="24" t="s">
        <v>38</v>
      </c>
      <c r="X5" s="24" t="s">
        <v>37</v>
      </c>
      <c r="Y5" s="24" t="s">
        <v>36</v>
      </c>
      <c r="Z5" s="24" t="s">
        <v>35</v>
      </c>
      <c r="AA5" s="24" t="s">
        <v>34</v>
      </c>
      <c r="AB5" s="24" t="s">
        <v>27</v>
      </c>
      <c r="AC5" s="23" t="s">
        <v>33</v>
      </c>
      <c r="AD5" s="23" t="s">
        <v>32</v>
      </c>
      <c r="AE5" s="23" t="s">
        <v>31</v>
      </c>
      <c r="AF5" s="23" t="s">
        <v>30</v>
      </c>
      <c r="AG5" s="23" t="s">
        <v>29</v>
      </c>
      <c r="AH5" s="23" t="s">
        <v>28</v>
      </c>
      <c r="AI5" s="23" t="s">
        <v>27</v>
      </c>
    </row>
    <row r="6" spans="1:36" x14ac:dyDescent="0.2">
      <c r="A6" s="17" t="s">
        <v>26</v>
      </c>
      <c r="B6" s="10" t="s">
        <v>10</v>
      </c>
      <c r="C6" s="10" t="s">
        <v>26</v>
      </c>
      <c r="D6" s="20">
        <v>0</v>
      </c>
      <c r="E6" s="20">
        <v>0.1</v>
      </c>
      <c r="F6" s="20">
        <v>0.1</v>
      </c>
      <c r="G6" s="20">
        <v>0.1</v>
      </c>
      <c r="H6" s="20"/>
      <c r="I6" s="20">
        <v>0.7</v>
      </c>
      <c r="J6" s="19">
        <f>SUM(D6:I6)</f>
        <v>1</v>
      </c>
      <c r="K6" s="10"/>
      <c r="L6">
        <v>5</v>
      </c>
      <c r="M6">
        <v>12024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1">
        <f>P6</f>
        <v>0</v>
      </c>
      <c r="AC6" s="22">
        <f>$AB6*D6</f>
        <v>0</v>
      </c>
      <c r="AD6" s="22">
        <f>$AB6*E6</f>
        <v>0</v>
      </c>
      <c r="AE6" s="22">
        <f>$AB6*F6</f>
        <v>0</v>
      </c>
      <c r="AF6" s="22">
        <f>$AB6*G6</f>
        <v>0</v>
      </c>
      <c r="AG6" s="22">
        <f>$AB6*H6</f>
        <v>0</v>
      </c>
      <c r="AH6" s="22">
        <f>$AB6*I6</f>
        <v>0</v>
      </c>
      <c r="AI6" s="21">
        <f>SUM(AC6:AH6)</f>
        <v>0</v>
      </c>
      <c r="AJ6" s="18">
        <f>AB6-AI6</f>
        <v>0</v>
      </c>
    </row>
    <row r="7" spans="1:36" ht="15" customHeight="1" x14ac:dyDescent="0.2">
      <c r="A7" s="17" t="s">
        <v>18</v>
      </c>
      <c r="B7" s="10" t="s">
        <v>10</v>
      </c>
      <c r="C7" s="10" t="s">
        <v>24</v>
      </c>
      <c r="D7" s="20">
        <v>0</v>
      </c>
      <c r="E7" s="20">
        <v>0.2</v>
      </c>
      <c r="F7" s="20">
        <v>0.2</v>
      </c>
      <c r="G7" s="20">
        <v>0.2</v>
      </c>
      <c r="H7" s="20"/>
      <c r="I7" s="20">
        <v>0.4</v>
      </c>
      <c r="J7" s="19">
        <f>SUM(D7:I7)</f>
        <v>1</v>
      </c>
      <c r="K7" s="10"/>
      <c r="L7">
        <v>5</v>
      </c>
      <c r="M7">
        <v>12024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1">
        <f>P7</f>
        <v>0</v>
      </c>
      <c r="AC7" s="12">
        <f>$AB7*D7</f>
        <v>0</v>
      </c>
      <c r="AD7" s="12">
        <f>$AB7*E7</f>
        <v>0</v>
      </c>
      <c r="AE7" s="12">
        <f>$AB7*F7</f>
        <v>0</v>
      </c>
      <c r="AF7" s="12">
        <f>$AB7*G7</f>
        <v>0</v>
      </c>
      <c r="AG7" s="12">
        <f>$AB7*H7</f>
        <v>0</v>
      </c>
      <c r="AH7" s="12">
        <f>$AB7*I7</f>
        <v>0</v>
      </c>
      <c r="AI7" s="11">
        <f>SUM(AC7:AH7)</f>
        <v>0</v>
      </c>
      <c r="AJ7" s="18">
        <f>AB7-AI7</f>
        <v>0</v>
      </c>
    </row>
    <row r="8" spans="1:36" x14ac:dyDescent="0.2">
      <c r="A8" s="17" t="s">
        <v>25</v>
      </c>
      <c r="B8" s="10" t="s">
        <v>19</v>
      </c>
      <c r="C8" s="10" t="s">
        <v>15</v>
      </c>
      <c r="D8" s="20">
        <v>0</v>
      </c>
      <c r="E8" s="20">
        <v>0.2</v>
      </c>
      <c r="F8" s="20">
        <v>0.2</v>
      </c>
      <c r="G8" s="20">
        <v>0.2</v>
      </c>
      <c r="H8" s="20"/>
      <c r="I8" s="20">
        <v>0.4</v>
      </c>
      <c r="J8" s="19">
        <f>SUM(D8:I8)</f>
        <v>1</v>
      </c>
      <c r="K8" s="10"/>
      <c r="L8">
        <v>5</v>
      </c>
      <c r="M8">
        <v>12024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1">
        <f>V8</f>
        <v>0</v>
      </c>
      <c r="AC8" s="12">
        <f>$AB8*D8</f>
        <v>0</v>
      </c>
      <c r="AD8" s="12">
        <f>$AB8*E8</f>
        <v>0</v>
      </c>
      <c r="AE8" s="12">
        <f>$AB8*F8</f>
        <v>0</v>
      </c>
      <c r="AF8" s="12">
        <f>$AB8*G8</f>
        <v>0</v>
      </c>
      <c r="AG8" s="12">
        <f>$AB8*H8</f>
        <v>0</v>
      </c>
      <c r="AH8" s="12">
        <f>$AB8*I8</f>
        <v>0</v>
      </c>
      <c r="AI8" s="11">
        <f>SUM(AC8:AH8)</f>
        <v>0</v>
      </c>
      <c r="AJ8" s="18">
        <f>AB8-AI8</f>
        <v>0</v>
      </c>
    </row>
    <row r="9" spans="1:36" x14ac:dyDescent="0.2">
      <c r="A9" s="17" t="s">
        <v>17</v>
      </c>
      <c r="B9" s="10" t="s">
        <v>19</v>
      </c>
      <c r="C9" s="10" t="s">
        <v>11</v>
      </c>
      <c r="D9" s="20">
        <v>0</v>
      </c>
      <c r="E9" s="20">
        <v>0</v>
      </c>
      <c r="F9" s="20">
        <v>0</v>
      </c>
      <c r="G9" s="20">
        <v>0</v>
      </c>
      <c r="H9" s="20"/>
      <c r="I9" s="20">
        <v>1</v>
      </c>
      <c r="J9" s="19">
        <f>SUM(D9:I9)</f>
        <v>1</v>
      </c>
      <c r="K9" s="10"/>
      <c r="L9" t="s">
        <v>23</v>
      </c>
      <c r="M9">
        <v>12024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1">
        <f>V9</f>
        <v>0</v>
      </c>
      <c r="AC9" s="12">
        <f>$AB9*D9</f>
        <v>0</v>
      </c>
      <c r="AD9" s="12">
        <f>$AB9*E9</f>
        <v>0</v>
      </c>
      <c r="AE9" s="12">
        <f>$AB9*F9</f>
        <v>0</v>
      </c>
      <c r="AF9" s="12">
        <f>$AB9*G9</f>
        <v>0</v>
      </c>
      <c r="AG9" s="12">
        <f>$AB9*H9</f>
        <v>0</v>
      </c>
      <c r="AH9" s="12">
        <f>$AB9*I9</f>
        <v>0</v>
      </c>
      <c r="AI9" s="11">
        <f>SUM(AC9:AH9)</f>
        <v>0</v>
      </c>
      <c r="AJ9" s="18">
        <f>AB9-AI9</f>
        <v>0</v>
      </c>
    </row>
    <row r="10" spans="1:36" x14ac:dyDescent="0.2">
      <c r="A10" s="17" t="s">
        <v>24</v>
      </c>
      <c r="B10" s="10" t="s">
        <v>19</v>
      </c>
      <c r="C10" s="10" t="s">
        <v>8</v>
      </c>
      <c r="D10" s="20">
        <v>0</v>
      </c>
      <c r="E10" s="20">
        <v>0</v>
      </c>
      <c r="F10" s="20">
        <v>0</v>
      </c>
      <c r="G10" s="20">
        <v>0</v>
      </c>
      <c r="H10" s="20"/>
      <c r="I10" s="20">
        <v>1</v>
      </c>
      <c r="J10" s="19">
        <f>SUM(D10:I10)</f>
        <v>1</v>
      </c>
      <c r="K10" s="10"/>
      <c r="L10" t="s">
        <v>23</v>
      </c>
      <c r="M10">
        <v>12024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1">
        <f>V10</f>
        <v>0</v>
      </c>
      <c r="AC10" s="12">
        <f>$AB10*D10</f>
        <v>0</v>
      </c>
      <c r="AD10" s="12">
        <f>$AB10*E10</f>
        <v>0</v>
      </c>
      <c r="AE10" s="12">
        <f>$AB10*F10</f>
        <v>0</v>
      </c>
      <c r="AF10" s="12">
        <f>$AB10*G10</f>
        <v>0</v>
      </c>
      <c r="AG10" s="12">
        <f>$AB10*H10</f>
        <v>0</v>
      </c>
      <c r="AH10" s="12">
        <f>$AB10*I10</f>
        <v>0</v>
      </c>
      <c r="AI10" s="11">
        <f>SUM(AC10:AH10)</f>
        <v>0</v>
      </c>
      <c r="AJ10" s="18">
        <f>AB10-AI10</f>
        <v>0</v>
      </c>
    </row>
    <row r="11" spans="1:36" x14ac:dyDescent="0.2">
      <c r="A11" s="17" t="s">
        <v>16</v>
      </c>
      <c r="B11" s="10" t="s">
        <v>6</v>
      </c>
      <c r="C11" s="10" t="s">
        <v>22</v>
      </c>
      <c r="D11" s="20">
        <v>0</v>
      </c>
      <c r="E11" s="20">
        <v>0.2</v>
      </c>
      <c r="F11" s="20">
        <v>0.2</v>
      </c>
      <c r="G11" s="20">
        <v>0.2</v>
      </c>
      <c r="H11" s="20"/>
      <c r="I11" s="20">
        <v>0.4</v>
      </c>
      <c r="J11" s="19">
        <f>SUM(D11:I11)</f>
        <v>1</v>
      </c>
      <c r="K11" s="10" t="s">
        <v>21</v>
      </c>
      <c r="L11">
        <v>5</v>
      </c>
      <c r="M11">
        <v>12024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1">
        <f>Q11</f>
        <v>0</v>
      </c>
      <c r="AC11" s="12">
        <f>$AB11*D11</f>
        <v>0</v>
      </c>
      <c r="AD11" s="12">
        <f>$AB11*E11</f>
        <v>0</v>
      </c>
      <c r="AE11" s="12">
        <f>$AB11*F11</f>
        <v>0</v>
      </c>
      <c r="AF11" s="12">
        <f>$AB11*G11</f>
        <v>0</v>
      </c>
      <c r="AG11" s="12">
        <f>$AB11*H11</f>
        <v>0</v>
      </c>
      <c r="AH11" s="12">
        <f>$AB11*I11</f>
        <v>0</v>
      </c>
      <c r="AI11" s="11">
        <f>SUM(AC11:AH11)</f>
        <v>0</v>
      </c>
      <c r="AJ11" s="18">
        <f>AB11-AI11</f>
        <v>0</v>
      </c>
    </row>
    <row r="12" spans="1:36" x14ac:dyDescent="0.2">
      <c r="A12" s="17" t="s">
        <v>22</v>
      </c>
      <c r="B12" s="10" t="s">
        <v>6</v>
      </c>
      <c r="C12" s="10" t="s">
        <v>20</v>
      </c>
      <c r="D12" s="20">
        <v>0</v>
      </c>
      <c r="E12" s="20">
        <v>0.2</v>
      </c>
      <c r="F12" s="20">
        <v>0.2</v>
      </c>
      <c r="G12" s="20">
        <v>0.2</v>
      </c>
      <c r="H12" s="20"/>
      <c r="I12" s="20">
        <v>0.4</v>
      </c>
      <c r="J12" s="19">
        <f>SUM(D12:I12)</f>
        <v>1</v>
      </c>
      <c r="K12" s="10" t="s">
        <v>21</v>
      </c>
      <c r="L12">
        <v>5</v>
      </c>
      <c r="M12">
        <v>12024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1">
        <f>Q12</f>
        <v>0</v>
      </c>
      <c r="AC12" s="12">
        <f>$AB12*D12</f>
        <v>0</v>
      </c>
      <c r="AD12" s="12">
        <f>$AB12*E12</f>
        <v>0</v>
      </c>
      <c r="AE12" s="12">
        <f>$AB12*F12</f>
        <v>0</v>
      </c>
      <c r="AF12" s="12">
        <f>$AB12*G12</f>
        <v>0</v>
      </c>
      <c r="AG12" s="12">
        <f>$AB12*H12</f>
        <v>0</v>
      </c>
      <c r="AH12" s="12">
        <f>$AB12*I12</f>
        <v>0</v>
      </c>
      <c r="AI12" s="11">
        <f>SUM(AC12:AH12)</f>
        <v>0</v>
      </c>
      <c r="AJ12" s="18">
        <f>AB12-AI12</f>
        <v>0</v>
      </c>
    </row>
    <row r="13" spans="1:36" x14ac:dyDescent="0.2">
      <c r="A13" s="17" t="s">
        <v>20</v>
      </c>
      <c r="B13" s="10" t="s">
        <v>19</v>
      </c>
      <c r="C13" s="10" t="s">
        <v>13</v>
      </c>
      <c r="D13" s="20">
        <v>0</v>
      </c>
      <c r="E13" s="20">
        <v>0.2</v>
      </c>
      <c r="F13" s="20">
        <v>0.2</v>
      </c>
      <c r="G13" s="20">
        <v>0.2</v>
      </c>
      <c r="H13" s="20"/>
      <c r="I13" s="20">
        <v>0.4</v>
      </c>
      <c r="J13" s="19">
        <f>SUM(D13:I13)</f>
        <v>1</v>
      </c>
      <c r="K13" s="10"/>
      <c r="L13">
        <v>5</v>
      </c>
      <c r="M13">
        <v>12024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1">
        <f>V13</f>
        <v>0</v>
      </c>
      <c r="AC13" s="12">
        <f>$AB13*D13</f>
        <v>0</v>
      </c>
      <c r="AD13" s="12">
        <f>$AB13*E13</f>
        <v>0</v>
      </c>
      <c r="AE13" s="12">
        <f>$AB13*F13</f>
        <v>0</v>
      </c>
      <c r="AF13" s="12">
        <f>$AB13*G13</f>
        <v>0</v>
      </c>
      <c r="AG13" s="12">
        <f>$AB13*H13</f>
        <v>0</v>
      </c>
      <c r="AH13" s="12">
        <f>$AB13*I13</f>
        <v>0</v>
      </c>
      <c r="AI13" s="11">
        <f>SUM(AC13:AH13)</f>
        <v>0</v>
      </c>
      <c r="AJ13" s="18">
        <f>AB13-AI13</f>
        <v>0</v>
      </c>
    </row>
    <row r="14" spans="1:36" x14ac:dyDescent="0.2">
      <c r="A14" s="17" t="s">
        <v>5</v>
      </c>
      <c r="B14" s="10" t="s">
        <v>10</v>
      </c>
      <c r="C14" s="10" t="s">
        <v>18</v>
      </c>
      <c r="D14" s="20">
        <v>0.5</v>
      </c>
      <c r="E14" s="20">
        <v>0.1</v>
      </c>
      <c r="F14" s="20">
        <v>0.1</v>
      </c>
      <c r="G14" s="20">
        <v>0.1</v>
      </c>
      <c r="H14" s="20"/>
      <c r="I14" s="20">
        <v>0.2</v>
      </c>
      <c r="J14" s="19">
        <f>SUM(D14:I14)</f>
        <v>1</v>
      </c>
      <c r="K14" s="10"/>
      <c r="L14">
        <v>5</v>
      </c>
      <c r="M14">
        <v>12024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1">
        <f>P14</f>
        <v>0</v>
      </c>
      <c r="AC14" s="12">
        <f>$AB14*D14</f>
        <v>0</v>
      </c>
      <c r="AD14" s="12">
        <f>$AB14*E14</f>
        <v>0</v>
      </c>
      <c r="AE14" s="12">
        <f>$AB14*F14</f>
        <v>0</v>
      </c>
      <c r="AF14" s="12">
        <f>$AB14*G14</f>
        <v>0</v>
      </c>
      <c r="AG14" s="12">
        <f>$AB14*H14</f>
        <v>0</v>
      </c>
      <c r="AH14" s="12">
        <f>$AB14*I14</f>
        <v>0</v>
      </c>
      <c r="AI14" s="11">
        <f>SUM(AC14:AH14)</f>
        <v>0</v>
      </c>
      <c r="AJ14" s="18">
        <f>AB14-AI14</f>
        <v>0</v>
      </c>
    </row>
    <row r="15" spans="1:36" x14ac:dyDescent="0.2">
      <c r="A15" s="17" t="s">
        <v>14</v>
      </c>
      <c r="B15" s="10" t="s">
        <v>10</v>
      </c>
      <c r="C15" s="10" t="s">
        <v>17</v>
      </c>
      <c r="D15" s="20">
        <v>0</v>
      </c>
      <c r="E15" s="20">
        <v>0.16999999999999998</v>
      </c>
      <c r="F15" s="20">
        <v>0.16999999999999998</v>
      </c>
      <c r="G15" s="20">
        <v>0.16999999999999998</v>
      </c>
      <c r="H15" s="20"/>
      <c r="I15" s="20">
        <v>0.49</v>
      </c>
      <c r="J15" s="19">
        <f>SUM(D15:I15)</f>
        <v>1</v>
      </c>
      <c r="K15" s="10"/>
      <c r="L15">
        <v>6</v>
      </c>
      <c r="M15">
        <v>12024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1">
        <f>P15</f>
        <v>0</v>
      </c>
      <c r="AC15" s="12">
        <f>$AB15*D15</f>
        <v>0</v>
      </c>
      <c r="AD15" s="12">
        <f>$AB15*E15</f>
        <v>0</v>
      </c>
      <c r="AE15" s="12">
        <f>$AB15*F15</f>
        <v>0</v>
      </c>
      <c r="AF15" s="12">
        <f>$AB15*G15</f>
        <v>0</v>
      </c>
      <c r="AG15" s="12">
        <f>$AB15*H15</f>
        <v>0</v>
      </c>
      <c r="AH15" s="12">
        <f>$AB15*I15</f>
        <v>0</v>
      </c>
      <c r="AI15" s="11">
        <f>SUM(AC15:AH15)</f>
        <v>0</v>
      </c>
      <c r="AJ15" s="18">
        <f>AB15-AI15</f>
        <v>0</v>
      </c>
    </row>
    <row r="16" spans="1:36" x14ac:dyDescent="0.2">
      <c r="A16" s="17" t="s">
        <v>2</v>
      </c>
      <c r="B16" s="10" t="s">
        <v>10</v>
      </c>
      <c r="C16" s="10" t="s">
        <v>16</v>
      </c>
      <c r="D16" s="20">
        <v>0</v>
      </c>
      <c r="E16" s="20">
        <v>0.1</v>
      </c>
      <c r="F16" s="20">
        <v>0.1</v>
      </c>
      <c r="G16" s="20">
        <v>0.1</v>
      </c>
      <c r="H16" s="20"/>
      <c r="I16" s="20">
        <v>0.7</v>
      </c>
      <c r="J16" s="19">
        <f>SUM(D16:I16)</f>
        <v>1</v>
      </c>
      <c r="K16" s="10"/>
      <c r="L16">
        <v>5</v>
      </c>
      <c r="M16">
        <v>12024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1">
        <f>P16</f>
        <v>0</v>
      </c>
      <c r="AC16" s="12">
        <f>$AB16*D16</f>
        <v>0</v>
      </c>
      <c r="AD16" s="12">
        <f>$AB16*E16</f>
        <v>0</v>
      </c>
      <c r="AE16" s="12">
        <f>$AB16*F16</f>
        <v>0</v>
      </c>
      <c r="AF16" s="12">
        <f>$AB16*G16</f>
        <v>0</v>
      </c>
      <c r="AG16" s="12">
        <f>$AB16*H16</f>
        <v>0</v>
      </c>
      <c r="AH16" s="12">
        <f>$AB16*I16</f>
        <v>0</v>
      </c>
      <c r="AI16" s="11">
        <f>SUM(AC16:AH16)</f>
        <v>0</v>
      </c>
      <c r="AJ16" s="18">
        <f>AB16-AI16</f>
        <v>0</v>
      </c>
    </row>
    <row r="17" spans="1:36" x14ac:dyDescent="0.2">
      <c r="A17" s="17" t="s">
        <v>15</v>
      </c>
      <c r="B17" s="10" t="s">
        <v>10</v>
      </c>
      <c r="C17" s="10" t="s">
        <v>14</v>
      </c>
      <c r="D17" s="20">
        <v>0</v>
      </c>
      <c r="E17" s="20">
        <v>0.16999999999999998</v>
      </c>
      <c r="F17" s="20">
        <v>0.16999999999999998</v>
      </c>
      <c r="G17" s="20">
        <v>0.16999999999999998</v>
      </c>
      <c r="H17" s="20"/>
      <c r="I17" s="20">
        <v>0.49</v>
      </c>
      <c r="J17" s="19">
        <f>SUM(D17:I17)</f>
        <v>1</v>
      </c>
      <c r="K17" s="10"/>
      <c r="L17">
        <v>6</v>
      </c>
      <c r="M17">
        <v>12024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1">
        <f>P17</f>
        <v>0</v>
      </c>
      <c r="AC17" s="12">
        <f>$AB17*D17</f>
        <v>0</v>
      </c>
      <c r="AD17" s="12">
        <f>$AB17*E17</f>
        <v>0</v>
      </c>
      <c r="AE17" s="12">
        <f>$AB17*F17</f>
        <v>0</v>
      </c>
      <c r="AF17" s="12">
        <f>$AB17*G17</f>
        <v>0</v>
      </c>
      <c r="AG17" s="12">
        <f>$AB17*H17</f>
        <v>0</v>
      </c>
      <c r="AH17" s="12">
        <f>$AB17*I17</f>
        <v>0</v>
      </c>
      <c r="AI17" s="11">
        <f>SUM(AC17:AH17)</f>
        <v>0</v>
      </c>
      <c r="AJ17" s="18">
        <f>AB17-AI17</f>
        <v>0</v>
      </c>
    </row>
    <row r="18" spans="1:36" x14ac:dyDescent="0.2">
      <c r="A18" s="17" t="s">
        <v>13</v>
      </c>
      <c r="B18" s="10" t="s">
        <v>10</v>
      </c>
      <c r="C18" s="10" t="s">
        <v>12</v>
      </c>
      <c r="D18" s="20">
        <v>0</v>
      </c>
      <c r="E18" s="20">
        <v>0.16999999999999998</v>
      </c>
      <c r="F18" s="20">
        <v>0.16999999999999998</v>
      </c>
      <c r="G18" s="20">
        <v>0.16999999999999998</v>
      </c>
      <c r="H18" s="20"/>
      <c r="I18" s="20">
        <v>0.49</v>
      </c>
      <c r="J18" s="19">
        <f>SUM(D18:I18)</f>
        <v>1</v>
      </c>
      <c r="K18" s="10"/>
      <c r="L18">
        <v>6</v>
      </c>
      <c r="M18">
        <v>12024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1">
        <f>P18</f>
        <v>0</v>
      </c>
      <c r="AC18" s="12">
        <f>$AB18*D18</f>
        <v>0</v>
      </c>
      <c r="AD18" s="12">
        <f>$AB18*E18</f>
        <v>0</v>
      </c>
      <c r="AE18" s="12">
        <f>$AB18*F18</f>
        <v>0</v>
      </c>
      <c r="AF18" s="12">
        <f>$AB18*G18</f>
        <v>0</v>
      </c>
      <c r="AG18" s="12">
        <f>$AB18*H18</f>
        <v>0</v>
      </c>
      <c r="AH18" s="12">
        <f>$AB18*I18</f>
        <v>0</v>
      </c>
      <c r="AI18" s="11">
        <f>SUM(AC18:AH18)</f>
        <v>0</v>
      </c>
      <c r="AJ18" s="18">
        <f>AB18-AI18</f>
        <v>0</v>
      </c>
    </row>
    <row r="19" spans="1:36" x14ac:dyDescent="0.2">
      <c r="A19" s="17" t="s">
        <v>11</v>
      </c>
      <c r="B19" s="10" t="s">
        <v>10</v>
      </c>
      <c r="C19" s="10" t="s">
        <v>9</v>
      </c>
      <c r="D19" s="20">
        <v>0</v>
      </c>
      <c r="E19" s="20">
        <v>0.16999999999999998</v>
      </c>
      <c r="F19" s="20">
        <v>0.16999999999999998</v>
      </c>
      <c r="G19" s="20">
        <v>0.16999999999999998</v>
      </c>
      <c r="H19" s="20"/>
      <c r="I19" s="20">
        <v>0.49</v>
      </c>
      <c r="J19" s="19">
        <f>SUM(D19:I19)</f>
        <v>1</v>
      </c>
      <c r="K19" s="10"/>
      <c r="L19">
        <v>6</v>
      </c>
      <c r="M19">
        <v>12024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1">
        <f>P19</f>
        <v>0</v>
      </c>
      <c r="AC19" s="12">
        <f>$AB19*D19</f>
        <v>0</v>
      </c>
      <c r="AD19" s="12">
        <f>$AB19*E19</f>
        <v>0</v>
      </c>
      <c r="AE19" s="12">
        <f>$AB19*F19</f>
        <v>0</v>
      </c>
      <c r="AF19" s="12">
        <f>$AB19*G19</f>
        <v>0</v>
      </c>
      <c r="AG19" s="12">
        <f>$AB19*H19</f>
        <v>0</v>
      </c>
      <c r="AH19" s="12">
        <f>$AB19*I19</f>
        <v>0</v>
      </c>
      <c r="AI19" s="11">
        <f>SUM(AC19:AH19)</f>
        <v>0</v>
      </c>
      <c r="AJ19" s="18">
        <f>AB19-AI19</f>
        <v>0</v>
      </c>
    </row>
    <row r="20" spans="1:36" x14ac:dyDescent="0.2">
      <c r="A20" s="17" t="s">
        <v>8</v>
      </c>
      <c r="B20" s="10" t="s">
        <v>6</v>
      </c>
      <c r="C20" s="10" t="s">
        <v>7</v>
      </c>
      <c r="D20" s="20">
        <v>0</v>
      </c>
      <c r="E20" s="20">
        <v>0.2</v>
      </c>
      <c r="F20" s="20">
        <v>0.2</v>
      </c>
      <c r="G20" s="20">
        <v>0.2</v>
      </c>
      <c r="H20" s="20"/>
      <c r="I20" s="20">
        <v>0.4</v>
      </c>
      <c r="J20" s="19">
        <f>SUM(D20:I20)</f>
        <v>1</v>
      </c>
      <c r="K20" s="10"/>
      <c r="L20">
        <v>5</v>
      </c>
      <c r="M20">
        <v>12024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1">
        <f>Q20</f>
        <v>0</v>
      </c>
      <c r="AC20" s="12">
        <f>$AB20*D20</f>
        <v>0</v>
      </c>
      <c r="AD20" s="12">
        <f>$AB20*E20</f>
        <v>0</v>
      </c>
      <c r="AE20" s="12">
        <f>$AB20*F20</f>
        <v>0</v>
      </c>
      <c r="AF20" s="12">
        <f>$AB20*G20</f>
        <v>0</v>
      </c>
      <c r="AG20" s="12">
        <f>$AB20*H20</f>
        <v>0</v>
      </c>
      <c r="AH20" s="12">
        <f>$AB20*I20</f>
        <v>0</v>
      </c>
      <c r="AI20" s="11">
        <f>SUM(AC20:AH20)</f>
        <v>0</v>
      </c>
      <c r="AJ20" s="18">
        <f>AB20-AI20</f>
        <v>0</v>
      </c>
    </row>
    <row r="21" spans="1:36" x14ac:dyDescent="0.2">
      <c r="A21" s="17" t="s">
        <v>7</v>
      </c>
      <c r="B21" s="10" t="s">
        <v>6</v>
      </c>
      <c r="C21" s="10" t="s">
        <v>5</v>
      </c>
      <c r="D21" s="20">
        <v>0</v>
      </c>
      <c r="E21" s="20">
        <v>0.2</v>
      </c>
      <c r="F21" s="20">
        <v>0.2</v>
      </c>
      <c r="G21" s="20">
        <v>0.2</v>
      </c>
      <c r="H21" s="20"/>
      <c r="I21" s="20">
        <v>0.4</v>
      </c>
      <c r="J21" s="19">
        <f>SUM(D21:I21)</f>
        <v>1</v>
      </c>
      <c r="K21" s="10"/>
      <c r="L21">
        <v>5</v>
      </c>
      <c r="M21">
        <v>12024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1">
        <f>Q21</f>
        <v>0</v>
      </c>
      <c r="AC21" s="12">
        <f>$AB21*D21</f>
        <v>0</v>
      </c>
      <c r="AD21" s="12">
        <f>$AB21*E21</f>
        <v>0</v>
      </c>
      <c r="AE21" s="12">
        <f>$AB21*F21</f>
        <v>0</v>
      </c>
      <c r="AF21" s="12">
        <f>$AB21*G21</f>
        <v>0</v>
      </c>
      <c r="AG21" s="12">
        <f>$AB21*H21</f>
        <v>0</v>
      </c>
      <c r="AH21" s="12">
        <f>$AB21*I21</f>
        <v>0</v>
      </c>
      <c r="AI21" s="11">
        <f>SUM(AC21:AH21)</f>
        <v>0</v>
      </c>
      <c r="AJ21" s="18">
        <f>AB21-AI21</f>
        <v>0</v>
      </c>
    </row>
    <row r="22" spans="1:36" x14ac:dyDescent="0.2">
      <c r="A22" s="17" t="s">
        <v>4</v>
      </c>
      <c r="B22" s="10" t="s">
        <v>3</v>
      </c>
      <c r="C22" s="10" t="s">
        <v>2</v>
      </c>
      <c r="D22" s="20">
        <v>0</v>
      </c>
      <c r="E22" s="20">
        <v>0</v>
      </c>
      <c r="F22" s="20">
        <v>0</v>
      </c>
      <c r="G22" s="20">
        <v>0</v>
      </c>
      <c r="H22" s="20"/>
      <c r="I22" s="20">
        <v>1</v>
      </c>
      <c r="J22" s="19">
        <f>SUM(D22:I22)</f>
        <v>1</v>
      </c>
      <c r="K22" s="10"/>
      <c r="L22" t="s">
        <v>1</v>
      </c>
      <c r="M22">
        <v>12024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1">
        <f>O22</f>
        <v>0</v>
      </c>
      <c r="AC22" s="12">
        <f>$AB22*D22</f>
        <v>0</v>
      </c>
      <c r="AD22" s="12">
        <f>$AB22*E22</f>
        <v>0</v>
      </c>
      <c r="AE22" s="12">
        <f>$AB22*F22</f>
        <v>0</v>
      </c>
      <c r="AF22" s="12">
        <f>$AB22*G22</f>
        <v>0</v>
      </c>
      <c r="AG22" s="12">
        <f>$AB22*H22</f>
        <v>0</v>
      </c>
      <c r="AH22" s="12">
        <f>$AB22*I22</f>
        <v>0</v>
      </c>
      <c r="AI22" s="11">
        <f>SUM(AC22:AH22)</f>
        <v>0</v>
      </c>
      <c r="AJ22" s="18">
        <f>AB22-AI22</f>
        <v>0</v>
      </c>
    </row>
    <row r="23" spans="1:36" x14ac:dyDescent="0.2">
      <c r="A23" s="17"/>
      <c r="B23" s="13"/>
      <c r="C23" s="13"/>
      <c r="D23" s="15"/>
      <c r="E23" s="15"/>
      <c r="F23" s="15"/>
      <c r="G23" s="15"/>
      <c r="H23" s="16"/>
      <c r="I23" s="15"/>
      <c r="J23" s="14"/>
      <c r="K23" s="13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1"/>
      <c r="AC23" s="10"/>
      <c r="AD23" s="10"/>
      <c r="AE23" s="10"/>
      <c r="AF23" s="10"/>
      <c r="AG23" s="10"/>
      <c r="AH23" s="10"/>
      <c r="AI23" s="9"/>
    </row>
    <row r="24" spans="1:36" s="1" customFormat="1" x14ac:dyDescent="0.2">
      <c r="A24" s="8" t="s">
        <v>0</v>
      </c>
      <c r="B24" s="4"/>
      <c r="C24" s="4"/>
      <c r="D24" s="6"/>
      <c r="E24" s="6"/>
      <c r="F24" s="6"/>
      <c r="G24" s="6"/>
      <c r="H24" s="7"/>
      <c r="I24" s="6"/>
      <c r="J24" s="5"/>
      <c r="K24" s="4"/>
      <c r="N24" s="4"/>
      <c r="O24" s="2">
        <f>SUM(O22)</f>
        <v>0</v>
      </c>
      <c r="P24" s="2">
        <f>SUM(P6:P7,P14:P19)</f>
        <v>0</v>
      </c>
      <c r="Q24" s="2">
        <f>SUM(Q11,Q12,Q20,Q21)</f>
        <v>0</v>
      </c>
      <c r="R24" s="4"/>
      <c r="S24" s="4"/>
      <c r="T24" s="4"/>
      <c r="U24" s="4"/>
      <c r="V24" s="2">
        <f>SUM(V8,V9,V10,V11,V13)</f>
        <v>0</v>
      </c>
      <c r="W24" s="4"/>
      <c r="X24" s="4"/>
      <c r="Y24" s="4"/>
      <c r="Z24" s="4"/>
      <c r="AA24" s="4"/>
      <c r="AB24" s="3">
        <f>SUM(N24:AA24)</f>
        <v>0</v>
      </c>
      <c r="AC24" s="2">
        <f>SUM(AC6:AC23)</f>
        <v>0</v>
      </c>
      <c r="AD24" s="2">
        <f>SUM(AD6:AD23)</f>
        <v>0</v>
      </c>
      <c r="AE24" s="2">
        <f>SUM(AE6:AE23)</f>
        <v>0</v>
      </c>
      <c r="AF24" s="2">
        <f>SUM(AF6:AF23)</f>
        <v>0</v>
      </c>
      <c r="AG24" s="2">
        <f>SUM(AG6:AG23)</f>
        <v>0</v>
      </c>
      <c r="AH24" s="2">
        <f>SUM(AH6:AH23)</f>
        <v>0</v>
      </c>
      <c r="AI24" s="2">
        <f>SUM(AI6:AI23)</f>
        <v>0</v>
      </c>
    </row>
    <row r="27" spans="1:36" ht="14.25" hidden="1" customHeight="1" x14ac:dyDescent="0.2"/>
  </sheetData>
  <conditionalFormatting sqref="A1:A1048576 C1:C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Lookup2_Allocation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Kyle Yusong</dc:creator>
  <cp:lastModifiedBy>Yao, Kyle Yusong</cp:lastModifiedBy>
  <dcterms:created xsi:type="dcterms:W3CDTF">2026-01-04T03:40:53Z</dcterms:created>
  <dcterms:modified xsi:type="dcterms:W3CDTF">2026-01-04T03:41:09Z</dcterms:modified>
</cp:coreProperties>
</file>