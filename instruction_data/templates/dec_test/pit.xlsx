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01ADB5E8-8B08-354C-97E7-AD11EEE0F366}" xr6:coauthVersionLast="47" xr6:coauthVersionMax="47" xr10:uidLastSave="{00000000-0000-0000-0000-000000000000}"/>
  <bookViews>
    <workbookView xWindow="780" yWindow="1000" windowWidth="27640" windowHeight="15520" xr2:uid="{8EB683FE-AEE0-6E4D-853D-26931AD58AE4}"/>
  </bookViews>
  <sheets>
    <sheet name="PIT+SI payment" sheetId="1" r:id="rId1"/>
  </sheets>
  <externalReferences>
    <externalReference r:id="rId2"/>
    <externalReference r:id="rId3"/>
  </externalReferences>
  <definedNames>
    <definedName name="_xlnm._FilterDatabase" localSheetId="0" hidden="1">'PIT+SI payment'!$A$4:$AI$840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_xlnm.Print_Area" localSheetId="0">'PIT+SI payment'!$A$1:$K$71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1" l="1"/>
  <c r="U1" i="1"/>
  <c r="AA1" i="1"/>
  <c r="AC1" i="1"/>
  <c r="O3" i="1"/>
  <c r="O1" i="1" s="1"/>
  <c r="P3" i="1"/>
  <c r="P1" i="1" s="1"/>
  <c r="Q3" i="1"/>
  <c r="Q1" i="1" s="1"/>
  <c r="R3" i="1"/>
  <c r="R1" i="1" s="1"/>
  <c r="S3" i="1"/>
  <c r="T3" i="1"/>
  <c r="T6" i="1" s="1"/>
  <c r="U3" i="1"/>
  <c r="U6" i="1" s="1"/>
  <c r="V3" i="1"/>
  <c r="V6" i="1" s="1"/>
  <c r="W3" i="1"/>
  <c r="W1" i="1" s="1"/>
  <c r="X3" i="1"/>
  <c r="X1" i="1" s="1"/>
  <c r="Y3" i="1"/>
  <c r="Y1" i="1" s="1"/>
  <c r="Z3" i="1"/>
  <c r="Z1" i="1" s="1"/>
  <c r="AA3" i="1"/>
  <c r="AB3" i="1"/>
  <c r="AB6" i="1" s="1"/>
  <c r="AC3" i="1"/>
  <c r="AC6" i="1" s="1"/>
  <c r="B4" i="1"/>
  <c r="C4" i="1"/>
  <c r="D4" i="1"/>
  <c r="E4" i="1"/>
  <c r="F4" i="1"/>
  <c r="G4" i="1"/>
  <c r="H4" i="1"/>
  <c r="I4" i="1"/>
  <c r="J4" i="1"/>
  <c r="K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H5" i="1"/>
  <c r="AI5" i="1"/>
  <c r="D6" i="1"/>
  <c r="M6" i="1"/>
  <c r="O6" i="1"/>
  <c r="P6" i="1"/>
  <c r="Q6" i="1"/>
  <c r="R6" i="1"/>
  <c r="S6" i="1"/>
  <c r="W6" i="1"/>
  <c r="X6" i="1"/>
  <c r="Y6" i="1"/>
  <c r="Z6" i="1"/>
  <c r="AA6" i="1"/>
  <c r="AF6" i="1"/>
  <c r="AI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M7" i="1"/>
  <c r="O7" i="1"/>
  <c r="P7" i="1"/>
  <c r="Q7" i="1"/>
  <c r="R7" i="1"/>
  <c r="S7" i="1"/>
  <c r="T7" i="1"/>
  <c r="AH7" i="1" s="1"/>
  <c r="U7" i="1"/>
  <c r="V7" i="1"/>
  <c r="W7" i="1"/>
  <c r="X7" i="1"/>
  <c r="Y7" i="1"/>
  <c r="Z7" i="1"/>
  <c r="AA7" i="1"/>
  <c r="AB7" i="1"/>
  <c r="AC7" i="1"/>
  <c r="AF7" i="1"/>
  <c r="AI7" i="1"/>
  <c r="M8" i="1"/>
  <c r="O8" i="1"/>
  <c r="P8" i="1"/>
  <c r="AH8" i="1" s="1"/>
  <c r="Q8" i="1"/>
  <c r="R8" i="1"/>
  <c r="S8" i="1"/>
  <c r="T8" i="1"/>
  <c r="U8" i="1"/>
  <c r="V8" i="1"/>
  <c r="W8" i="1"/>
  <c r="X8" i="1"/>
  <c r="Y8" i="1"/>
  <c r="Z8" i="1"/>
  <c r="AA8" i="1"/>
  <c r="AB8" i="1"/>
  <c r="AC8" i="1"/>
  <c r="AG8" i="1"/>
  <c r="AI8" i="1"/>
  <c r="M9" i="1"/>
  <c r="O9" i="1"/>
  <c r="P9" i="1"/>
  <c r="Q9" i="1"/>
  <c r="R9" i="1"/>
  <c r="S9" i="1"/>
  <c r="T9" i="1"/>
  <c r="AH9" i="1" s="1"/>
  <c r="U9" i="1"/>
  <c r="V9" i="1"/>
  <c r="W9" i="1"/>
  <c r="X9" i="1"/>
  <c r="Y9" i="1"/>
  <c r="Z9" i="1"/>
  <c r="AA9" i="1"/>
  <c r="AB9" i="1"/>
  <c r="AC9" i="1"/>
  <c r="AF9" i="1"/>
  <c r="AI9" i="1"/>
  <c r="M10" i="1"/>
  <c r="O10" i="1"/>
  <c r="P10" i="1"/>
  <c r="AH10" i="1" s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F10" i="1"/>
  <c r="AI10" i="1"/>
  <c r="M11" i="1"/>
  <c r="O11" i="1"/>
  <c r="P11" i="1"/>
  <c r="Q11" i="1"/>
  <c r="AH11" i="1" s="1"/>
  <c r="R11" i="1"/>
  <c r="S11" i="1"/>
  <c r="T11" i="1"/>
  <c r="U11" i="1"/>
  <c r="V11" i="1"/>
  <c r="W11" i="1"/>
  <c r="X11" i="1"/>
  <c r="Y11" i="1"/>
  <c r="Z11" i="1"/>
  <c r="AA11" i="1"/>
  <c r="AB11" i="1"/>
  <c r="AC11" i="1"/>
  <c r="AG11" i="1"/>
  <c r="AI11" i="1"/>
  <c r="M12" i="1"/>
  <c r="O12" i="1"/>
  <c r="P12" i="1"/>
  <c r="AH12" i="1" s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F12" i="1"/>
  <c r="AI12" i="1"/>
  <c r="O13" i="1"/>
  <c r="P13" i="1"/>
  <c r="AH13" i="1" s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G13" i="1"/>
  <c r="AI13" i="1" s="1"/>
  <c r="M14" i="1"/>
  <c r="O14" i="1"/>
  <c r="P14" i="1"/>
  <c r="AH14" i="1" s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G14" i="1"/>
  <c r="AI14" i="1" s="1"/>
  <c r="M15" i="1"/>
  <c r="O15" i="1"/>
  <c r="P15" i="1"/>
  <c r="AH15" i="1" s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F15" i="1"/>
  <c r="AI15" i="1" s="1"/>
  <c r="M16" i="1"/>
  <c r="O16" i="1"/>
  <c r="P16" i="1"/>
  <c r="AH16" i="1" s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F16" i="1"/>
  <c r="AI16" i="1" s="1"/>
  <c r="M17" i="1"/>
  <c r="O17" i="1"/>
  <c r="P17" i="1"/>
  <c r="AH17" i="1" s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F17" i="1"/>
  <c r="AI17" i="1" s="1"/>
  <c r="M18" i="1"/>
  <c r="O18" i="1"/>
  <c r="P18" i="1"/>
  <c r="AH18" i="1" s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F18" i="1"/>
  <c r="AI18" i="1" s="1"/>
  <c r="M19" i="1"/>
  <c r="O19" i="1"/>
  <c r="P19" i="1"/>
  <c r="AH19" i="1" s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F19" i="1"/>
  <c r="AI19" i="1" s="1"/>
  <c r="M20" i="1"/>
  <c r="T20" i="1" s="1"/>
  <c r="V20" i="1"/>
  <c r="AG20" i="1"/>
  <c r="AI20" i="1" s="1"/>
  <c r="M21" i="1"/>
  <c r="P21" i="1" s="1"/>
  <c r="R21" i="1"/>
  <c r="V21" i="1"/>
  <c r="Z21" i="1"/>
  <c r="AG21" i="1"/>
  <c r="AI21" i="1" s="1"/>
  <c r="M22" i="1"/>
  <c r="T22" i="1" s="1"/>
  <c r="V22" i="1"/>
  <c r="AG22" i="1"/>
  <c r="AI22" i="1" s="1"/>
  <c r="M23" i="1"/>
  <c r="P23" i="1" s="1"/>
  <c r="R23" i="1"/>
  <c r="V23" i="1"/>
  <c r="Z23" i="1"/>
  <c r="AG23" i="1"/>
  <c r="AI23" i="1" s="1"/>
  <c r="M24" i="1"/>
  <c r="T24" i="1" s="1"/>
  <c r="V24" i="1"/>
  <c r="AG24" i="1"/>
  <c r="AI24" i="1" s="1"/>
  <c r="M25" i="1"/>
  <c r="P25" i="1" s="1"/>
  <c r="R25" i="1"/>
  <c r="V25" i="1"/>
  <c r="Z25" i="1"/>
  <c r="AG25" i="1"/>
  <c r="AI25" i="1" s="1"/>
  <c r="M26" i="1"/>
  <c r="T26" i="1" s="1"/>
  <c r="V26" i="1"/>
  <c r="AG26" i="1"/>
  <c r="AI26" i="1" s="1"/>
  <c r="M27" i="1"/>
  <c r="P27" i="1" s="1"/>
  <c r="R27" i="1"/>
  <c r="V27" i="1"/>
  <c r="Z27" i="1"/>
  <c r="AG27" i="1"/>
  <c r="AI27" i="1" s="1"/>
  <c r="M28" i="1"/>
  <c r="T28" i="1" s="1"/>
  <c r="V28" i="1"/>
  <c r="AG28" i="1"/>
  <c r="AI28" i="1" s="1"/>
  <c r="M29" i="1"/>
  <c r="P29" i="1" s="1"/>
  <c r="R29" i="1"/>
  <c r="V29" i="1"/>
  <c r="Z29" i="1"/>
  <c r="AG29" i="1"/>
  <c r="AI29" i="1" s="1"/>
  <c r="M30" i="1"/>
  <c r="O30" i="1"/>
  <c r="P30" i="1"/>
  <c r="AH30" i="1" s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F30" i="1"/>
  <c r="AI30" i="1" s="1"/>
  <c r="M31" i="1"/>
  <c r="P31" i="1" s="1"/>
  <c r="V31" i="1"/>
  <c r="AG31" i="1"/>
  <c r="AI31" i="1" s="1"/>
  <c r="M32" i="1"/>
  <c r="T32" i="1" s="1"/>
  <c r="R32" i="1"/>
  <c r="V32" i="1"/>
  <c r="Z32" i="1"/>
  <c r="AG32" i="1"/>
  <c r="AI32" i="1" s="1"/>
  <c r="M33" i="1"/>
  <c r="P33" i="1" s="1"/>
  <c r="V33" i="1"/>
  <c r="AF33" i="1"/>
  <c r="AI33" i="1" s="1"/>
  <c r="O34" i="1"/>
  <c r="P34" i="1"/>
  <c r="Q34" i="1"/>
  <c r="R34" i="1"/>
  <c r="S34" i="1"/>
  <c r="AH34" i="1" s="1"/>
  <c r="T34" i="1"/>
  <c r="U34" i="1"/>
  <c r="V34" i="1"/>
  <c r="W34" i="1"/>
  <c r="X34" i="1"/>
  <c r="Y34" i="1"/>
  <c r="Z34" i="1"/>
  <c r="AA34" i="1"/>
  <c r="AB34" i="1"/>
  <c r="AC34" i="1"/>
  <c r="AG34" i="1"/>
  <c r="AI34" i="1" s="1"/>
  <c r="M35" i="1"/>
  <c r="R35" i="1" s="1"/>
  <c r="P35" i="1"/>
  <c r="T35" i="1"/>
  <c r="V35" i="1"/>
  <c r="X35" i="1"/>
  <c r="AB35" i="1"/>
  <c r="AG35" i="1"/>
  <c r="AI35" i="1"/>
  <c r="M36" i="1"/>
  <c r="R36" i="1" s="1"/>
  <c r="O36" i="1"/>
  <c r="P36" i="1"/>
  <c r="Q36" i="1"/>
  <c r="S36" i="1"/>
  <c r="T36" i="1"/>
  <c r="U36" i="1"/>
  <c r="V36" i="1"/>
  <c r="W36" i="1"/>
  <c r="X36" i="1"/>
  <c r="Y36" i="1"/>
  <c r="AA36" i="1"/>
  <c r="AB36" i="1"/>
  <c r="AC36" i="1"/>
  <c r="AG36" i="1"/>
  <c r="AI36" i="1"/>
  <c r="M37" i="1"/>
  <c r="T37" i="1" s="1"/>
  <c r="R37" i="1"/>
  <c r="V37" i="1"/>
  <c r="Z37" i="1"/>
  <c r="AG37" i="1"/>
  <c r="AI37" i="1" s="1"/>
  <c r="M38" i="1"/>
  <c r="Q38" i="1" s="1"/>
  <c r="O38" i="1"/>
  <c r="S38" i="1"/>
  <c r="V38" i="1"/>
  <c r="W38" i="1"/>
  <c r="AA38" i="1"/>
  <c r="AG38" i="1"/>
  <c r="AI38" i="1" s="1"/>
  <c r="O39" i="1"/>
  <c r="P39" i="1"/>
  <c r="Q39" i="1"/>
  <c r="AH39" i="1" s="1"/>
  <c r="R39" i="1"/>
  <c r="S39" i="1"/>
  <c r="T39" i="1"/>
  <c r="U39" i="1"/>
  <c r="V39" i="1"/>
  <c r="W39" i="1"/>
  <c r="X39" i="1"/>
  <c r="Y39" i="1"/>
  <c r="Z39" i="1"/>
  <c r="AA39" i="1"/>
  <c r="AB39" i="1"/>
  <c r="AC39" i="1"/>
  <c r="AG39" i="1"/>
  <c r="AI39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H40" i="1" s="1"/>
  <c r="AB40" i="1"/>
  <c r="AC40" i="1"/>
  <c r="AG40" i="1"/>
  <c r="AI40" i="1" s="1"/>
  <c r="O41" i="1"/>
  <c r="P41" i="1"/>
  <c r="AH41" i="1" s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G41" i="1"/>
  <c r="AI41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G42" i="1"/>
  <c r="AI42" i="1" s="1"/>
  <c r="AH42" i="1"/>
  <c r="O43" i="1"/>
  <c r="P43" i="1"/>
  <c r="Q43" i="1"/>
  <c r="AH43" i="1" s="1"/>
  <c r="R43" i="1"/>
  <c r="S43" i="1"/>
  <c r="T43" i="1"/>
  <c r="U43" i="1"/>
  <c r="V43" i="1"/>
  <c r="W43" i="1"/>
  <c r="X43" i="1"/>
  <c r="Y43" i="1"/>
  <c r="Z43" i="1"/>
  <c r="AA43" i="1"/>
  <c r="AB43" i="1"/>
  <c r="AC43" i="1"/>
  <c r="AG43" i="1"/>
  <c r="AI43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H44" i="1" s="1"/>
  <c r="AB44" i="1"/>
  <c r="AC44" i="1"/>
  <c r="AG44" i="1"/>
  <c r="AI44" i="1" s="1"/>
  <c r="O45" i="1"/>
  <c r="P45" i="1"/>
  <c r="AH45" i="1" s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G45" i="1"/>
  <c r="AI45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G46" i="1"/>
  <c r="AI46" i="1" s="1"/>
  <c r="AH46" i="1"/>
  <c r="O47" i="1"/>
  <c r="P47" i="1"/>
  <c r="Q47" i="1"/>
  <c r="AH47" i="1" s="1"/>
  <c r="R47" i="1"/>
  <c r="S47" i="1"/>
  <c r="T47" i="1"/>
  <c r="U47" i="1"/>
  <c r="V47" i="1"/>
  <c r="W47" i="1"/>
  <c r="X47" i="1"/>
  <c r="Y47" i="1"/>
  <c r="Z47" i="1"/>
  <c r="AA47" i="1"/>
  <c r="AB47" i="1"/>
  <c r="AC47" i="1"/>
  <c r="AG47" i="1"/>
  <c r="AI47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H48" i="1" s="1"/>
  <c r="AB48" i="1"/>
  <c r="AC48" i="1"/>
  <c r="AG48" i="1"/>
  <c r="AI48" i="1" s="1"/>
  <c r="M49" i="1"/>
  <c r="O49" i="1"/>
  <c r="P49" i="1"/>
  <c r="AH49" i="1" s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F49" i="1"/>
  <c r="AI49" i="1"/>
  <c r="M50" i="1"/>
  <c r="O50" i="1"/>
  <c r="P50" i="1"/>
  <c r="Q50" i="1"/>
  <c r="AH50" i="1" s="1"/>
  <c r="R50" i="1"/>
  <c r="S50" i="1"/>
  <c r="T50" i="1"/>
  <c r="U50" i="1"/>
  <c r="V50" i="1"/>
  <c r="W50" i="1"/>
  <c r="X50" i="1"/>
  <c r="Y50" i="1"/>
  <c r="Z50" i="1"/>
  <c r="AA50" i="1"/>
  <c r="AB50" i="1"/>
  <c r="AC50" i="1"/>
  <c r="AF50" i="1"/>
  <c r="AI50" i="1"/>
  <c r="M51" i="1"/>
  <c r="O51" i="1"/>
  <c r="P51" i="1"/>
  <c r="AH51" i="1" s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G51" i="1"/>
  <c r="AI51" i="1" s="1"/>
  <c r="M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F52" i="1"/>
  <c r="AI52" i="1" s="1"/>
  <c r="AH52" i="1"/>
  <c r="M53" i="1"/>
  <c r="O53" i="1"/>
  <c r="P53" i="1"/>
  <c r="AH53" i="1" s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F53" i="1"/>
  <c r="AI53" i="1"/>
  <c r="M54" i="1"/>
  <c r="O54" i="1"/>
  <c r="P54" i="1"/>
  <c r="Q54" i="1"/>
  <c r="AH54" i="1" s="1"/>
  <c r="R54" i="1"/>
  <c r="S54" i="1"/>
  <c r="T54" i="1"/>
  <c r="U54" i="1"/>
  <c r="V54" i="1"/>
  <c r="W54" i="1"/>
  <c r="X54" i="1"/>
  <c r="Y54" i="1"/>
  <c r="Z54" i="1"/>
  <c r="AA54" i="1"/>
  <c r="AB54" i="1"/>
  <c r="AC54" i="1"/>
  <c r="AG54" i="1"/>
  <c r="AI54" i="1"/>
  <c r="M55" i="1"/>
  <c r="O55" i="1"/>
  <c r="P55" i="1"/>
  <c r="AH55" i="1" s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F55" i="1"/>
  <c r="AI55" i="1" s="1"/>
  <c r="M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G56" i="1"/>
  <c r="AI56" i="1" s="1"/>
  <c r="AH56" i="1"/>
  <c r="M57" i="1"/>
  <c r="O57" i="1"/>
  <c r="P57" i="1"/>
  <c r="AH57" i="1" s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F57" i="1"/>
  <c r="AI57" i="1"/>
  <c r="M58" i="1"/>
  <c r="O58" i="1"/>
  <c r="P58" i="1"/>
  <c r="Q58" i="1"/>
  <c r="AH58" i="1" s="1"/>
  <c r="R58" i="1"/>
  <c r="S58" i="1"/>
  <c r="T58" i="1"/>
  <c r="U58" i="1"/>
  <c r="V58" i="1"/>
  <c r="W58" i="1"/>
  <c r="X58" i="1"/>
  <c r="Y58" i="1"/>
  <c r="Z58" i="1"/>
  <c r="AA58" i="1"/>
  <c r="AB58" i="1"/>
  <c r="AC58" i="1"/>
  <c r="AF58" i="1"/>
  <c r="AI58" i="1"/>
  <c r="M59" i="1"/>
  <c r="O59" i="1"/>
  <c r="P59" i="1"/>
  <c r="AH59" i="1" s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F59" i="1"/>
  <c r="AI59" i="1" s="1"/>
  <c r="M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F60" i="1"/>
  <c r="AI60" i="1" s="1"/>
  <c r="AH60" i="1"/>
  <c r="M61" i="1"/>
  <c r="O61" i="1"/>
  <c r="P61" i="1"/>
  <c r="AH61" i="1" s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F61" i="1"/>
  <c r="AI61" i="1"/>
  <c r="M62" i="1"/>
  <c r="R62" i="1" s="1"/>
  <c r="O62" i="1"/>
  <c r="P62" i="1"/>
  <c r="Q62" i="1"/>
  <c r="S62" i="1"/>
  <c r="T62" i="1"/>
  <c r="U62" i="1"/>
  <c r="V62" i="1"/>
  <c r="W62" i="1"/>
  <c r="X62" i="1"/>
  <c r="Y62" i="1"/>
  <c r="AA62" i="1"/>
  <c r="AB62" i="1"/>
  <c r="AC62" i="1"/>
  <c r="AG62" i="1"/>
  <c r="AI62" i="1"/>
  <c r="M63" i="1"/>
  <c r="P63" i="1" s="1"/>
  <c r="V63" i="1"/>
  <c r="AG63" i="1"/>
  <c r="AI63" i="1" s="1"/>
  <c r="M64" i="1"/>
  <c r="U64" i="1" s="1"/>
  <c r="O64" i="1"/>
  <c r="S64" i="1"/>
  <c r="V64" i="1"/>
  <c r="W64" i="1"/>
  <c r="AA64" i="1"/>
  <c r="AG64" i="1"/>
  <c r="AI64" i="1" s="1"/>
  <c r="M65" i="1"/>
  <c r="R65" i="1" s="1"/>
  <c r="P65" i="1"/>
  <c r="S65" i="1"/>
  <c r="T65" i="1"/>
  <c r="V65" i="1"/>
  <c r="X65" i="1"/>
  <c r="AA65" i="1"/>
  <c r="AB65" i="1"/>
  <c r="AG65" i="1"/>
  <c r="AI65" i="1"/>
  <c r="M66" i="1"/>
  <c r="R66" i="1" s="1"/>
  <c r="O66" i="1"/>
  <c r="P66" i="1"/>
  <c r="Q66" i="1"/>
  <c r="S66" i="1"/>
  <c r="T66" i="1"/>
  <c r="U66" i="1"/>
  <c r="V66" i="1"/>
  <c r="W66" i="1"/>
  <c r="X66" i="1"/>
  <c r="Y66" i="1"/>
  <c r="AA66" i="1"/>
  <c r="AB66" i="1"/>
  <c r="AC66" i="1"/>
  <c r="AG66" i="1"/>
  <c r="AI66" i="1"/>
  <c r="M67" i="1"/>
  <c r="T67" i="1" s="1"/>
  <c r="R67" i="1"/>
  <c r="V67" i="1"/>
  <c r="Z67" i="1"/>
  <c r="AG67" i="1"/>
  <c r="AI67" i="1" s="1"/>
  <c r="M68" i="1"/>
  <c r="Q68" i="1" s="1"/>
  <c r="O68" i="1"/>
  <c r="R68" i="1"/>
  <c r="S68" i="1"/>
  <c r="V68" i="1"/>
  <c r="W68" i="1"/>
  <c r="Z68" i="1"/>
  <c r="AA68" i="1"/>
  <c r="AG68" i="1"/>
  <c r="AI68" i="1" s="1"/>
  <c r="M69" i="1"/>
  <c r="Q69" i="1" s="1"/>
  <c r="O69" i="1"/>
  <c r="P69" i="1"/>
  <c r="R69" i="1"/>
  <c r="S69" i="1"/>
  <c r="T69" i="1"/>
  <c r="V69" i="1"/>
  <c r="W69" i="1"/>
  <c r="X69" i="1"/>
  <c r="Z69" i="1"/>
  <c r="AA69" i="1"/>
  <c r="AB69" i="1"/>
  <c r="AG69" i="1"/>
  <c r="AI69" i="1"/>
  <c r="M70" i="1"/>
  <c r="R70" i="1" s="1"/>
  <c r="O70" i="1"/>
  <c r="P70" i="1"/>
  <c r="Q70" i="1"/>
  <c r="S70" i="1"/>
  <c r="T70" i="1"/>
  <c r="U70" i="1"/>
  <c r="V70" i="1"/>
  <c r="W70" i="1"/>
  <c r="X70" i="1"/>
  <c r="Y70" i="1"/>
  <c r="AA70" i="1"/>
  <c r="AB70" i="1"/>
  <c r="AC70" i="1"/>
  <c r="AG70" i="1"/>
  <c r="AI70" i="1"/>
  <c r="M71" i="1"/>
  <c r="P71" i="1" s="1"/>
  <c r="V71" i="1"/>
  <c r="AG71" i="1"/>
  <c r="AI71" i="1" s="1"/>
  <c r="M72" i="1"/>
  <c r="U72" i="1" s="1"/>
  <c r="O72" i="1"/>
  <c r="S72" i="1"/>
  <c r="V72" i="1"/>
  <c r="W72" i="1"/>
  <c r="AA72" i="1"/>
  <c r="AG72" i="1"/>
  <c r="AI72" i="1" s="1"/>
  <c r="M73" i="1"/>
  <c r="R73" i="1" s="1"/>
  <c r="P73" i="1"/>
  <c r="S73" i="1"/>
  <c r="T73" i="1"/>
  <c r="V73" i="1"/>
  <c r="X73" i="1"/>
  <c r="AA73" i="1"/>
  <c r="AB73" i="1"/>
  <c r="AG73" i="1"/>
  <c r="AI73" i="1"/>
  <c r="M74" i="1"/>
  <c r="R74" i="1" s="1"/>
  <c r="O74" i="1"/>
  <c r="P74" i="1"/>
  <c r="Q74" i="1"/>
  <c r="S74" i="1"/>
  <c r="T74" i="1"/>
  <c r="U74" i="1"/>
  <c r="V74" i="1"/>
  <c r="W74" i="1"/>
  <c r="X74" i="1"/>
  <c r="Y74" i="1"/>
  <c r="AA74" i="1"/>
  <c r="AB74" i="1"/>
  <c r="AC74" i="1"/>
  <c r="AF74" i="1"/>
  <c r="AI74" i="1"/>
  <c r="O75" i="1"/>
  <c r="P75" i="1"/>
  <c r="Q75" i="1"/>
  <c r="R75" i="1"/>
  <c r="S75" i="1"/>
  <c r="AH75" i="1" s="1"/>
  <c r="T75" i="1"/>
  <c r="U75" i="1"/>
  <c r="V75" i="1"/>
  <c r="W75" i="1"/>
  <c r="X75" i="1"/>
  <c r="Y75" i="1"/>
  <c r="Z75" i="1"/>
  <c r="AA75" i="1"/>
  <c r="AB75" i="1"/>
  <c r="AC75" i="1"/>
  <c r="AG75" i="1"/>
  <c r="AI75" i="1" s="1"/>
  <c r="M76" i="1"/>
  <c r="O76" i="1"/>
  <c r="P76" i="1"/>
  <c r="AH76" i="1" s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F76" i="1"/>
  <c r="AI76" i="1"/>
  <c r="M77" i="1"/>
  <c r="O77" i="1"/>
  <c r="P77" i="1"/>
  <c r="AH77" i="1" s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F77" i="1"/>
  <c r="AI77" i="1"/>
  <c r="M78" i="1"/>
  <c r="O78" i="1"/>
  <c r="P78" i="1"/>
  <c r="AH78" i="1" s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G78" i="1"/>
  <c r="AI78" i="1" s="1"/>
  <c r="M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F79" i="1"/>
  <c r="AI79" i="1" s="1"/>
  <c r="AH79" i="1"/>
  <c r="M80" i="1"/>
  <c r="O80" i="1"/>
  <c r="P80" i="1"/>
  <c r="AH80" i="1" s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F80" i="1"/>
  <c r="AI80" i="1"/>
  <c r="M81" i="1"/>
  <c r="O81" i="1"/>
  <c r="P81" i="1"/>
  <c r="Q81" i="1"/>
  <c r="AH81" i="1" s="1"/>
  <c r="R81" i="1"/>
  <c r="S81" i="1"/>
  <c r="T81" i="1"/>
  <c r="U81" i="1"/>
  <c r="V81" i="1"/>
  <c r="W81" i="1"/>
  <c r="X81" i="1"/>
  <c r="Y81" i="1"/>
  <c r="Z81" i="1"/>
  <c r="AA81" i="1"/>
  <c r="AB81" i="1"/>
  <c r="AC81" i="1"/>
  <c r="AG81" i="1"/>
  <c r="AI81" i="1"/>
  <c r="M82" i="1"/>
  <c r="O82" i="1"/>
  <c r="P82" i="1"/>
  <c r="AH82" i="1" s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F82" i="1"/>
  <c r="AI82" i="1" s="1"/>
  <c r="M83" i="1"/>
  <c r="O83" i="1"/>
  <c r="P83" i="1"/>
  <c r="Q83" i="1"/>
  <c r="R83" i="1"/>
  <c r="S83" i="1"/>
  <c r="AH83" i="1" s="1"/>
  <c r="T83" i="1"/>
  <c r="U83" i="1"/>
  <c r="V83" i="1"/>
  <c r="W83" i="1"/>
  <c r="X83" i="1"/>
  <c r="Y83" i="1"/>
  <c r="Z83" i="1"/>
  <c r="AA83" i="1"/>
  <c r="AB83" i="1"/>
  <c r="AC83" i="1"/>
  <c r="AG83" i="1"/>
  <c r="AI83" i="1" s="1"/>
  <c r="M84" i="1"/>
  <c r="O84" i="1"/>
  <c r="P84" i="1"/>
  <c r="AH84" i="1" s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F84" i="1"/>
  <c r="AI84" i="1"/>
  <c r="M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F85" i="1"/>
  <c r="AI85" i="1"/>
  <c r="M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F86" i="1"/>
  <c r="AI86" i="1" s="1"/>
  <c r="M87" i="1"/>
  <c r="O87" i="1"/>
  <c r="P87" i="1"/>
  <c r="Q87" i="1"/>
  <c r="R87" i="1"/>
  <c r="S87" i="1"/>
  <c r="T87" i="1"/>
  <c r="U87" i="1"/>
  <c r="V87" i="1"/>
  <c r="W87" i="1"/>
  <c r="X87" i="1"/>
  <c r="Y87" i="1"/>
  <c r="Z87" i="1"/>
  <c r="AH87" i="1" s="1"/>
  <c r="AA87" i="1"/>
  <c r="AB87" i="1"/>
  <c r="AC87" i="1"/>
  <c r="AF87" i="1"/>
  <c r="AI87" i="1" s="1"/>
  <c r="M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F88" i="1"/>
  <c r="AI88" i="1"/>
  <c r="M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G89" i="1"/>
  <c r="AI89" i="1"/>
  <c r="M90" i="1"/>
  <c r="P90" i="1"/>
  <c r="Q90" i="1"/>
  <c r="R90" i="1"/>
  <c r="T90" i="1"/>
  <c r="Y90" i="1"/>
  <c r="Z90" i="1"/>
  <c r="AA90" i="1"/>
  <c r="AB90" i="1"/>
  <c r="AC90" i="1"/>
  <c r="AG90" i="1"/>
  <c r="AI90" i="1"/>
  <c r="M91" i="1"/>
  <c r="O91" i="1"/>
  <c r="P91" i="1"/>
  <c r="Q91" i="1"/>
  <c r="R91" i="1"/>
  <c r="S91" i="1"/>
  <c r="W91" i="1"/>
  <c r="X91" i="1"/>
  <c r="Y91" i="1"/>
  <c r="Z91" i="1"/>
  <c r="AA91" i="1"/>
  <c r="AC91" i="1"/>
  <c r="AG91" i="1"/>
  <c r="AI91" i="1"/>
  <c r="M92" i="1"/>
  <c r="Q92" i="1" s="1"/>
  <c r="O92" i="1"/>
  <c r="P92" i="1"/>
  <c r="R92" i="1"/>
  <c r="S92" i="1"/>
  <c r="W92" i="1"/>
  <c r="X92" i="1"/>
  <c r="Y92" i="1"/>
  <c r="Z92" i="1"/>
  <c r="AA92" i="1"/>
  <c r="AG92" i="1"/>
  <c r="AI92" i="1"/>
  <c r="M93" i="1"/>
  <c r="AG93" i="1"/>
  <c r="AI93" i="1"/>
  <c r="M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G94" i="1"/>
  <c r="AI94" i="1"/>
  <c r="M95" i="1"/>
  <c r="S95" i="1" s="1"/>
  <c r="O95" i="1"/>
  <c r="P95" i="1"/>
  <c r="Q95" i="1"/>
  <c r="R95" i="1"/>
  <c r="V95" i="1"/>
  <c r="W95" i="1"/>
  <c r="X95" i="1"/>
  <c r="Y95" i="1"/>
  <c r="Z95" i="1"/>
  <c r="AG95" i="1"/>
  <c r="AI95" i="1"/>
  <c r="M96" i="1"/>
  <c r="O96" i="1" s="1"/>
  <c r="AG96" i="1"/>
  <c r="AI96" i="1" s="1"/>
  <c r="M97" i="1"/>
  <c r="U97" i="1" s="1"/>
  <c r="O97" i="1"/>
  <c r="P97" i="1"/>
  <c r="Q97" i="1"/>
  <c r="R97" i="1"/>
  <c r="S97" i="1"/>
  <c r="T97" i="1"/>
  <c r="V97" i="1"/>
  <c r="W97" i="1"/>
  <c r="X97" i="1"/>
  <c r="Y97" i="1"/>
  <c r="Z97" i="1"/>
  <c r="AA97" i="1"/>
  <c r="AB97" i="1"/>
  <c r="AG97" i="1"/>
  <c r="AI97" i="1"/>
  <c r="M98" i="1"/>
  <c r="R98" i="1" s="1"/>
  <c r="O98" i="1"/>
  <c r="P98" i="1"/>
  <c r="Q98" i="1"/>
  <c r="V98" i="1"/>
  <c r="W98" i="1"/>
  <c r="X98" i="1"/>
  <c r="Y98" i="1"/>
  <c r="AG98" i="1"/>
  <c r="AI98" i="1"/>
  <c r="M99" i="1"/>
  <c r="T99" i="1"/>
  <c r="U99" i="1"/>
  <c r="V99" i="1"/>
  <c r="AB99" i="1"/>
  <c r="AC99" i="1"/>
  <c r="AF99" i="1"/>
  <c r="AI99" i="1" s="1"/>
  <c r="M100" i="1"/>
  <c r="T100" i="1" s="1"/>
  <c r="O100" i="1"/>
  <c r="P100" i="1"/>
  <c r="Q100" i="1"/>
  <c r="R100" i="1"/>
  <c r="S100" i="1"/>
  <c r="V100" i="1"/>
  <c r="W100" i="1"/>
  <c r="X100" i="1"/>
  <c r="Y100" i="1"/>
  <c r="Z100" i="1"/>
  <c r="AA100" i="1"/>
  <c r="AG100" i="1"/>
  <c r="AI100" i="1"/>
  <c r="M101" i="1"/>
  <c r="O101" i="1"/>
  <c r="AG101" i="1"/>
  <c r="AI101" i="1"/>
  <c r="M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F102" i="1"/>
  <c r="AI102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G103" i="1"/>
  <c r="AI103" i="1"/>
  <c r="M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F104" i="1"/>
  <c r="AH104" i="1"/>
  <c r="AI104" i="1"/>
  <c r="M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F105" i="1"/>
  <c r="AI105" i="1"/>
  <c r="M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G106" i="1"/>
  <c r="AI106" i="1"/>
  <c r="M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F107" i="1"/>
  <c r="AI107" i="1" s="1"/>
  <c r="AH107" i="1"/>
  <c r="M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F108" i="1"/>
  <c r="AI108" i="1" s="1"/>
  <c r="M109" i="1"/>
  <c r="O109" i="1"/>
  <c r="P109" i="1"/>
  <c r="AH109" i="1" s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G109" i="1"/>
  <c r="AI109" i="1"/>
  <c r="M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F110" i="1"/>
  <c r="AI110" i="1" s="1"/>
  <c r="M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G111" i="1"/>
  <c r="AI111" i="1" s="1"/>
  <c r="M112" i="1"/>
  <c r="O112" i="1"/>
  <c r="P112" i="1"/>
  <c r="AH112" i="1" s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F112" i="1"/>
  <c r="AI112" i="1"/>
  <c r="M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F113" i="1"/>
  <c r="AI113" i="1"/>
  <c r="M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F114" i="1"/>
  <c r="AI114" i="1"/>
  <c r="M115" i="1"/>
  <c r="O115" i="1"/>
  <c r="P115" i="1"/>
  <c r="Q115" i="1"/>
  <c r="AH115" i="1" s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F115" i="1"/>
  <c r="AI115" i="1" s="1"/>
  <c r="M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F116" i="1"/>
  <c r="AI116" i="1" s="1"/>
  <c r="M117" i="1"/>
  <c r="R117" i="1" s="1"/>
  <c r="O117" i="1"/>
  <c r="P117" i="1"/>
  <c r="Q117" i="1"/>
  <c r="S117" i="1"/>
  <c r="T117" i="1"/>
  <c r="V117" i="1"/>
  <c r="W117" i="1"/>
  <c r="X117" i="1"/>
  <c r="Y117" i="1"/>
  <c r="AA117" i="1"/>
  <c r="AB117" i="1"/>
  <c r="AG117" i="1"/>
  <c r="AI117" i="1"/>
  <c r="M118" i="1"/>
  <c r="P118" i="1" s="1"/>
  <c r="Q118" i="1"/>
  <c r="T118" i="1"/>
  <c r="U118" i="1"/>
  <c r="AB118" i="1"/>
  <c r="AG118" i="1"/>
  <c r="AI118" i="1" s="1"/>
  <c r="M119" i="1"/>
  <c r="Y119" i="1" s="1"/>
  <c r="AG119" i="1"/>
  <c r="AI119" i="1" s="1"/>
  <c r="M120" i="1"/>
  <c r="P120" i="1" s="1"/>
  <c r="O120" i="1"/>
  <c r="R120" i="1"/>
  <c r="S120" i="1"/>
  <c r="V120" i="1"/>
  <c r="Z120" i="1"/>
  <c r="AA120" i="1"/>
  <c r="AG120" i="1"/>
  <c r="AI120" i="1"/>
  <c r="M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G121" i="1"/>
  <c r="AI121" i="1"/>
  <c r="M122" i="1"/>
  <c r="S122" i="1" s="1"/>
  <c r="O122" i="1"/>
  <c r="P122" i="1"/>
  <c r="Q122" i="1"/>
  <c r="R122" i="1"/>
  <c r="T122" i="1"/>
  <c r="U122" i="1"/>
  <c r="V122" i="1"/>
  <c r="W122" i="1"/>
  <c r="X122" i="1"/>
  <c r="Y122" i="1"/>
  <c r="Z122" i="1"/>
  <c r="AB122" i="1"/>
  <c r="AC122" i="1"/>
  <c r="AG122" i="1"/>
  <c r="AI122" i="1"/>
  <c r="M123" i="1"/>
  <c r="Q123" i="1" s="1"/>
  <c r="O123" i="1"/>
  <c r="R123" i="1"/>
  <c r="U123" i="1"/>
  <c r="V123" i="1"/>
  <c r="Z123" i="1"/>
  <c r="AC123" i="1"/>
  <c r="AG123" i="1"/>
  <c r="AI123" i="1" s="1"/>
  <c r="M124" i="1"/>
  <c r="O124" i="1" s="1"/>
  <c r="Z124" i="1"/>
  <c r="AA124" i="1"/>
  <c r="AB124" i="1"/>
  <c r="AG124" i="1"/>
  <c r="AI124" i="1" s="1"/>
  <c r="M125" i="1"/>
  <c r="R125" i="1" s="1"/>
  <c r="O125" i="1"/>
  <c r="P125" i="1"/>
  <c r="Q125" i="1"/>
  <c r="S125" i="1"/>
  <c r="T125" i="1"/>
  <c r="V125" i="1"/>
  <c r="W125" i="1"/>
  <c r="X125" i="1"/>
  <c r="Y125" i="1"/>
  <c r="AA125" i="1"/>
  <c r="AB125" i="1"/>
  <c r="AG125" i="1"/>
  <c r="AI125" i="1"/>
  <c r="M126" i="1"/>
  <c r="P126" i="1"/>
  <c r="Q126" i="1"/>
  <c r="T126" i="1"/>
  <c r="U126" i="1"/>
  <c r="V126" i="1"/>
  <c r="X126" i="1"/>
  <c r="AB126" i="1"/>
  <c r="AC126" i="1"/>
  <c r="AI126" i="1"/>
  <c r="M127" i="1"/>
  <c r="O127" i="1" s="1"/>
  <c r="AA127" i="1"/>
  <c r="AB127" i="1"/>
  <c r="AG127" i="1"/>
  <c r="AI127" i="1" s="1"/>
  <c r="M128" i="1"/>
  <c r="R128" i="1" s="1"/>
  <c r="O128" i="1"/>
  <c r="P128" i="1"/>
  <c r="Q128" i="1"/>
  <c r="S128" i="1"/>
  <c r="T128" i="1"/>
  <c r="V128" i="1"/>
  <c r="W128" i="1"/>
  <c r="X128" i="1"/>
  <c r="Y128" i="1"/>
  <c r="AA128" i="1"/>
  <c r="AB128" i="1"/>
  <c r="AG128" i="1"/>
  <c r="AI128" i="1"/>
  <c r="M129" i="1"/>
  <c r="P129" i="1"/>
  <c r="Q129" i="1"/>
  <c r="T129" i="1"/>
  <c r="U129" i="1"/>
  <c r="V129" i="1"/>
  <c r="X129" i="1"/>
  <c r="Y129" i="1"/>
  <c r="AB129" i="1"/>
  <c r="AC129" i="1"/>
  <c r="AG129" i="1"/>
  <c r="AI129" i="1"/>
  <c r="M130" i="1"/>
  <c r="Q130" i="1"/>
  <c r="R130" i="1"/>
  <c r="S130" i="1"/>
  <c r="Y130" i="1"/>
  <c r="Z130" i="1"/>
  <c r="AA130" i="1"/>
  <c r="AC130" i="1"/>
  <c r="AF130" i="1"/>
  <c r="AI130" i="1" s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G131" i="1"/>
  <c r="AH131" i="1"/>
  <c r="AI131" i="1"/>
  <c r="M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F132" i="1"/>
  <c r="AI132" i="1"/>
  <c r="M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F133" i="1"/>
  <c r="AI133" i="1" s="1"/>
  <c r="M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G134" i="1"/>
  <c r="AI134" i="1" s="1"/>
  <c r="AH134" i="1"/>
  <c r="M135" i="1"/>
  <c r="O135" i="1"/>
  <c r="P135" i="1"/>
  <c r="AH135" i="1" s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F135" i="1"/>
  <c r="AI135" i="1"/>
  <c r="M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F136" i="1"/>
  <c r="AI136" i="1"/>
  <c r="M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G137" i="1"/>
  <c r="AI137" i="1" s="1"/>
  <c r="M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F138" i="1"/>
  <c r="AI138" i="1"/>
  <c r="M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G139" i="1"/>
  <c r="AI139" i="1"/>
  <c r="M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F140" i="1"/>
  <c r="AI140" i="1"/>
  <c r="M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F141" i="1"/>
  <c r="AI141" i="1"/>
  <c r="M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F142" i="1"/>
  <c r="AI142" i="1"/>
  <c r="M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F143" i="1"/>
  <c r="AH143" i="1"/>
  <c r="AI143" i="1"/>
  <c r="M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F144" i="1"/>
  <c r="AI144" i="1"/>
  <c r="M145" i="1"/>
  <c r="O145" i="1"/>
  <c r="Q145" i="1"/>
  <c r="R145" i="1"/>
  <c r="V145" i="1"/>
  <c r="W145" i="1"/>
  <c r="Y145" i="1"/>
  <c r="Z145" i="1"/>
  <c r="AA145" i="1"/>
  <c r="AG145" i="1"/>
  <c r="AI145" i="1" s="1"/>
  <c r="M146" i="1"/>
  <c r="O146" i="1"/>
  <c r="P146" i="1"/>
  <c r="Q146" i="1"/>
  <c r="V146" i="1"/>
  <c r="W146" i="1"/>
  <c r="X146" i="1"/>
  <c r="Y146" i="1"/>
  <c r="Z146" i="1"/>
  <c r="AG146" i="1"/>
  <c r="AI146" i="1"/>
  <c r="M147" i="1"/>
  <c r="O147" i="1"/>
  <c r="AG147" i="1"/>
  <c r="AI147" i="1"/>
  <c r="M148" i="1"/>
  <c r="P148" i="1" s="1"/>
  <c r="AG148" i="1"/>
  <c r="AI148" i="1"/>
  <c r="M149" i="1"/>
  <c r="O149" i="1"/>
  <c r="V149" i="1"/>
  <c r="AG149" i="1"/>
  <c r="AI149" i="1"/>
  <c r="M150" i="1"/>
  <c r="U150" i="1"/>
  <c r="V150" i="1"/>
  <c r="AG150" i="1"/>
  <c r="AI150" i="1" s="1"/>
  <c r="M151" i="1"/>
  <c r="O151" i="1"/>
  <c r="P151" i="1"/>
  <c r="AH151" i="1" s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G151" i="1"/>
  <c r="AI151" i="1"/>
  <c r="M152" i="1"/>
  <c r="O152" i="1" s="1"/>
  <c r="P152" i="1"/>
  <c r="Q152" i="1"/>
  <c r="R152" i="1"/>
  <c r="W152" i="1"/>
  <c r="Y152" i="1"/>
  <c r="Z152" i="1"/>
  <c r="AB152" i="1"/>
  <c r="AG152" i="1"/>
  <c r="AI152" i="1"/>
  <c r="M153" i="1"/>
  <c r="O153" i="1"/>
  <c r="Q153" i="1"/>
  <c r="R153" i="1"/>
  <c r="V153" i="1"/>
  <c r="W153" i="1"/>
  <c r="Y153" i="1"/>
  <c r="Z153" i="1"/>
  <c r="AA153" i="1"/>
  <c r="AG153" i="1"/>
  <c r="AI153" i="1" s="1"/>
  <c r="M154" i="1"/>
  <c r="O154" i="1"/>
  <c r="P154" i="1"/>
  <c r="Q154" i="1"/>
  <c r="V154" i="1"/>
  <c r="W154" i="1"/>
  <c r="X154" i="1"/>
  <c r="Y154" i="1"/>
  <c r="Z154" i="1"/>
  <c r="AI154" i="1"/>
  <c r="M155" i="1"/>
  <c r="O155" i="1"/>
  <c r="P155" i="1"/>
  <c r="Q155" i="1"/>
  <c r="V155" i="1"/>
  <c r="W155" i="1"/>
  <c r="X155" i="1"/>
  <c r="Y155" i="1"/>
  <c r="Z155" i="1"/>
  <c r="AG155" i="1"/>
  <c r="AI155" i="1"/>
  <c r="M156" i="1"/>
  <c r="M227" i="1" s="1"/>
  <c r="O156" i="1"/>
  <c r="P156" i="1"/>
  <c r="Q156" i="1"/>
  <c r="R156" i="1"/>
  <c r="S156" i="1"/>
  <c r="T156" i="1"/>
  <c r="U156" i="1"/>
  <c r="V156" i="1"/>
  <c r="AH156" i="1" s="1"/>
  <c r="W156" i="1"/>
  <c r="X156" i="1"/>
  <c r="Y156" i="1"/>
  <c r="Z156" i="1"/>
  <c r="AA156" i="1"/>
  <c r="AB156" i="1"/>
  <c r="AC156" i="1"/>
  <c r="AF156" i="1"/>
  <c r="AI156" i="1" s="1"/>
  <c r="M157" i="1"/>
  <c r="T157" i="1" s="1"/>
  <c r="AG157" i="1"/>
  <c r="AI157" i="1"/>
  <c r="M158" i="1"/>
  <c r="O158" i="1"/>
  <c r="P158" i="1"/>
  <c r="Q158" i="1"/>
  <c r="S158" i="1"/>
  <c r="T158" i="1"/>
  <c r="U158" i="1"/>
  <c r="V158" i="1"/>
  <c r="W158" i="1"/>
  <c r="X158" i="1"/>
  <c r="Y158" i="1"/>
  <c r="AA158" i="1"/>
  <c r="AB158" i="1"/>
  <c r="AC158" i="1"/>
  <c r="AG158" i="1"/>
  <c r="AI158" i="1" s="1"/>
  <c r="M159" i="1"/>
  <c r="U159" i="1" s="1"/>
  <c r="O159" i="1"/>
  <c r="P159" i="1"/>
  <c r="Q159" i="1"/>
  <c r="R159" i="1"/>
  <c r="S159" i="1"/>
  <c r="T159" i="1"/>
  <c r="V159" i="1"/>
  <c r="W159" i="1"/>
  <c r="X159" i="1"/>
  <c r="Y159" i="1"/>
  <c r="Z159" i="1"/>
  <c r="AA159" i="1"/>
  <c r="AB159" i="1"/>
  <c r="AF159" i="1"/>
  <c r="AI159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G160" i="1"/>
  <c r="AI160" i="1"/>
  <c r="M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F161" i="1"/>
  <c r="AI161" i="1" s="1"/>
  <c r="AH161" i="1"/>
  <c r="M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F162" i="1"/>
  <c r="AI162" i="1"/>
  <c r="M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G163" i="1"/>
  <c r="AI163" i="1"/>
  <c r="M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F164" i="1"/>
  <c r="AI164" i="1" s="1"/>
  <c r="M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F165" i="1"/>
  <c r="AI165" i="1"/>
  <c r="M166" i="1"/>
  <c r="O166" i="1"/>
  <c r="P166" i="1"/>
  <c r="AH166" i="1" s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G166" i="1"/>
  <c r="AI166" i="1"/>
  <c r="M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F167" i="1"/>
  <c r="AI167" i="1"/>
  <c r="M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G168" i="1"/>
  <c r="AH168" i="1"/>
  <c r="AI168" i="1"/>
  <c r="M169" i="1"/>
  <c r="O169" i="1"/>
  <c r="P169" i="1"/>
  <c r="Q169" i="1"/>
  <c r="R169" i="1"/>
  <c r="S169" i="1"/>
  <c r="T169" i="1"/>
  <c r="AH169" i="1" s="1"/>
  <c r="U169" i="1"/>
  <c r="V169" i="1"/>
  <c r="W169" i="1"/>
  <c r="X169" i="1"/>
  <c r="Y169" i="1"/>
  <c r="Z169" i="1"/>
  <c r="AA169" i="1"/>
  <c r="AB169" i="1"/>
  <c r="AC169" i="1"/>
  <c r="AF169" i="1"/>
  <c r="AI169" i="1" s="1"/>
  <c r="M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F170" i="1"/>
  <c r="AI170" i="1"/>
  <c r="M171" i="1"/>
  <c r="O171" i="1"/>
  <c r="P171" i="1"/>
  <c r="AH171" i="1" s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F171" i="1"/>
  <c r="AI171" i="1" s="1"/>
  <c r="M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F172" i="1"/>
  <c r="AI172" i="1" s="1"/>
  <c r="M173" i="1"/>
  <c r="O173" i="1"/>
  <c r="P173" i="1"/>
  <c r="AH173" i="1" s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F173" i="1"/>
  <c r="AI173" i="1"/>
  <c r="M174" i="1"/>
  <c r="AG174" i="1"/>
  <c r="AI174" i="1"/>
  <c r="M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G175" i="1"/>
  <c r="AI175" i="1"/>
  <c r="M176" i="1"/>
  <c r="O176" i="1"/>
  <c r="P176" i="1"/>
  <c r="Y176" i="1"/>
  <c r="Z176" i="1"/>
  <c r="AG176" i="1"/>
  <c r="AI176" i="1" s="1"/>
  <c r="M177" i="1"/>
  <c r="O177" i="1" s="1"/>
  <c r="T177" i="1"/>
  <c r="U177" i="1"/>
  <c r="V177" i="1"/>
  <c r="AA177" i="1"/>
  <c r="AB177" i="1"/>
  <c r="AG177" i="1"/>
  <c r="AI177" i="1" s="1"/>
  <c r="M178" i="1"/>
  <c r="U178" i="1" s="1"/>
  <c r="O178" i="1"/>
  <c r="P178" i="1"/>
  <c r="Q178" i="1"/>
  <c r="R178" i="1"/>
  <c r="S178" i="1"/>
  <c r="T178" i="1"/>
  <c r="V178" i="1"/>
  <c r="W178" i="1"/>
  <c r="X178" i="1"/>
  <c r="Y178" i="1"/>
  <c r="Z178" i="1"/>
  <c r="AA178" i="1"/>
  <c r="AB178" i="1"/>
  <c r="AG178" i="1"/>
  <c r="AI178" i="1"/>
  <c r="M179" i="1"/>
  <c r="O179" i="1"/>
  <c r="Y179" i="1"/>
  <c r="AC179" i="1"/>
  <c r="AG179" i="1"/>
  <c r="AI179" i="1"/>
  <c r="M180" i="1"/>
  <c r="R180" i="1"/>
  <c r="S180" i="1"/>
  <c r="T180" i="1"/>
  <c r="U180" i="1"/>
  <c r="Z180" i="1"/>
  <c r="AA180" i="1"/>
  <c r="AB180" i="1"/>
  <c r="AC180" i="1"/>
  <c r="AG180" i="1"/>
  <c r="AI180" i="1" s="1"/>
  <c r="M181" i="1"/>
  <c r="T181" i="1" s="1"/>
  <c r="O181" i="1"/>
  <c r="P181" i="1"/>
  <c r="Q181" i="1"/>
  <c r="R181" i="1"/>
  <c r="S181" i="1"/>
  <c r="V181" i="1"/>
  <c r="W181" i="1"/>
  <c r="X181" i="1"/>
  <c r="Y181" i="1"/>
  <c r="Z181" i="1"/>
  <c r="AA181" i="1"/>
  <c r="AG181" i="1"/>
  <c r="AI181" i="1"/>
  <c r="M182" i="1"/>
  <c r="O182" i="1"/>
  <c r="P182" i="1"/>
  <c r="AB182" i="1"/>
  <c r="AC182" i="1"/>
  <c r="AG182" i="1"/>
  <c r="AI182" i="1" s="1"/>
  <c r="M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G183" i="1"/>
  <c r="AI183" i="1"/>
  <c r="M184" i="1"/>
  <c r="O184" i="1"/>
  <c r="P184" i="1"/>
  <c r="Q184" i="1"/>
  <c r="V184" i="1"/>
  <c r="W184" i="1"/>
  <c r="Y184" i="1"/>
  <c r="Z184" i="1"/>
  <c r="AG184" i="1"/>
  <c r="AI184" i="1" s="1"/>
  <c r="M185" i="1"/>
  <c r="O185" i="1" s="1"/>
  <c r="U185" i="1"/>
  <c r="V185" i="1"/>
  <c r="W185" i="1"/>
  <c r="AB185" i="1"/>
  <c r="AG185" i="1"/>
  <c r="AI185" i="1" s="1"/>
  <c r="M186" i="1"/>
  <c r="U186" i="1" s="1"/>
  <c r="O186" i="1"/>
  <c r="P186" i="1"/>
  <c r="Q186" i="1"/>
  <c r="R186" i="1"/>
  <c r="S186" i="1"/>
  <c r="T186" i="1"/>
  <c r="V186" i="1"/>
  <c r="W186" i="1"/>
  <c r="X186" i="1"/>
  <c r="Y186" i="1"/>
  <c r="Z186" i="1"/>
  <c r="AA186" i="1"/>
  <c r="AB186" i="1"/>
  <c r="AF186" i="1"/>
  <c r="AI186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G187" i="1"/>
  <c r="AI187" i="1"/>
  <c r="M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F188" i="1"/>
  <c r="AI188" i="1" s="1"/>
  <c r="M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G189" i="1"/>
  <c r="AI189" i="1"/>
  <c r="M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F190" i="1"/>
  <c r="AI190" i="1"/>
  <c r="M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F191" i="1"/>
  <c r="AI191" i="1" s="1"/>
  <c r="M192" i="1"/>
  <c r="O192" i="1"/>
  <c r="P192" i="1"/>
  <c r="AH192" i="1" s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G192" i="1"/>
  <c r="AI192" i="1"/>
  <c r="M193" i="1"/>
  <c r="O193" i="1"/>
  <c r="P193" i="1"/>
  <c r="AH193" i="1" s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F193" i="1"/>
  <c r="AI193" i="1"/>
  <c r="M194" i="1"/>
  <c r="O194" i="1"/>
  <c r="P194" i="1"/>
  <c r="AH194" i="1" s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G194" i="1"/>
  <c r="AI194" i="1"/>
  <c r="M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F195" i="1"/>
  <c r="AI195" i="1" s="1"/>
  <c r="M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F196" i="1"/>
  <c r="AI196" i="1" s="1"/>
  <c r="M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F197" i="1"/>
  <c r="AI197" i="1"/>
  <c r="M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F198" i="1"/>
  <c r="AI198" i="1" s="1"/>
  <c r="AH198" i="1"/>
  <c r="M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F199" i="1"/>
  <c r="AI199" i="1" s="1"/>
  <c r="M200" i="1"/>
  <c r="O200" i="1" s="1"/>
  <c r="Q200" i="1"/>
  <c r="R200" i="1"/>
  <c r="S200" i="1"/>
  <c r="W200" i="1"/>
  <c r="X200" i="1"/>
  <c r="AA200" i="1"/>
  <c r="AG200" i="1"/>
  <c r="AI200" i="1" s="1"/>
  <c r="M201" i="1"/>
  <c r="O201" i="1" s="1"/>
  <c r="U201" i="1"/>
  <c r="V201" i="1"/>
  <c r="X201" i="1"/>
  <c r="AG201" i="1"/>
  <c r="AI201" i="1"/>
  <c r="M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G202" i="1"/>
  <c r="AI202" i="1"/>
  <c r="M203" i="1"/>
  <c r="O203" i="1" s="1"/>
  <c r="Q203" i="1"/>
  <c r="R203" i="1"/>
  <c r="U203" i="1"/>
  <c r="W203" i="1"/>
  <c r="X203" i="1"/>
  <c r="AC203" i="1"/>
  <c r="AG203" i="1"/>
  <c r="AI203" i="1" s="1"/>
  <c r="M204" i="1"/>
  <c r="O204" i="1" s="1"/>
  <c r="U204" i="1"/>
  <c r="V204" i="1"/>
  <c r="Z204" i="1"/>
  <c r="AG204" i="1"/>
  <c r="AI204" i="1" s="1"/>
  <c r="M205" i="1"/>
  <c r="U205" i="1" s="1"/>
  <c r="O205" i="1"/>
  <c r="P205" i="1"/>
  <c r="Q205" i="1"/>
  <c r="R205" i="1"/>
  <c r="S205" i="1"/>
  <c r="T205" i="1"/>
  <c r="V205" i="1"/>
  <c r="W205" i="1"/>
  <c r="X205" i="1"/>
  <c r="Y205" i="1"/>
  <c r="Z205" i="1"/>
  <c r="AA205" i="1"/>
  <c r="AB205" i="1"/>
  <c r="AG205" i="1"/>
  <c r="AI205" i="1"/>
  <c r="M206" i="1"/>
  <c r="O206" i="1"/>
  <c r="P206" i="1"/>
  <c r="Q206" i="1"/>
  <c r="T206" i="1"/>
  <c r="U206" i="1"/>
  <c r="V206" i="1"/>
  <c r="W206" i="1"/>
  <c r="X206" i="1"/>
  <c r="Y206" i="1"/>
  <c r="AB206" i="1"/>
  <c r="AC206" i="1"/>
  <c r="AG206" i="1"/>
  <c r="AI206" i="1"/>
  <c r="M207" i="1"/>
  <c r="Y207" i="1"/>
  <c r="AG207" i="1"/>
  <c r="AI207" i="1" s="1"/>
  <c r="M208" i="1"/>
  <c r="O208" i="1"/>
  <c r="P208" i="1"/>
  <c r="Q208" i="1"/>
  <c r="S208" i="1"/>
  <c r="U208" i="1"/>
  <c r="W208" i="1"/>
  <c r="X208" i="1"/>
  <c r="Y208" i="1"/>
  <c r="Z208" i="1"/>
  <c r="AC208" i="1"/>
  <c r="AG208" i="1"/>
  <c r="AI208" i="1" s="1"/>
  <c r="M209" i="1"/>
  <c r="O209" i="1"/>
  <c r="P209" i="1"/>
  <c r="S209" i="1"/>
  <c r="W209" i="1"/>
  <c r="X209" i="1"/>
  <c r="Z209" i="1"/>
  <c r="AB209" i="1"/>
  <c r="AG209" i="1"/>
  <c r="AI209" i="1"/>
  <c r="M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G210" i="1"/>
  <c r="AH210" i="1"/>
  <c r="AI210" i="1"/>
  <c r="M211" i="1"/>
  <c r="O211" i="1" s="1"/>
  <c r="T211" i="1"/>
  <c r="U211" i="1"/>
  <c r="W211" i="1"/>
  <c r="AC211" i="1"/>
  <c r="AG211" i="1"/>
  <c r="AI211" i="1" s="1"/>
  <c r="M212" i="1"/>
  <c r="O212" i="1" s="1"/>
  <c r="R212" i="1"/>
  <c r="S212" i="1"/>
  <c r="T212" i="1"/>
  <c r="V212" i="1"/>
  <c r="W212" i="1"/>
  <c r="AA212" i="1"/>
  <c r="AB212" i="1"/>
  <c r="AC212" i="1"/>
  <c r="AF212" i="1"/>
  <c r="AI212" i="1" s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G213" i="1"/>
  <c r="AI213" i="1"/>
  <c r="M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F214" i="1"/>
  <c r="AI214" i="1"/>
  <c r="M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F215" i="1"/>
  <c r="AI215" i="1" s="1"/>
  <c r="M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G216" i="1"/>
  <c r="AI216" i="1" s="1"/>
  <c r="M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F217" i="1"/>
  <c r="AI217" i="1"/>
  <c r="M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F218" i="1"/>
  <c r="AI218" i="1" s="1"/>
  <c r="M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G219" i="1"/>
  <c r="AI219" i="1" s="1"/>
  <c r="M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F220" i="1"/>
  <c r="AI220" i="1"/>
  <c r="M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G221" i="1"/>
  <c r="AI221" i="1"/>
  <c r="O222" i="1"/>
  <c r="P222" i="1"/>
  <c r="AH222" i="1" s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F222" i="1"/>
  <c r="AI222" i="1" s="1"/>
  <c r="M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F223" i="1"/>
  <c r="AI223" i="1" s="1"/>
  <c r="AH223" i="1"/>
  <c r="M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F224" i="1"/>
  <c r="AI224" i="1" s="1"/>
  <c r="M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F225" i="1"/>
  <c r="AI225" i="1" s="1"/>
  <c r="M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F226" i="1"/>
  <c r="AH226" i="1"/>
  <c r="AI226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F227" i="1"/>
  <c r="AI227" i="1"/>
  <c r="M228" i="1"/>
  <c r="S228" i="1" s="1"/>
  <c r="O228" i="1"/>
  <c r="P228" i="1"/>
  <c r="Q228" i="1"/>
  <c r="R228" i="1"/>
  <c r="T228" i="1"/>
  <c r="U228" i="1"/>
  <c r="V228" i="1"/>
  <c r="W228" i="1"/>
  <c r="X228" i="1"/>
  <c r="Y228" i="1"/>
  <c r="Z228" i="1"/>
  <c r="AB228" i="1"/>
  <c r="AC228" i="1"/>
  <c r="AG228" i="1"/>
  <c r="AI228" i="1"/>
  <c r="M229" i="1"/>
  <c r="O229" i="1"/>
  <c r="V229" i="1"/>
  <c r="W229" i="1"/>
  <c r="AG229" i="1"/>
  <c r="AI229" i="1" s="1"/>
  <c r="M230" i="1"/>
  <c r="U230" i="1" s="1"/>
  <c r="S230" i="1"/>
  <c r="T230" i="1"/>
  <c r="V230" i="1"/>
  <c r="AA230" i="1"/>
  <c r="AB230" i="1"/>
  <c r="AG230" i="1"/>
  <c r="AI230" i="1" s="1"/>
  <c r="M231" i="1"/>
  <c r="R231" i="1" s="1"/>
  <c r="O231" i="1"/>
  <c r="P231" i="1"/>
  <c r="Q231" i="1"/>
  <c r="S231" i="1"/>
  <c r="T231" i="1"/>
  <c r="V231" i="1"/>
  <c r="W231" i="1"/>
  <c r="X231" i="1"/>
  <c r="Y231" i="1"/>
  <c r="AA231" i="1"/>
  <c r="AB231" i="1"/>
  <c r="AG231" i="1"/>
  <c r="AI231" i="1"/>
  <c r="AG232" i="1"/>
  <c r="AI232" i="1" s="1"/>
  <c r="AG233" i="1"/>
  <c r="AI233" i="1" s="1"/>
  <c r="M234" i="1"/>
  <c r="Q234" i="1" s="1"/>
  <c r="O234" i="1"/>
  <c r="P234" i="1"/>
  <c r="R234" i="1"/>
  <c r="V234" i="1"/>
  <c r="W234" i="1"/>
  <c r="X234" i="1"/>
  <c r="Z234" i="1"/>
  <c r="AA234" i="1"/>
  <c r="AG234" i="1"/>
  <c r="AI234" i="1"/>
  <c r="M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G235" i="1"/>
  <c r="AI235" i="1"/>
  <c r="M236" i="1"/>
  <c r="S236" i="1" s="1"/>
  <c r="O236" i="1"/>
  <c r="P236" i="1"/>
  <c r="Q236" i="1"/>
  <c r="R236" i="1"/>
  <c r="T236" i="1"/>
  <c r="U236" i="1"/>
  <c r="V236" i="1"/>
  <c r="W236" i="1"/>
  <c r="X236" i="1"/>
  <c r="Y236" i="1"/>
  <c r="Z236" i="1"/>
  <c r="AB236" i="1"/>
  <c r="AC236" i="1"/>
  <c r="AG236" i="1"/>
  <c r="AI236" i="1"/>
  <c r="M237" i="1"/>
  <c r="O237" i="1"/>
  <c r="V237" i="1"/>
  <c r="W237" i="1"/>
  <c r="AG237" i="1"/>
  <c r="AI237" i="1" s="1"/>
  <c r="M238" i="1"/>
  <c r="U238" i="1" s="1"/>
  <c r="S238" i="1"/>
  <c r="T238" i="1"/>
  <c r="V238" i="1"/>
  <c r="AA238" i="1"/>
  <c r="AB238" i="1"/>
  <c r="AG238" i="1"/>
  <c r="AI238" i="1" s="1"/>
  <c r="M239" i="1"/>
  <c r="R239" i="1" s="1"/>
  <c r="O239" i="1"/>
  <c r="P239" i="1"/>
  <c r="Q239" i="1"/>
  <c r="S239" i="1"/>
  <c r="T239" i="1"/>
  <c r="V239" i="1"/>
  <c r="W239" i="1"/>
  <c r="X239" i="1"/>
  <c r="Y239" i="1"/>
  <c r="AA239" i="1"/>
  <c r="AB239" i="1"/>
  <c r="AG239" i="1"/>
  <c r="AI239" i="1"/>
  <c r="M240" i="1"/>
  <c r="U240" i="1" s="1"/>
  <c r="AF240" i="1"/>
  <c r="AI240" i="1" s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G241" i="1"/>
  <c r="AI241" i="1" s="1"/>
  <c r="K242" i="1"/>
  <c r="U242" i="1" s="1"/>
  <c r="O242" i="1"/>
  <c r="P242" i="1"/>
  <c r="Q242" i="1"/>
  <c r="R242" i="1"/>
  <c r="S242" i="1"/>
  <c r="T242" i="1"/>
  <c r="V242" i="1"/>
  <c r="W242" i="1"/>
  <c r="X242" i="1"/>
  <c r="Y242" i="1"/>
  <c r="Z242" i="1"/>
  <c r="AA242" i="1"/>
  <c r="AB242" i="1"/>
  <c r="AC242" i="1"/>
  <c r="AG242" i="1"/>
  <c r="AI242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G243" i="1"/>
  <c r="AI243" i="1" s="1"/>
  <c r="AH243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G244" i="1"/>
  <c r="AI244" i="1"/>
  <c r="O245" i="1"/>
  <c r="P245" i="1"/>
  <c r="AH245" i="1" s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F245" i="1"/>
  <c r="AI245" i="1" s="1"/>
  <c r="M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F246" i="1"/>
  <c r="AH246" i="1"/>
  <c r="AI246" i="1"/>
  <c r="M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F247" i="1"/>
  <c r="AI247" i="1"/>
  <c r="M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G248" i="1"/>
  <c r="AI248" i="1"/>
  <c r="M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F249" i="1"/>
  <c r="AI249" i="1" s="1"/>
  <c r="AH249" i="1"/>
  <c r="M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F250" i="1"/>
  <c r="AI250" i="1" s="1"/>
  <c r="M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G251" i="1"/>
  <c r="AI251" i="1"/>
  <c r="M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F252" i="1"/>
  <c r="AI252" i="1" s="1"/>
  <c r="M253" i="1"/>
  <c r="O253" i="1"/>
  <c r="P253" i="1"/>
  <c r="AH253" i="1" s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G253" i="1"/>
  <c r="AI253" i="1" s="1"/>
  <c r="M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G254" i="1"/>
  <c r="AH254" i="1"/>
  <c r="AI254" i="1"/>
  <c r="M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F255" i="1"/>
  <c r="AI255" i="1"/>
  <c r="M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F256" i="1"/>
  <c r="AI256" i="1"/>
  <c r="M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F257" i="1"/>
  <c r="AI257" i="1" s="1"/>
  <c r="AH257" i="1"/>
  <c r="M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F258" i="1"/>
  <c r="AI258" i="1" s="1"/>
  <c r="M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F259" i="1"/>
  <c r="AI259" i="1"/>
  <c r="M260" i="1"/>
  <c r="P260" i="1"/>
  <c r="Q260" i="1"/>
  <c r="U260" i="1"/>
  <c r="V260" i="1"/>
  <c r="X260" i="1"/>
  <c r="Y260" i="1"/>
  <c r="AC260" i="1"/>
  <c r="AG260" i="1"/>
  <c r="AI260" i="1"/>
  <c r="M261" i="1"/>
  <c r="R261" i="1" s="1"/>
  <c r="U261" i="1"/>
  <c r="V261" i="1"/>
  <c r="Z261" i="1"/>
  <c r="AC261" i="1"/>
  <c r="AG261" i="1"/>
  <c r="AI261" i="1" s="1"/>
  <c r="M262" i="1"/>
  <c r="Q262" i="1" s="1"/>
  <c r="O262" i="1"/>
  <c r="P262" i="1"/>
  <c r="R262" i="1"/>
  <c r="S262" i="1"/>
  <c r="V262" i="1"/>
  <c r="W262" i="1"/>
  <c r="X262" i="1"/>
  <c r="Z262" i="1"/>
  <c r="AA262" i="1"/>
  <c r="AG262" i="1"/>
  <c r="AI262" i="1"/>
  <c r="M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G263" i="1"/>
  <c r="AI263" i="1"/>
  <c r="M264" i="1"/>
  <c r="S264" i="1" s="1"/>
  <c r="O264" i="1"/>
  <c r="P264" i="1"/>
  <c r="Q264" i="1"/>
  <c r="R264" i="1"/>
  <c r="T264" i="1"/>
  <c r="U264" i="1"/>
  <c r="V264" i="1"/>
  <c r="W264" i="1"/>
  <c r="X264" i="1"/>
  <c r="Y264" i="1"/>
  <c r="Z264" i="1"/>
  <c r="AB264" i="1"/>
  <c r="AC264" i="1"/>
  <c r="AG264" i="1"/>
  <c r="AI264" i="1"/>
  <c r="M265" i="1"/>
  <c r="O265" i="1"/>
  <c r="Q265" i="1"/>
  <c r="R265" i="1"/>
  <c r="U265" i="1"/>
  <c r="W265" i="1"/>
  <c r="Y265" i="1"/>
  <c r="Z265" i="1"/>
  <c r="AC265" i="1"/>
  <c r="AG265" i="1"/>
  <c r="AI265" i="1" s="1"/>
  <c r="M266" i="1"/>
  <c r="W266" i="1" s="1"/>
  <c r="Z266" i="1"/>
  <c r="AA266" i="1"/>
  <c r="AG266" i="1"/>
  <c r="AI266" i="1" s="1"/>
  <c r="M267" i="1"/>
  <c r="R267" i="1" s="1"/>
  <c r="O267" i="1"/>
  <c r="P267" i="1"/>
  <c r="Q267" i="1"/>
  <c r="S267" i="1"/>
  <c r="T267" i="1"/>
  <c r="V267" i="1"/>
  <c r="W267" i="1"/>
  <c r="X267" i="1"/>
  <c r="Y267" i="1"/>
  <c r="AA267" i="1"/>
  <c r="AB267" i="1"/>
  <c r="AG267" i="1"/>
  <c r="AI267" i="1"/>
  <c r="M268" i="1"/>
  <c r="P268" i="1" s="1"/>
  <c r="T268" i="1"/>
  <c r="U268" i="1"/>
  <c r="V268" i="1"/>
  <c r="Y268" i="1"/>
  <c r="AB268" i="1"/>
  <c r="AG268" i="1"/>
  <c r="AI268" i="1"/>
  <c r="M269" i="1"/>
  <c r="AI269" i="1"/>
  <c r="M270" i="1"/>
  <c r="R270" i="1" s="1"/>
  <c r="O270" i="1"/>
  <c r="P270" i="1"/>
  <c r="Q270" i="1"/>
  <c r="S270" i="1"/>
  <c r="T270" i="1"/>
  <c r="V270" i="1"/>
  <c r="W270" i="1"/>
  <c r="X270" i="1"/>
  <c r="Y270" i="1"/>
  <c r="AA270" i="1"/>
  <c r="AB270" i="1"/>
  <c r="AG270" i="1"/>
  <c r="AI270" i="1"/>
  <c r="M271" i="1"/>
  <c r="P271" i="1" s="1"/>
  <c r="U271" i="1"/>
  <c r="V271" i="1"/>
  <c r="X271" i="1"/>
  <c r="AB271" i="1"/>
  <c r="AG271" i="1"/>
  <c r="AI271" i="1"/>
  <c r="M272" i="1"/>
  <c r="Q272" i="1" s="1"/>
  <c r="AC272" i="1"/>
  <c r="AG272" i="1"/>
  <c r="AI272" i="1" s="1"/>
  <c r="M273" i="1"/>
  <c r="O273" i="1"/>
  <c r="P273" i="1"/>
  <c r="R273" i="1"/>
  <c r="S273" i="1"/>
  <c r="U273" i="1"/>
  <c r="V273" i="1"/>
  <c r="W273" i="1"/>
  <c r="X273" i="1"/>
  <c r="Z273" i="1"/>
  <c r="AA273" i="1"/>
  <c r="AC273" i="1"/>
  <c r="AF273" i="1"/>
  <c r="AI273" i="1"/>
  <c r="M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G274" i="1"/>
  <c r="AI274" i="1"/>
  <c r="M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F275" i="1"/>
  <c r="AI275" i="1"/>
  <c r="M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F276" i="1"/>
  <c r="AI276" i="1" s="1"/>
  <c r="AH276" i="1"/>
  <c r="M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G277" i="1"/>
  <c r="AI277" i="1" s="1"/>
  <c r="M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F278" i="1"/>
  <c r="AI278" i="1" s="1"/>
  <c r="M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F279" i="1"/>
  <c r="AI279" i="1"/>
  <c r="M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G280" i="1"/>
  <c r="AI280" i="1" s="1"/>
  <c r="M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F281" i="1"/>
  <c r="AI281" i="1"/>
  <c r="M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G282" i="1"/>
  <c r="AI282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F283" i="1"/>
  <c r="AH283" i="1"/>
  <c r="AI283" i="1"/>
  <c r="M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F284" i="1"/>
  <c r="AI284" i="1" s="1"/>
  <c r="M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F285" i="1"/>
  <c r="AI285" i="1" s="1"/>
  <c r="M286" i="1"/>
  <c r="O286" i="1"/>
  <c r="P286" i="1"/>
  <c r="AH286" i="1" s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F286" i="1"/>
  <c r="AI286" i="1"/>
  <c r="M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F287" i="1"/>
  <c r="AI287" i="1" s="1"/>
  <c r="M288" i="1"/>
  <c r="P288" i="1" s="1"/>
  <c r="S288" i="1"/>
  <c r="U288" i="1"/>
  <c r="V288" i="1"/>
  <c r="Y288" i="1"/>
  <c r="AG288" i="1"/>
  <c r="AI288" i="1"/>
  <c r="M289" i="1"/>
  <c r="AG289" i="1"/>
  <c r="AI289" i="1"/>
  <c r="AG290" i="1"/>
  <c r="AI290" i="1"/>
  <c r="AG291" i="1"/>
  <c r="AI291" i="1"/>
  <c r="M292" i="1"/>
  <c r="O292" i="1"/>
  <c r="Q292" i="1"/>
  <c r="R292" i="1"/>
  <c r="U292" i="1"/>
  <c r="V292" i="1"/>
  <c r="Y292" i="1"/>
  <c r="Z292" i="1"/>
  <c r="AB292" i="1"/>
  <c r="AC292" i="1"/>
  <c r="AG292" i="1"/>
  <c r="AI292" i="1" s="1"/>
  <c r="M293" i="1"/>
  <c r="O293" i="1" s="1"/>
  <c r="R293" i="1"/>
  <c r="S293" i="1"/>
  <c r="T293" i="1"/>
  <c r="W293" i="1"/>
  <c r="Y293" i="1"/>
  <c r="AB293" i="1"/>
  <c r="AG293" i="1"/>
  <c r="AI293" i="1" s="1"/>
  <c r="M294" i="1"/>
  <c r="O294" i="1"/>
  <c r="P294" i="1"/>
  <c r="Q294" i="1"/>
  <c r="S294" i="1"/>
  <c r="T294" i="1"/>
  <c r="V294" i="1"/>
  <c r="W294" i="1"/>
  <c r="X294" i="1"/>
  <c r="Y294" i="1"/>
  <c r="AA294" i="1"/>
  <c r="AB294" i="1"/>
  <c r="AG294" i="1"/>
  <c r="AI294" i="1"/>
  <c r="M295" i="1"/>
  <c r="AG295" i="1"/>
  <c r="AI295" i="1"/>
  <c r="M296" i="1"/>
  <c r="P296" i="1"/>
  <c r="Q296" i="1"/>
  <c r="Y296" i="1"/>
  <c r="Z296" i="1"/>
  <c r="AA296" i="1"/>
  <c r="AG296" i="1"/>
  <c r="AI296" i="1" s="1"/>
  <c r="M297" i="1"/>
  <c r="O297" i="1"/>
  <c r="P297" i="1"/>
  <c r="R297" i="1"/>
  <c r="S297" i="1"/>
  <c r="V297" i="1"/>
  <c r="W297" i="1"/>
  <c r="X297" i="1"/>
  <c r="Z297" i="1"/>
  <c r="AA297" i="1"/>
  <c r="AC297" i="1"/>
  <c r="AI297" i="1"/>
  <c r="M298" i="1"/>
  <c r="P298" i="1" s="1"/>
  <c r="T298" i="1"/>
  <c r="U298" i="1"/>
  <c r="V298" i="1"/>
  <c r="Y298" i="1"/>
  <c r="AG298" i="1"/>
  <c r="AI298" i="1"/>
  <c r="M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F299" i="1"/>
  <c r="AI299" i="1" s="1"/>
  <c r="M300" i="1"/>
  <c r="O300" i="1" s="1"/>
  <c r="S300" i="1"/>
  <c r="U300" i="1"/>
  <c r="V300" i="1"/>
  <c r="X300" i="1"/>
  <c r="AG300" i="1"/>
  <c r="AI300" i="1"/>
  <c r="M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G301" i="1"/>
  <c r="AI301" i="1"/>
  <c r="M302" i="1"/>
  <c r="S302" i="1" s="1"/>
  <c r="O302" i="1"/>
  <c r="P302" i="1"/>
  <c r="Q302" i="1"/>
  <c r="R302" i="1"/>
  <c r="T302" i="1"/>
  <c r="U302" i="1"/>
  <c r="V302" i="1"/>
  <c r="W302" i="1"/>
  <c r="X302" i="1"/>
  <c r="Y302" i="1"/>
  <c r="Z302" i="1"/>
  <c r="AB302" i="1"/>
  <c r="AC302" i="1"/>
  <c r="AF302" i="1"/>
  <c r="AI302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G303" i="1"/>
  <c r="AI303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F304" i="1"/>
  <c r="AI304" i="1" s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G305" i="1"/>
  <c r="AI305" i="1" s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G306" i="1"/>
  <c r="AI306" i="1" s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G307" i="1"/>
  <c r="AH307" i="1"/>
  <c r="AI307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G308" i="1"/>
  <c r="AI308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G309" i="1"/>
  <c r="AI309" i="1" s="1"/>
  <c r="N310" i="1"/>
  <c r="O310" i="1"/>
  <c r="P310" i="1"/>
  <c r="Q310" i="1"/>
  <c r="AH310" i="1" s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F310" i="1"/>
  <c r="AI310" i="1" s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F311" i="1"/>
  <c r="AI311" i="1" s="1"/>
  <c r="AH311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F312" i="1"/>
  <c r="AI312" i="1" s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F313" i="1"/>
  <c r="AI313" i="1"/>
  <c r="N314" i="1"/>
  <c r="O314" i="1"/>
  <c r="P314" i="1"/>
  <c r="AH314" i="1" s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F314" i="1"/>
  <c r="AI314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F315" i="1"/>
  <c r="AI315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F316" i="1"/>
  <c r="AI316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H317" i="1" s="1"/>
  <c r="AF317" i="1"/>
  <c r="AI317" i="1" s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F318" i="1"/>
  <c r="AI318" i="1" s="1"/>
  <c r="N319" i="1"/>
  <c r="O319" i="1"/>
  <c r="P319" i="1"/>
  <c r="AH319" i="1" s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F319" i="1"/>
  <c r="AI319" i="1" s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F320" i="1"/>
  <c r="AI320" i="1" s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F321" i="1"/>
  <c r="AI321" i="1" s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F322" i="1"/>
  <c r="AI322" i="1" s="1"/>
  <c r="N323" i="1"/>
  <c r="O323" i="1"/>
  <c r="P323" i="1"/>
  <c r="AH323" i="1" s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F323" i="1"/>
  <c r="AI323" i="1"/>
  <c r="N324" i="1"/>
  <c r="O324" i="1"/>
  <c r="P324" i="1"/>
  <c r="AH324" i="1" s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F324" i="1"/>
  <c r="AI324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F325" i="1"/>
  <c r="AI325" i="1" s="1"/>
  <c r="N326" i="1"/>
  <c r="O326" i="1"/>
  <c r="P326" i="1"/>
  <c r="Q326" i="1"/>
  <c r="AH326" i="1" s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F326" i="1"/>
  <c r="AI326" i="1" s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F327" i="1"/>
  <c r="AI327" i="1" s="1"/>
  <c r="AH327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F328" i="1"/>
  <c r="AI328" i="1" s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F329" i="1"/>
  <c r="AI329" i="1"/>
  <c r="N330" i="1"/>
  <c r="O330" i="1"/>
  <c r="P330" i="1"/>
  <c r="AH330" i="1" s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G330" i="1"/>
  <c r="AI330" i="1" s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G331" i="1"/>
  <c r="AI331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G332" i="1"/>
  <c r="AI332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G333" i="1"/>
  <c r="AI333" i="1" s="1"/>
  <c r="AH333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G334" i="1"/>
  <c r="AI334" i="1" s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G335" i="1"/>
  <c r="AI335" i="1" s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G336" i="1"/>
  <c r="AI336" i="1"/>
  <c r="N337" i="1"/>
  <c r="O337" i="1"/>
  <c r="P337" i="1"/>
  <c r="AH337" i="1" s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G337" i="1"/>
  <c r="AI337" i="1" s="1"/>
  <c r="N338" i="1"/>
  <c r="O338" i="1"/>
  <c r="P338" i="1"/>
  <c r="AH338" i="1" s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G338" i="1"/>
  <c r="AI338" i="1" s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G339" i="1"/>
  <c r="AH339" i="1"/>
  <c r="AI339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F340" i="1"/>
  <c r="AI340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F341" i="1"/>
  <c r="AI341" i="1" s="1"/>
  <c r="N342" i="1"/>
  <c r="O342" i="1"/>
  <c r="P342" i="1"/>
  <c r="AH342" i="1" s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F342" i="1"/>
  <c r="AI342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F343" i="1"/>
  <c r="AI343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F344" i="1"/>
  <c r="AI344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F345" i="1"/>
  <c r="AI345" i="1" s="1"/>
  <c r="AH345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F346" i="1"/>
  <c r="AI346" i="1" s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F347" i="1"/>
  <c r="AH347" i="1"/>
  <c r="AI347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F348" i="1"/>
  <c r="AI348" i="1" s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F349" i="1"/>
  <c r="AI349" i="1" s="1"/>
  <c r="N350" i="1"/>
  <c r="O350" i="1"/>
  <c r="P350" i="1"/>
  <c r="AH350" i="1" s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F350" i="1"/>
  <c r="AI350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F351" i="1"/>
  <c r="AI351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F352" i="1"/>
  <c r="AI352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F353" i="1"/>
  <c r="AI353" i="1" s="1"/>
  <c r="AH353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F354" i="1"/>
  <c r="AI354" i="1" s="1"/>
  <c r="N355" i="1"/>
  <c r="O355" i="1"/>
  <c r="P355" i="1"/>
  <c r="AH355" i="1" s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F355" i="1"/>
  <c r="AI355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F356" i="1"/>
  <c r="AI356" i="1" s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F357" i="1"/>
  <c r="AI357" i="1" s="1"/>
  <c r="N358" i="1"/>
  <c r="O358" i="1"/>
  <c r="P358" i="1"/>
  <c r="Q358" i="1"/>
  <c r="R358" i="1"/>
  <c r="S358" i="1"/>
  <c r="T358" i="1"/>
  <c r="U358" i="1"/>
  <c r="V358" i="1"/>
  <c r="W358" i="1"/>
  <c r="X358" i="1"/>
  <c r="AH358" i="1" s="1"/>
  <c r="Y358" i="1"/>
  <c r="Z358" i="1"/>
  <c r="AA358" i="1"/>
  <c r="AB358" i="1"/>
  <c r="AC358" i="1"/>
  <c r="AF358" i="1"/>
  <c r="AI358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F359" i="1"/>
  <c r="AI359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F360" i="1"/>
  <c r="AI360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AH361" i="1" s="1"/>
  <c r="Z361" i="1"/>
  <c r="AA361" i="1"/>
  <c r="AB361" i="1"/>
  <c r="AC361" i="1"/>
  <c r="AF361" i="1"/>
  <c r="AI361" i="1" s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F362" i="1"/>
  <c r="AI362" i="1" s="1"/>
  <c r="N363" i="1"/>
  <c r="O363" i="1"/>
  <c r="P363" i="1"/>
  <c r="AH363" i="1" s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F363" i="1"/>
  <c r="AI363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F364" i="1"/>
  <c r="AI364" i="1" s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F365" i="1"/>
  <c r="AI365" i="1" s="1"/>
  <c r="N366" i="1"/>
  <c r="O366" i="1"/>
  <c r="P366" i="1"/>
  <c r="Q366" i="1"/>
  <c r="R366" i="1"/>
  <c r="AH366" i="1" s="1"/>
  <c r="S366" i="1"/>
  <c r="T366" i="1"/>
  <c r="U366" i="1"/>
  <c r="V366" i="1"/>
  <c r="W366" i="1"/>
  <c r="X366" i="1"/>
  <c r="Y366" i="1"/>
  <c r="Z366" i="1"/>
  <c r="AA366" i="1"/>
  <c r="AB366" i="1"/>
  <c r="AC366" i="1"/>
  <c r="AF366" i="1"/>
  <c r="AI366" i="1"/>
  <c r="N367" i="1"/>
  <c r="O367" i="1"/>
  <c r="P367" i="1"/>
  <c r="Q367" i="1"/>
  <c r="R367" i="1"/>
  <c r="S367" i="1"/>
  <c r="T367" i="1"/>
  <c r="U367" i="1"/>
  <c r="V367" i="1"/>
  <c r="W367" i="1"/>
  <c r="X367" i="1"/>
  <c r="AH367" i="1" s="1"/>
  <c r="Y367" i="1"/>
  <c r="Z367" i="1"/>
  <c r="AA367" i="1"/>
  <c r="AB367" i="1"/>
  <c r="AC367" i="1"/>
  <c r="AF367" i="1"/>
  <c r="AI367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F368" i="1"/>
  <c r="AI368" i="1"/>
  <c r="N369" i="1"/>
  <c r="O369" i="1"/>
  <c r="P369" i="1"/>
  <c r="Q369" i="1"/>
  <c r="R369" i="1"/>
  <c r="AH369" i="1" s="1"/>
  <c r="S369" i="1"/>
  <c r="T369" i="1"/>
  <c r="U369" i="1"/>
  <c r="V369" i="1"/>
  <c r="W369" i="1"/>
  <c r="X369" i="1"/>
  <c r="Y369" i="1"/>
  <c r="Z369" i="1"/>
  <c r="AA369" i="1"/>
  <c r="AB369" i="1"/>
  <c r="AC369" i="1"/>
  <c r="AF369" i="1"/>
  <c r="AI369" i="1" s="1"/>
  <c r="N370" i="1"/>
  <c r="O370" i="1"/>
  <c r="P370" i="1"/>
  <c r="Q370" i="1"/>
  <c r="R370" i="1"/>
  <c r="S370" i="1"/>
  <c r="AH370" i="1" s="1"/>
  <c r="T370" i="1"/>
  <c r="U370" i="1"/>
  <c r="V370" i="1"/>
  <c r="W370" i="1"/>
  <c r="X370" i="1"/>
  <c r="Y370" i="1"/>
  <c r="Z370" i="1"/>
  <c r="AA370" i="1"/>
  <c r="AB370" i="1"/>
  <c r="AC370" i="1"/>
  <c r="AF370" i="1"/>
  <c r="AI370" i="1" s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F371" i="1"/>
  <c r="AH371" i="1"/>
  <c r="AI371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F372" i="1"/>
  <c r="AI372" i="1" s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F373" i="1"/>
  <c r="AI373" i="1" s="1"/>
  <c r="N374" i="1"/>
  <c r="O374" i="1"/>
  <c r="P374" i="1"/>
  <c r="AH374" i="1" s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F374" i="1"/>
  <c r="AI374" i="1"/>
  <c r="N375" i="1"/>
  <c r="O375" i="1"/>
  <c r="P375" i="1"/>
  <c r="AH375" i="1" s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F375" i="1"/>
  <c r="AI375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F376" i="1"/>
  <c r="AI376" i="1"/>
  <c r="N377" i="1"/>
  <c r="O377" i="1"/>
  <c r="P377" i="1"/>
  <c r="Q377" i="1"/>
  <c r="AH377" i="1" s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G377" i="1"/>
  <c r="AI377" i="1" s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F378" i="1"/>
  <c r="AI378" i="1" s="1"/>
  <c r="AH378" i="1"/>
  <c r="N379" i="1"/>
  <c r="O379" i="1"/>
  <c r="P379" i="1"/>
  <c r="Q379" i="1"/>
  <c r="AH379" i="1" s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F379" i="1"/>
  <c r="AI379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G380" i="1"/>
  <c r="AI380" i="1" s="1"/>
  <c r="N381" i="1"/>
  <c r="O381" i="1"/>
  <c r="P381" i="1"/>
  <c r="AH381" i="1" s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F381" i="1"/>
  <c r="AI381" i="1" s="1"/>
  <c r="N382" i="1"/>
  <c r="O382" i="1"/>
  <c r="P382" i="1"/>
  <c r="Q382" i="1"/>
  <c r="R382" i="1"/>
  <c r="S382" i="1"/>
  <c r="T382" i="1"/>
  <c r="U382" i="1"/>
  <c r="V382" i="1"/>
  <c r="AH382" i="1" s="1"/>
  <c r="W382" i="1"/>
  <c r="X382" i="1"/>
  <c r="Y382" i="1"/>
  <c r="Z382" i="1"/>
  <c r="AA382" i="1"/>
  <c r="AB382" i="1"/>
  <c r="AC382" i="1"/>
  <c r="AG382" i="1"/>
  <c r="AI382" i="1" s="1"/>
  <c r="N383" i="1"/>
  <c r="O383" i="1"/>
  <c r="P383" i="1"/>
  <c r="AH383" i="1" s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F383" i="1"/>
  <c r="AI383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F384" i="1"/>
  <c r="AI384" i="1"/>
  <c r="N385" i="1"/>
  <c r="O385" i="1"/>
  <c r="P385" i="1"/>
  <c r="Q385" i="1"/>
  <c r="R385" i="1"/>
  <c r="S385" i="1"/>
  <c r="T385" i="1"/>
  <c r="U385" i="1"/>
  <c r="V385" i="1"/>
  <c r="AH385" i="1" s="1"/>
  <c r="W385" i="1"/>
  <c r="X385" i="1"/>
  <c r="Y385" i="1"/>
  <c r="Z385" i="1"/>
  <c r="AA385" i="1"/>
  <c r="AB385" i="1"/>
  <c r="AC385" i="1"/>
  <c r="AF385" i="1"/>
  <c r="AI385" i="1" s="1"/>
  <c r="N386" i="1"/>
  <c r="O386" i="1"/>
  <c r="P386" i="1"/>
  <c r="Q386" i="1"/>
  <c r="R386" i="1"/>
  <c r="S386" i="1"/>
  <c r="T386" i="1"/>
  <c r="AH386" i="1" s="1"/>
  <c r="U386" i="1"/>
  <c r="V386" i="1"/>
  <c r="W386" i="1"/>
  <c r="X386" i="1"/>
  <c r="Y386" i="1"/>
  <c r="Z386" i="1"/>
  <c r="AA386" i="1"/>
  <c r="AB386" i="1"/>
  <c r="AC386" i="1"/>
  <c r="AF386" i="1"/>
  <c r="AI386" i="1" s="1"/>
  <c r="N387" i="1"/>
  <c r="O387" i="1"/>
  <c r="P387" i="1"/>
  <c r="Q387" i="1"/>
  <c r="R387" i="1"/>
  <c r="S387" i="1"/>
  <c r="AH387" i="1" s="1"/>
  <c r="T387" i="1"/>
  <c r="U387" i="1"/>
  <c r="V387" i="1"/>
  <c r="W387" i="1"/>
  <c r="X387" i="1"/>
  <c r="Y387" i="1"/>
  <c r="Z387" i="1"/>
  <c r="AA387" i="1"/>
  <c r="AB387" i="1"/>
  <c r="AC387" i="1"/>
  <c r="AF387" i="1"/>
  <c r="AI387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F388" i="1"/>
  <c r="AI388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F389" i="1"/>
  <c r="AI389" i="1" s="1"/>
  <c r="N390" i="1"/>
  <c r="O390" i="1"/>
  <c r="P390" i="1"/>
  <c r="Q390" i="1"/>
  <c r="R390" i="1"/>
  <c r="AH390" i="1" s="1"/>
  <c r="S390" i="1"/>
  <c r="T390" i="1"/>
  <c r="U390" i="1"/>
  <c r="V390" i="1"/>
  <c r="W390" i="1"/>
  <c r="X390" i="1"/>
  <c r="Y390" i="1"/>
  <c r="Z390" i="1"/>
  <c r="AA390" i="1"/>
  <c r="AB390" i="1"/>
  <c r="AC390" i="1"/>
  <c r="AF390" i="1"/>
  <c r="AI390" i="1" s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G391" i="1"/>
  <c r="AH391" i="1"/>
  <c r="AI391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F392" i="1"/>
  <c r="AI392" i="1"/>
  <c r="N393" i="1"/>
  <c r="O393" i="1"/>
  <c r="P393" i="1"/>
  <c r="Q393" i="1"/>
  <c r="R393" i="1"/>
  <c r="AH393" i="1" s="1"/>
  <c r="S393" i="1"/>
  <c r="T393" i="1"/>
  <c r="U393" i="1"/>
  <c r="V393" i="1"/>
  <c r="W393" i="1"/>
  <c r="X393" i="1"/>
  <c r="Y393" i="1"/>
  <c r="Z393" i="1"/>
  <c r="AA393" i="1"/>
  <c r="AB393" i="1"/>
  <c r="AC393" i="1"/>
  <c r="AF393" i="1"/>
  <c r="AI393" i="1" s="1"/>
  <c r="N394" i="1"/>
  <c r="O394" i="1"/>
  <c r="P394" i="1"/>
  <c r="Q394" i="1"/>
  <c r="R394" i="1"/>
  <c r="AH394" i="1" s="1"/>
  <c r="S394" i="1"/>
  <c r="T394" i="1"/>
  <c r="U394" i="1"/>
  <c r="V394" i="1"/>
  <c r="W394" i="1"/>
  <c r="X394" i="1"/>
  <c r="Y394" i="1"/>
  <c r="Z394" i="1"/>
  <c r="AA394" i="1"/>
  <c r="AB394" i="1"/>
  <c r="AC394" i="1"/>
  <c r="AG394" i="1"/>
  <c r="AI394" i="1" s="1"/>
  <c r="N395" i="1"/>
  <c r="O395" i="1"/>
  <c r="P395" i="1"/>
  <c r="AH395" i="1" s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F395" i="1"/>
  <c r="AI395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G396" i="1"/>
  <c r="AI396" i="1" s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F397" i="1"/>
  <c r="AI397" i="1" s="1"/>
  <c r="N398" i="1"/>
  <c r="O398" i="1"/>
  <c r="P398" i="1"/>
  <c r="AH398" i="1" s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F398" i="1"/>
  <c r="AI398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F399" i="1"/>
  <c r="AH399" i="1"/>
  <c r="AI399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F400" i="1"/>
  <c r="AI400" i="1"/>
  <c r="M401" i="1"/>
  <c r="O401" i="1"/>
  <c r="P401" i="1"/>
  <c r="Q401" i="1"/>
  <c r="R401" i="1"/>
  <c r="AH401" i="1" s="1"/>
  <c r="S401" i="1"/>
  <c r="T401" i="1"/>
  <c r="U401" i="1"/>
  <c r="V401" i="1"/>
  <c r="W401" i="1"/>
  <c r="X401" i="1"/>
  <c r="Y401" i="1"/>
  <c r="Z401" i="1"/>
  <c r="AA401" i="1"/>
  <c r="AB401" i="1"/>
  <c r="AC401" i="1"/>
  <c r="AF401" i="1"/>
  <c r="AI401" i="1" s="1"/>
  <c r="M402" i="1"/>
  <c r="O402" i="1"/>
  <c r="P402" i="1"/>
  <c r="Q402" i="1"/>
  <c r="R402" i="1"/>
  <c r="S402" i="1"/>
  <c r="AH402" i="1" s="1"/>
  <c r="T402" i="1"/>
  <c r="U402" i="1"/>
  <c r="V402" i="1"/>
  <c r="W402" i="1"/>
  <c r="X402" i="1"/>
  <c r="Y402" i="1"/>
  <c r="Z402" i="1"/>
  <c r="AA402" i="1"/>
  <c r="AB402" i="1"/>
  <c r="AC402" i="1"/>
  <c r="AF402" i="1"/>
  <c r="AI402" i="1" s="1"/>
  <c r="M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G403" i="1"/>
  <c r="AH403" i="1"/>
  <c r="AI403" i="1"/>
  <c r="M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F404" i="1"/>
  <c r="AI404" i="1" s="1"/>
  <c r="M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F405" i="1"/>
  <c r="AI405" i="1" s="1"/>
  <c r="M406" i="1"/>
  <c r="O406" i="1"/>
  <c r="P406" i="1"/>
  <c r="AH406" i="1" s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G406" i="1"/>
  <c r="AI406" i="1"/>
  <c r="M407" i="1"/>
  <c r="O407" i="1"/>
  <c r="P407" i="1"/>
  <c r="Q407" i="1"/>
  <c r="R407" i="1"/>
  <c r="S407" i="1"/>
  <c r="T407" i="1"/>
  <c r="U407" i="1"/>
  <c r="AH407" i="1" s="1"/>
  <c r="V407" i="1"/>
  <c r="W407" i="1"/>
  <c r="X407" i="1"/>
  <c r="Y407" i="1"/>
  <c r="Z407" i="1"/>
  <c r="AA407" i="1"/>
  <c r="AB407" i="1"/>
  <c r="AC407" i="1"/>
  <c r="AF407" i="1"/>
  <c r="AI407" i="1"/>
  <c r="M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G408" i="1"/>
  <c r="AI408" i="1"/>
  <c r="M409" i="1"/>
  <c r="O409" i="1"/>
  <c r="P409" i="1"/>
  <c r="Q409" i="1"/>
  <c r="AH409" i="1" s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G409" i="1"/>
  <c r="AI409" i="1" s="1"/>
  <c r="M410" i="1"/>
  <c r="O410" i="1"/>
  <c r="P410" i="1"/>
  <c r="Q410" i="1"/>
  <c r="R410" i="1"/>
  <c r="S410" i="1"/>
  <c r="T410" i="1"/>
  <c r="U410" i="1"/>
  <c r="V410" i="1"/>
  <c r="AH410" i="1" s="1"/>
  <c r="W410" i="1"/>
  <c r="X410" i="1"/>
  <c r="Y410" i="1"/>
  <c r="Z410" i="1"/>
  <c r="AA410" i="1"/>
  <c r="AB410" i="1"/>
  <c r="AC410" i="1"/>
  <c r="AF410" i="1"/>
  <c r="AI410" i="1" s="1"/>
  <c r="M411" i="1"/>
  <c r="O411" i="1"/>
  <c r="P411" i="1"/>
  <c r="Q411" i="1"/>
  <c r="R411" i="1"/>
  <c r="S411" i="1"/>
  <c r="T411" i="1"/>
  <c r="AH411" i="1" s="1"/>
  <c r="U411" i="1"/>
  <c r="V411" i="1"/>
  <c r="W411" i="1"/>
  <c r="X411" i="1"/>
  <c r="Y411" i="1"/>
  <c r="Z411" i="1"/>
  <c r="AA411" i="1"/>
  <c r="AB411" i="1"/>
  <c r="AC411" i="1"/>
  <c r="AF411" i="1"/>
  <c r="AI411" i="1"/>
  <c r="M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F412" i="1"/>
  <c r="AI412" i="1"/>
  <c r="M413" i="1"/>
  <c r="O413" i="1"/>
  <c r="P413" i="1"/>
  <c r="AH413" i="1" s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F413" i="1"/>
  <c r="AI413" i="1" s="1"/>
  <c r="M414" i="1"/>
  <c r="O414" i="1"/>
  <c r="P414" i="1"/>
  <c r="Q414" i="1"/>
  <c r="R414" i="1"/>
  <c r="S414" i="1"/>
  <c r="T414" i="1"/>
  <c r="U414" i="1"/>
  <c r="V414" i="1"/>
  <c r="AH414" i="1" s="1"/>
  <c r="W414" i="1"/>
  <c r="X414" i="1"/>
  <c r="Y414" i="1"/>
  <c r="Z414" i="1"/>
  <c r="AA414" i="1"/>
  <c r="AB414" i="1"/>
  <c r="AC414" i="1"/>
  <c r="AF414" i="1"/>
  <c r="AI414" i="1" s="1"/>
  <c r="M415" i="1"/>
  <c r="O415" i="1"/>
  <c r="P415" i="1"/>
  <c r="AH415" i="1" s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G415" i="1"/>
  <c r="AI415" i="1"/>
  <c r="M416" i="1"/>
  <c r="S416" i="1" s="1"/>
  <c r="O416" i="1"/>
  <c r="P416" i="1"/>
  <c r="Q416" i="1"/>
  <c r="R416" i="1"/>
  <c r="T416" i="1"/>
  <c r="U416" i="1"/>
  <c r="V416" i="1"/>
  <c r="W416" i="1"/>
  <c r="X416" i="1"/>
  <c r="Y416" i="1"/>
  <c r="Z416" i="1"/>
  <c r="AB416" i="1"/>
  <c r="AC416" i="1"/>
  <c r="AG416" i="1"/>
  <c r="AI416" i="1"/>
  <c r="M417" i="1"/>
  <c r="O417" i="1" s="1"/>
  <c r="Q417" i="1"/>
  <c r="R417" i="1"/>
  <c r="U417" i="1"/>
  <c r="Z417" i="1"/>
  <c r="AG417" i="1"/>
  <c r="AI417" i="1" s="1"/>
  <c r="M418" i="1"/>
  <c r="O418" i="1" s="1"/>
  <c r="W418" i="1"/>
  <c r="Z418" i="1"/>
  <c r="AA418" i="1"/>
  <c r="AG418" i="1"/>
  <c r="AI418" i="1" s="1"/>
  <c r="M419" i="1"/>
  <c r="R419" i="1" s="1"/>
  <c r="O419" i="1"/>
  <c r="P419" i="1"/>
  <c r="Q419" i="1"/>
  <c r="S419" i="1"/>
  <c r="T419" i="1"/>
  <c r="V419" i="1"/>
  <c r="W419" i="1"/>
  <c r="X419" i="1"/>
  <c r="Y419" i="1"/>
  <c r="AA419" i="1"/>
  <c r="AB419" i="1"/>
  <c r="AG419" i="1"/>
  <c r="AI419" i="1"/>
  <c r="M420" i="1"/>
  <c r="Q420" i="1" s="1"/>
  <c r="P420" i="1"/>
  <c r="T420" i="1"/>
  <c r="U420" i="1"/>
  <c r="V420" i="1"/>
  <c r="X420" i="1"/>
  <c r="AB420" i="1"/>
  <c r="AC420" i="1"/>
  <c r="AG420" i="1"/>
  <c r="AI420" i="1"/>
  <c r="M421" i="1"/>
  <c r="Q421" i="1" s="1"/>
  <c r="Z421" i="1"/>
  <c r="AA421" i="1"/>
  <c r="AG421" i="1"/>
  <c r="AI421" i="1" s="1"/>
  <c r="M422" i="1"/>
  <c r="O422" i="1"/>
  <c r="P422" i="1"/>
  <c r="R422" i="1"/>
  <c r="S422" i="1"/>
  <c r="V422" i="1"/>
  <c r="W422" i="1"/>
  <c r="X422" i="1"/>
  <c r="Z422" i="1"/>
  <c r="AA422" i="1"/>
  <c r="AG422" i="1"/>
  <c r="AI422" i="1"/>
  <c r="M423" i="1"/>
  <c r="O423" i="1"/>
  <c r="P423" i="1"/>
  <c r="Q423" i="1"/>
  <c r="R423" i="1"/>
  <c r="S423" i="1"/>
  <c r="T423" i="1"/>
  <c r="U423" i="1"/>
  <c r="AH423" i="1" s="1"/>
  <c r="V423" i="1"/>
  <c r="W423" i="1"/>
  <c r="X423" i="1"/>
  <c r="Y423" i="1"/>
  <c r="Z423" i="1"/>
  <c r="AA423" i="1"/>
  <c r="AB423" i="1"/>
  <c r="AC423" i="1"/>
  <c r="AG423" i="1"/>
  <c r="AI423" i="1"/>
  <c r="M424" i="1"/>
  <c r="S424" i="1" s="1"/>
  <c r="O424" i="1"/>
  <c r="P424" i="1"/>
  <c r="Q424" i="1"/>
  <c r="R424" i="1"/>
  <c r="T424" i="1"/>
  <c r="U424" i="1"/>
  <c r="V424" i="1"/>
  <c r="W424" i="1"/>
  <c r="X424" i="1"/>
  <c r="Y424" i="1"/>
  <c r="Z424" i="1"/>
  <c r="AB424" i="1"/>
  <c r="AC424" i="1"/>
  <c r="AI424" i="1"/>
  <c r="M425" i="1"/>
  <c r="O425" i="1" s="1"/>
  <c r="R425" i="1"/>
  <c r="V425" i="1"/>
  <c r="W425" i="1"/>
  <c r="X425" i="1"/>
  <c r="Z425" i="1"/>
  <c r="AG425" i="1"/>
  <c r="AI425" i="1" s="1"/>
  <c r="M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G426" i="1"/>
  <c r="AH426" i="1"/>
  <c r="AI426" i="1"/>
  <c r="M427" i="1"/>
  <c r="S427" i="1" s="1"/>
  <c r="O427" i="1"/>
  <c r="P427" i="1"/>
  <c r="Q427" i="1"/>
  <c r="R427" i="1"/>
  <c r="T427" i="1"/>
  <c r="U427" i="1"/>
  <c r="V427" i="1"/>
  <c r="W427" i="1"/>
  <c r="X427" i="1"/>
  <c r="Y427" i="1"/>
  <c r="Z427" i="1"/>
  <c r="AB427" i="1"/>
  <c r="AC427" i="1"/>
  <c r="AG427" i="1"/>
  <c r="AI427" i="1"/>
  <c r="M428" i="1"/>
  <c r="O428" i="1" s="1"/>
  <c r="R428" i="1"/>
  <c r="V428" i="1"/>
  <c r="W428" i="1"/>
  <c r="Y428" i="1"/>
  <c r="Z428" i="1"/>
  <c r="AF428" i="1"/>
  <c r="AI428" i="1" s="1"/>
  <c r="M429" i="1"/>
  <c r="O429" i="1"/>
  <c r="R429" i="1"/>
  <c r="S429" i="1"/>
  <c r="T429" i="1"/>
  <c r="W429" i="1"/>
  <c r="Z429" i="1"/>
  <c r="AA429" i="1"/>
  <c r="AB429" i="1"/>
  <c r="AG429" i="1"/>
  <c r="AI429" i="1" s="1"/>
  <c r="M430" i="1"/>
  <c r="R430" i="1" s="1"/>
  <c r="O430" i="1"/>
  <c r="P430" i="1"/>
  <c r="Q430" i="1"/>
  <c r="S430" i="1"/>
  <c r="T430" i="1"/>
  <c r="V430" i="1"/>
  <c r="W430" i="1"/>
  <c r="X430" i="1"/>
  <c r="Y430" i="1"/>
  <c r="AA430" i="1"/>
  <c r="AB430" i="1"/>
  <c r="AG430" i="1"/>
  <c r="AI430" i="1"/>
  <c r="M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F431" i="1"/>
  <c r="AI431" i="1" s="1"/>
  <c r="M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F432" i="1"/>
  <c r="AI432" i="1" s="1"/>
  <c r="M433" i="1"/>
  <c r="O433" i="1"/>
  <c r="P433" i="1"/>
  <c r="Q433" i="1"/>
  <c r="R433" i="1"/>
  <c r="AH433" i="1" s="1"/>
  <c r="S433" i="1"/>
  <c r="T433" i="1"/>
  <c r="U433" i="1"/>
  <c r="V433" i="1"/>
  <c r="W433" i="1"/>
  <c r="X433" i="1"/>
  <c r="Y433" i="1"/>
  <c r="Z433" i="1"/>
  <c r="AA433" i="1"/>
  <c r="AB433" i="1"/>
  <c r="AC433" i="1"/>
  <c r="AG433" i="1"/>
  <c r="AI433" i="1"/>
  <c r="M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F434" i="1"/>
  <c r="AH434" i="1"/>
  <c r="AI434" i="1"/>
  <c r="M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F435" i="1"/>
  <c r="AI435" i="1"/>
  <c r="M436" i="1"/>
  <c r="O436" i="1"/>
  <c r="P436" i="1"/>
  <c r="Q436" i="1"/>
  <c r="AH436" i="1" s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G436" i="1"/>
  <c r="AI436" i="1" s="1"/>
  <c r="M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F437" i="1"/>
  <c r="AI437" i="1" s="1"/>
  <c r="AH437" i="1"/>
  <c r="M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G438" i="1"/>
  <c r="AH438" i="1"/>
  <c r="AI438" i="1"/>
  <c r="M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G439" i="1"/>
  <c r="AI439" i="1"/>
  <c r="M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F440" i="1"/>
  <c r="AI440" i="1" s="1"/>
  <c r="M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F441" i="1"/>
  <c r="AH441" i="1"/>
  <c r="AI441" i="1"/>
  <c r="M442" i="1"/>
  <c r="O442" i="1"/>
  <c r="P442" i="1"/>
  <c r="Q442" i="1"/>
  <c r="R442" i="1"/>
  <c r="S442" i="1"/>
  <c r="T442" i="1"/>
  <c r="AH442" i="1" s="1"/>
  <c r="U442" i="1"/>
  <c r="V442" i="1"/>
  <c r="W442" i="1"/>
  <c r="X442" i="1"/>
  <c r="Y442" i="1"/>
  <c r="Z442" i="1"/>
  <c r="AA442" i="1"/>
  <c r="AB442" i="1"/>
  <c r="AC442" i="1"/>
  <c r="AF442" i="1"/>
  <c r="AI442" i="1"/>
  <c r="M443" i="1"/>
  <c r="O443" i="1"/>
  <c r="P443" i="1"/>
  <c r="Q443" i="1"/>
  <c r="AH443" i="1" s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F443" i="1"/>
  <c r="AI443" i="1"/>
  <c r="M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F444" i="1"/>
  <c r="AI444" i="1" s="1"/>
  <c r="AH444" i="1"/>
  <c r="M445" i="1"/>
  <c r="Q445" i="1" s="1"/>
  <c r="O445" i="1"/>
  <c r="S445" i="1"/>
  <c r="T445" i="1"/>
  <c r="V445" i="1"/>
  <c r="W445" i="1"/>
  <c r="Y445" i="1"/>
  <c r="Z445" i="1"/>
  <c r="AG445" i="1"/>
  <c r="AI445" i="1" s="1"/>
  <c r="M446" i="1"/>
  <c r="X446" i="1"/>
  <c r="Y446" i="1"/>
  <c r="AG446" i="1"/>
  <c r="AI446" i="1"/>
  <c r="M447" i="1"/>
  <c r="P447" i="1"/>
  <c r="Q447" i="1"/>
  <c r="Y447" i="1"/>
  <c r="AA447" i="1"/>
  <c r="AB447" i="1"/>
  <c r="AG447" i="1"/>
  <c r="AI447" i="1" s="1"/>
  <c r="M448" i="1"/>
  <c r="P448" i="1"/>
  <c r="Q448" i="1"/>
  <c r="R448" i="1"/>
  <c r="S448" i="1"/>
  <c r="U448" i="1"/>
  <c r="V448" i="1"/>
  <c r="Y448" i="1"/>
  <c r="Z448" i="1"/>
  <c r="AA448" i="1"/>
  <c r="AC448" i="1"/>
  <c r="AG448" i="1"/>
  <c r="AI448" i="1" s="1"/>
  <c r="M449" i="1"/>
  <c r="O449" i="1" s="1"/>
  <c r="S449" i="1"/>
  <c r="U449" i="1"/>
  <c r="V449" i="1"/>
  <c r="X449" i="1"/>
  <c r="AG449" i="1"/>
  <c r="AI449" i="1"/>
  <c r="M450" i="1"/>
  <c r="O450" i="1"/>
  <c r="P450" i="1"/>
  <c r="Q450" i="1"/>
  <c r="R450" i="1"/>
  <c r="S450" i="1"/>
  <c r="T450" i="1"/>
  <c r="AH450" i="1" s="1"/>
  <c r="U450" i="1"/>
  <c r="V450" i="1"/>
  <c r="W450" i="1"/>
  <c r="X450" i="1"/>
  <c r="Y450" i="1"/>
  <c r="Z450" i="1"/>
  <c r="AA450" i="1"/>
  <c r="AB450" i="1"/>
  <c r="AC450" i="1"/>
  <c r="AG450" i="1"/>
  <c r="AI450" i="1"/>
  <c r="M451" i="1"/>
  <c r="S451" i="1" s="1"/>
  <c r="O451" i="1"/>
  <c r="P451" i="1"/>
  <c r="Q451" i="1"/>
  <c r="R451" i="1"/>
  <c r="T451" i="1"/>
  <c r="U451" i="1"/>
  <c r="V451" i="1"/>
  <c r="W451" i="1"/>
  <c r="X451" i="1"/>
  <c r="Y451" i="1"/>
  <c r="Z451" i="1"/>
  <c r="AB451" i="1"/>
  <c r="AC451" i="1"/>
  <c r="AG451" i="1"/>
  <c r="AI451" i="1"/>
  <c r="M452" i="1"/>
  <c r="O452" i="1"/>
  <c r="Q452" i="1"/>
  <c r="R452" i="1"/>
  <c r="U452" i="1"/>
  <c r="Y452" i="1"/>
  <c r="Z452" i="1"/>
  <c r="AB452" i="1"/>
  <c r="AC452" i="1"/>
  <c r="AG452" i="1"/>
  <c r="AI452" i="1" s="1"/>
  <c r="M453" i="1"/>
  <c r="O453" i="1"/>
  <c r="Q453" i="1"/>
  <c r="R453" i="1"/>
  <c r="S453" i="1"/>
  <c r="T453" i="1"/>
  <c r="V453" i="1"/>
  <c r="W453" i="1"/>
  <c r="Y453" i="1"/>
  <c r="Z453" i="1"/>
  <c r="AA453" i="1"/>
  <c r="AB453" i="1"/>
  <c r="AG453" i="1"/>
  <c r="AI453" i="1" s="1"/>
  <c r="M454" i="1"/>
  <c r="P454" i="1" s="1"/>
  <c r="O454" i="1"/>
  <c r="S454" i="1"/>
  <c r="T454" i="1"/>
  <c r="V454" i="1"/>
  <c r="W454" i="1"/>
  <c r="X454" i="1"/>
  <c r="Y454" i="1"/>
  <c r="AI454" i="1"/>
  <c r="M455" i="1"/>
  <c r="Y455" i="1"/>
  <c r="AG455" i="1"/>
  <c r="AI455" i="1" s="1"/>
  <c r="M456" i="1"/>
  <c r="O456" i="1"/>
  <c r="Q456" i="1"/>
  <c r="R456" i="1"/>
  <c r="T456" i="1"/>
  <c r="Y456" i="1"/>
  <c r="Z456" i="1"/>
  <c r="AA456" i="1"/>
  <c r="AB456" i="1"/>
  <c r="AI456" i="1"/>
  <c r="M457" i="1"/>
  <c r="S457" i="1" s="1"/>
  <c r="O457" i="1"/>
  <c r="P457" i="1"/>
  <c r="Q457" i="1"/>
  <c r="R457" i="1"/>
  <c r="T457" i="1"/>
  <c r="U457" i="1"/>
  <c r="V457" i="1"/>
  <c r="W457" i="1"/>
  <c r="X457" i="1"/>
  <c r="Y457" i="1"/>
  <c r="Z457" i="1"/>
  <c r="AB457" i="1"/>
  <c r="AC457" i="1"/>
  <c r="AG457" i="1"/>
  <c r="AI457" i="1"/>
  <c r="M458" i="1"/>
  <c r="O458" i="1"/>
  <c r="Q458" i="1"/>
  <c r="R458" i="1"/>
  <c r="T458" i="1"/>
  <c r="U458" i="1"/>
  <c r="V458" i="1"/>
  <c r="Y458" i="1"/>
  <c r="Z458" i="1"/>
  <c r="AB458" i="1"/>
  <c r="AC458" i="1"/>
  <c r="AF458" i="1"/>
  <c r="AI458" i="1" s="1"/>
  <c r="M459" i="1"/>
  <c r="O459" i="1" s="1"/>
  <c r="T459" i="1"/>
  <c r="V459" i="1"/>
  <c r="Y459" i="1"/>
  <c r="AG459" i="1"/>
  <c r="AI459" i="1" s="1"/>
  <c r="M460" i="1"/>
  <c r="O460" i="1" s="1"/>
  <c r="X460" i="1"/>
  <c r="AG460" i="1"/>
  <c r="AI460" i="1"/>
  <c r="M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F461" i="1"/>
  <c r="AI461" i="1" s="1"/>
  <c r="M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F462" i="1"/>
  <c r="AI462" i="1"/>
  <c r="M463" i="1"/>
  <c r="O463" i="1"/>
  <c r="P463" i="1"/>
  <c r="AH463" i="1" s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G463" i="1"/>
  <c r="AI463" i="1"/>
  <c r="M464" i="1"/>
  <c r="O464" i="1"/>
  <c r="P464" i="1"/>
  <c r="Q464" i="1"/>
  <c r="R464" i="1"/>
  <c r="S464" i="1"/>
  <c r="T464" i="1"/>
  <c r="U464" i="1"/>
  <c r="V464" i="1"/>
  <c r="W464" i="1"/>
  <c r="X464" i="1"/>
  <c r="AH464" i="1" s="1"/>
  <c r="Y464" i="1"/>
  <c r="Z464" i="1"/>
  <c r="AA464" i="1"/>
  <c r="AB464" i="1"/>
  <c r="AC464" i="1"/>
  <c r="AF464" i="1"/>
  <c r="AI464" i="1"/>
  <c r="M465" i="1"/>
  <c r="O465" i="1"/>
  <c r="P465" i="1"/>
  <c r="Q465" i="1"/>
  <c r="R465" i="1"/>
  <c r="S465" i="1"/>
  <c r="T465" i="1"/>
  <c r="AH465" i="1" s="1"/>
  <c r="U465" i="1"/>
  <c r="V465" i="1"/>
  <c r="W465" i="1"/>
  <c r="X465" i="1"/>
  <c r="Y465" i="1"/>
  <c r="Z465" i="1"/>
  <c r="AA465" i="1"/>
  <c r="AB465" i="1"/>
  <c r="AC465" i="1"/>
  <c r="AF465" i="1"/>
  <c r="AI465" i="1"/>
  <c r="M466" i="1"/>
  <c r="O466" i="1"/>
  <c r="P466" i="1"/>
  <c r="Q466" i="1"/>
  <c r="AH466" i="1" s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G466" i="1"/>
  <c r="AI466" i="1" s="1"/>
  <c r="M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F467" i="1"/>
  <c r="AH467" i="1"/>
  <c r="AI467" i="1"/>
  <c r="M468" i="1"/>
  <c r="O468" i="1"/>
  <c r="P468" i="1"/>
  <c r="Q468" i="1"/>
  <c r="R468" i="1"/>
  <c r="S468" i="1"/>
  <c r="T468" i="1"/>
  <c r="AH468" i="1" s="1"/>
  <c r="U468" i="1"/>
  <c r="V468" i="1"/>
  <c r="W468" i="1"/>
  <c r="X468" i="1"/>
  <c r="Y468" i="1"/>
  <c r="Z468" i="1"/>
  <c r="AA468" i="1"/>
  <c r="AB468" i="1"/>
  <c r="AC468" i="1"/>
  <c r="AG468" i="1"/>
  <c r="AI468" i="1" s="1"/>
  <c r="M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F469" i="1"/>
  <c r="AI469" i="1"/>
  <c r="M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F470" i="1"/>
  <c r="AH470" i="1"/>
  <c r="AI470" i="1"/>
  <c r="M471" i="1"/>
  <c r="O471" i="1"/>
  <c r="P471" i="1"/>
  <c r="Q471" i="1"/>
  <c r="R471" i="1"/>
  <c r="S471" i="1"/>
  <c r="T471" i="1"/>
  <c r="AH471" i="1" s="1"/>
  <c r="U471" i="1"/>
  <c r="V471" i="1"/>
  <c r="W471" i="1"/>
  <c r="X471" i="1"/>
  <c r="Y471" i="1"/>
  <c r="Z471" i="1"/>
  <c r="AA471" i="1"/>
  <c r="AB471" i="1"/>
  <c r="AC471" i="1"/>
  <c r="AF471" i="1"/>
  <c r="AI471" i="1" s="1"/>
  <c r="M472" i="1"/>
  <c r="O472" i="1"/>
  <c r="P472" i="1"/>
  <c r="Q472" i="1"/>
  <c r="AH472" i="1" s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F472" i="1"/>
  <c r="AI472" i="1"/>
  <c r="M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F473" i="1"/>
  <c r="AI473" i="1" s="1"/>
  <c r="AH473" i="1"/>
  <c r="M474" i="1"/>
  <c r="O474" i="1" s="1"/>
  <c r="T474" i="1"/>
  <c r="U474" i="1"/>
  <c r="W474" i="1"/>
  <c r="AC474" i="1"/>
  <c r="AG474" i="1"/>
  <c r="AI474" i="1" s="1"/>
  <c r="M475" i="1"/>
  <c r="O475" i="1" s="1"/>
  <c r="S475" i="1"/>
  <c r="T475" i="1"/>
  <c r="W475" i="1"/>
  <c r="AB475" i="1"/>
  <c r="AG475" i="1"/>
  <c r="AI475" i="1" s="1"/>
  <c r="M476" i="1"/>
  <c r="O476" i="1" s="1"/>
  <c r="P476" i="1"/>
  <c r="Q476" i="1"/>
  <c r="S476" i="1"/>
  <c r="T476" i="1"/>
  <c r="U476" i="1"/>
  <c r="V476" i="1"/>
  <c r="W476" i="1"/>
  <c r="Y476" i="1"/>
  <c r="AA476" i="1"/>
  <c r="AB476" i="1"/>
  <c r="AC476" i="1"/>
  <c r="AG476" i="1"/>
  <c r="AI476" i="1" s="1"/>
  <c r="M477" i="1"/>
  <c r="P477" i="1"/>
  <c r="Q477" i="1"/>
  <c r="R477" i="1"/>
  <c r="S477" i="1"/>
  <c r="T477" i="1"/>
  <c r="U477" i="1"/>
  <c r="V477" i="1"/>
  <c r="X477" i="1"/>
  <c r="Y477" i="1"/>
  <c r="Z477" i="1"/>
  <c r="AA477" i="1"/>
  <c r="AB477" i="1"/>
  <c r="AC477" i="1"/>
  <c r="AG477" i="1"/>
  <c r="AI477" i="1" s="1"/>
  <c r="M478" i="1"/>
  <c r="O478" i="1"/>
  <c r="P478" i="1"/>
  <c r="Q478" i="1"/>
  <c r="R478" i="1"/>
  <c r="S478" i="1"/>
  <c r="U478" i="1"/>
  <c r="V478" i="1"/>
  <c r="W478" i="1"/>
  <c r="X478" i="1"/>
  <c r="Y478" i="1"/>
  <c r="Z478" i="1"/>
  <c r="AA478" i="1"/>
  <c r="AC478" i="1"/>
  <c r="AG478" i="1"/>
  <c r="AI478" i="1" s="1"/>
  <c r="M479" i="1"/>
  <c r="O479" i="1" s="1"/>
  <c r="P479" i="1"/>
  <c r="R479" i="1"/>
  <c r="T479" i="1"/>
  <c r="W479" i="1"/>
  <c r="Z479" i="1"/>
  <c r="AA479" i="1"/>
  <c r="AC479" i="1"/>
  <c r="AG479" i="1"/>
  <c r="AI479" i="1"/>
  <c r="M480" i="1"/>
  <c r="O480" i="1"/>
  <c r="P480" i="1"/>
  <c r="AH480" i="1" s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G480" i="1"/>
  <c r="AI480" i="1"/>
  <c r="M481" i="1"/>
  <c r="P481" i="1" s="1"/>
  <c r="O481" i="1"/>
  <c r="R481" i="1"/>
  <c r="T481" i="1"/>
  <c r="U481" i="1"/>
  <c r="V481" i="1"/>
  <c r="W481" i="1"/>
  <c r="X481" i="1"/>
  <c r="AB481" i="1"/>
  <c r="AC481" i="1"/>
  <c r="AG481" i="1"/>
  <c r="AI481" i="1" s="1"/>
  <c r="M482" i="1"/>
  <c r="O482" i="1" s="1"/>
  <c r="T482" i="1"/>
  <c r="U482" i="1"/>
  <c r="W482" i="1"/>
  <c r="AC482" i="1"/>
  <c r="AG482" i="1"/>
  <c r="AI482" i="1" s="1"/>
  <c r="M483" i="1"/>
  <c r="O483" i="1" s="1"/>
  <c r="S483" i="1"/>
  <c r="T483" i="1"/>
  <c r="W483" i="1"/>
  <c r="AB483" i="1"/>
  <c r="AI483" i="1"/>
  <c r="M484" i="1"/>
  <c r="O484" i="1" s="1"/>
  <c r="T484" i="1"/>
  <c r="U484" i="1"/>
  <c r="W484" i="1"/>
  <c r="AC484" i="1"/>
  <c r="AG484" i="1"/>
  <c r="AI484" i="1" s="1"/>
  <c r="M485" i="1"/>
  <c r="O485" i="1"/>
  <c r="P485" i="1"/>
  <c r="Q485" i="1"/>
  <c r="AH485" i="1" s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F485" i="1"/>
  <c r="AI485" i="1" s="1"/>
  <c r="M486" i="1"/>
  <c r="O486" i="1" s="1"/>
  <c r="P486" i="1"/>
  <c r="Q486" i="1"/>
  <c r="S486" i="1"/>
  <c r="W486" i="1"/>
  <c r="Y486" i="1"/>
  <c r="Z486" i="1"/>
  <c r="AB486" i="1"/>
  <c r="AG486" i="1"/>
  <c r="AI486" i="1"/>
  <c r="M487" i="1"/>
  <c r="O487" i="1"/>
  <c r="P487" i="1"/>
  <c r="S487" i="1"/>
  <c r="V487" i="1"/>
  <c r="W487" i="1"/>
  <c r="X487" i="1"/>
  <c r="Y487" i="1"/>
  <c r="AB487" i="1"/>
  <c r="AG487" i="1"/>
  <c r="AI487" i="1"/>
  <c r="M488" i="1"/>
  <c r="O488" i="1" s="1"/>
  <c r="W488" i="1"/>
  <c r="AF488" i="1"/>
  <c r="AI488" i="1"/>
  <c r="M489" i="1"/>
  <c r="P489" i="1" s="1"/>
  <c r="O489" i="1"/>
  <c r="R489" i="1"/>
  <c r="S489" i="1"/>
  <c r="T489" i="1"/>
  <c r="U489" i="1"/>
  <c r="V489" i="1"/>
  <c r="W489" i="1"/>
  <c r="Z489" i="1"/>
  <c r="AA489" i="1"/>
  <c r="AB489" i="1"/>
  <c r="AC489" i="1"/>
  <c r="AG489" i="1"/>
  <c r="AI489" i="1" s="1"/>
  <c r="O490" i="1"/>
  <c r="P490" i="1"/>
  <c r="AH490" i="1" s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G490" i="1"/>
  <c r="AI490" i="1"/>
  <c r="O491" i="1"/>
  <c r="P491" i="1"/>
  <c r="AH491" i="1" s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G491" i="1"/>
  <c r="AI491" i="1"/>
  <c r="O492" i="1"/>
  <c r="P492" i="1"/>
  <c r="Q492" i="1"/>
  <c r="R492" i="1"/>
  <c r="S492" i="1"/>
  <c r="T492" i="1"/>
  <c r="U492" i="1"/>
  <c r="V492" i="1"/>
  <c r="AH492" i="1" s="1"/>
  <c r="W492" i="1"/>
  <c r="X492" i="1"/>
  <c r="Y492" i="1"/>
  <c r="Z492" i="1"/>
  <c r="AA492" i="1"/>
  <c r="AB492" i="1"/>
  <c r="AC492" i="1"/>
  <c r="AG492" i="1"/>
  <c r="AI492" i="1" s="1"/>
  <c r="M493" i="1"/>
  <c r="O493" i="1"/>
  <c r="P493" i="1"/>
  <c r="Q493" i="1"/>
  <c r="AH493" i="1" s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F493" i="1"/>
  <c r="AI493" i="1" s="1"/>
  <c r="M494" i="1"/>
  <c r="O494" i="1"/>
  <c r="P494" i="1"/>
  <c r="AH494" i="1" s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F494" i="1"/>
  <c r="AI494" i="1"/>
  <c r="M495" i="1"/>
  <c r="O495" i="1"/>
  <c r="P495" i="1"/>
  <c r="AH495" i="1" s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G495" i="1"/>
  <c r="AI495" i="1" s="1"/>
  <c r="M496" i="1"/>
  <c r="O496" i="1"/>
  <c r="P496" i="1"/>
  <c r="AH496" i="1" s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F496" i="1"/>
  <c r="AI496" i="1"/>
  <c r="M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F497" i="1"/>
  <c r="AH497" i="1"/>
  <c r="AI497" i="1"/>
  <c r="M498" i="1"/>
  <c r="O498" i="1"/>
  <c r="P498" i="1"/>
  <c r="Q498" i="1"/>
  <c r="R498" i="1"/>
  <c r="S498" i="1"/>
  <c r="T498" i="1"/>
  <c r="AH498" i="1" s="1"/>
  <c r="U498" i="1"/>
  <c r="V498" i="1"/>
  <c r="W498" i="1"/>
  <c r="X498" i="1"/>
  <c r="Y498" i="1"/>
  <c r="Z498" i="1"/>
  <c r="AA498" i="1"/>
  <c r="AB498" i="1"/>
  <c r="AC498" i="1"/>
  <c r="AG498" i="1"/>
  <c r="AI498" i="1" s="1"/>
  <c r="M499" i="1"/>
  <c r="O499" i="1"/>
  <c r="P499" i="1"/>
  <c r="Q499" i="1"/>
  <c r="AH499" i="1" s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F499" i="1"/>
  <c r="AI499" i="1"/>
  <c r="K500" i="1"/>
  <c r="V500" i="1" s="1"/>
  <c r="M500" i="1"/>
  <c r="U500" i="1"/>
  <c r="AC500" i="1"/>
  <c r="M501" i="1"/>
  <c r="O501" i="1"/>
  <c r="P501" i="1"/>
  <c r="AH501" i="1" s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G501" i="1"/>
  <c r="AI501" i="1"/>
  <c r="M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F502" i="1"/>
  <c r="AH502" i="1"/>
  <c r="AI502" i="1"/>
  <c r="M503" i="1"/>
  <c r="O503" i="1"/>
  <c r="P503" i="1"/>
  <c r="Q503" i="1"/>
  <c r="R503" i="1"/>
  <c r="S503" i="1"/>
  <c r="T503" i="1"/>
  <c r="AH503" i="1" s="1"/>
  <c r="U503" i="1"/>
  <c r="V503" i="1"/>
  <c r="W503" i="1"/>
  <c r="X503" i="1"/>
  <c r="Y503" i="1"/>
  <c r="Z503" i="1"/>
  <c r="AA503" i="1"/>
  <c r="AB503" i="1"/>
  <c r="AC503" i="1"/>
  <c r="AF503" i="1"/>
  <c r="AI503" i="1" s="1"/>
  <c r="M504" i="1"/>
  <c r="O504" i="1"/>
  <c r="P504" i="1"/>
  <c r="Q504" i="1"/>
  <c r="AH504" i="1" s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F504" i="1"/>
  <c r="AI504" i="1"/>
  <c r="M505" i="1"/>
  <c r="O505" i="1"/>
  <c r="P505" i="1"/>
  <c r="Q505" i="1"/>
  <c r="R505" i="1"/>
  <c r="S505" i="1"/>
  <c r="T505" i="1"/>
  <c r="U505" i="1"/>
  <c r="V505" i="1"/>
  <c r="AH505" i="1" s="1"/>
  <c r="W505" i="1"/>
  <c r="X505" i="1"/>
  <c r="Y505" i="1"/>
  <c r="Z505" i="1"/>
  <c r="AA505" i="1"/>
  <c r="AB505" i="1"/>
  <c r="AC505" i="1"/>
  <c r="AF505" i="1"/>
  <c r="AI505" i="1" s="1"/>
  <c r="M506" i="1"/>
  <c r="O506" i="1"/>
  <c r="P506" i="1"/>
  <c r="Q506" i="1"/>
  <c r="AH506" i="1" s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F506" i="1"/>
  <c r="AI506" i="1" s="1"/>
  <c r="M507" i="1"/>
  <c r="R507" i="1" s="1"/>
  <c r="O507" i="1"/>
  <c r="P507" i="1"/>
  <c r="Q507" i="1"/>
  <c r="S507" i="1"/>
  <c r="V507" i="1"/>
  <c r="W507" i="1"/>
  <c r="X507" i="1"/>
  <c r="Y507" i="1"/>
  <c r="AA507" i="1"/>
  <c r="AG507" i="1"/>
  <c r="AI507" i="1"/>
  <c r="M508" i="1"/>
  <c r="O508" i="1" s="1"/>
  <c r="U508" i="1"/>
  <c r="V508" i="1"/>
  <c r="AC508" i="1"/>
  <c r="AG508" i="1"/>
  <c r="AI508" i="1" s="1"/>
  <c r="M509" i="1"/>
  <c r="O509" i="1" s="1"/>
  <c r="P509" i="1"/>
  <c r="Q509" i="1"/>
  <c r="R509" i="1"/>
  <c r="S509" i="1"/>
  <c r="T509" i="1"/>
  <c r="U509" i="1"/>
  <c r="V509" i="1"/>
  <c r="X509" i="1"/>
  <c r="Y509" i="1"/>
  <c r="Z509" i="1"/>
  <c r="AA509" i="1"/>
  <c r="AB509" i="1"/>
  <c r="AC509" i="1"/>
  <c r="AG509" i="1"/>
  <c r="AI509" i="1"/>
  <c r="M510" i="1"/>
  <c r="Q510" i="1" s="1"/>
  <c r="O510" i="1"/>
  <c r="P510" i="1"/>
  <c r="R510" i="1"/>
  <c r="V510" i="1"/>
  <c r="W510" i="1"/>
  <c r="X510" i="1"/>
  <c r="Z510" i="1"/>
  <c r="AG510" i="1"/>
  <c r="AI510" i="1"/>
  <c r="M511" i="1"/>
  <c r="P511" i="1" s="1"/>
  <c r="O511" i="1"/>
  <c r="R511" i="1"/>
  <c r="S511" i="1"/>
  <c r="T511" i="1"/>
  <c r="U511" i="1"/>
  <c r="V511" i="1"/>
  <c r="W511" i="1"/>
  <c r="Z511" i="1"/>
  <c r="AA511" i="1"/>
  <c r="AB511" i="1"/>
  <c r="AC511" i="1"/>
  <c r="AG511" i="1"/>
  <c r="AI511" i="1" s="1"/>
  <c r="M512" i="1"/>
  <c r="O512" i="1"/>
  <c r="P512" i="1"/>
  <c r="AH512" i="1" s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G512" i="1"/>
  <c r="AI512" i="1"/>
  <c r="M513" i="1"/>
  <c r="O513" i="1" s="1"/>
  <c r="V513" i="1"/>
  <c r="AG513" i="1"/>
  <c r="AI513" i="1" s="1"/>
  <c r="M514" i="1"/>
  <c r="U514" i="1" s="1"/>
  <c r="S514" i="1"/>
  <c r="T514" i="1"/>
  <c r="V514" i="1"/>
  <c r="AA514" i="1"/>
  <c r="AB514" i="1"/>
  <c r="AG514" i="1"/>
  <c r="AI514" i="1" s="1"/>
  <c r="M515" i="1"/>
  <c r="R515" i="1" s="1"/>
  <c r="O515" i="1"/>
  <c r="P515" i="1"/>
  <c r="Q515" i="1"/>
  <c r="S515" i="1"/>
  <c r="V515" i="1"/>
  <c r="W515" i="1"/>
  <c r="X515" i="1"/>
  <c r="Y515" i="1"/>
  <c r="AA515" i="1"/>
  <c r="AG515" i="1"/>
  <c r="AI515" i="1"/>
  <c r="M516" i="1"/>
  <c r="O516" i="1" s="1"/>
  <c r="U516" i="1"/>
  <c r="V516" i="1"/>
  <c r="AC516" i="1"/>
  <c r="AI516" i="1"/>
  <c r="M517" i="1"/>
  <c r="U517" i="1" s="1"/>
  <c r="S517" i="1"/>
  <c r="T517" i="1"/>
  <c r="V517" i="1"/>
  <c r="AA517" i="1"/>
  <c r="AB517" i="1"/>
  <c r="AG517" i="1"/>
  <c r="AI517" i="1" s="1"/>
  <c r="M518" i="1"/>
  <c r="O518" i="1"/>
  <c r="P518" i="1"/>
  <c r="AH518" i="1" s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F518" i="1"/>
  <c r="AI518" i="1"/>
  <c r="M519" i="1"/>
  <c r="O519" i="1" s="1"/>
  <c r="U519" i="1"/>
  <c r="V519" i="1"/>
  <c r="AC519" i="1"/>
  <c r="AG519" i="1"/>
  <c r="AI519" i="1" s="1"/>
  <c r="M520" i="1"/>
  <c r="O520" i="1" s="1"/>
  <c r="P520" i="1"/>
  <c r="Q520" i="1"/>
  <c r="R520" i="1"/>
  <c r="S520" i="1"/>
  <c r="T520" i="1"/>
  <c r="U520" i="1"/>
  <c r="V520" i="1"/>
  <c r="X520" i="1"/>
  <c r="Y520" i="1"/>
  <c r="Z520" i="1"/>
  <c r="AA520" i="1"/>
  <c r="AB520" i="1"/>
  <c r="AC520" i="1"/>
  <c r="AG520" i="1"/>
  <c r="AI520" i="1"/>
  <c r="M521" i="1"/>
  <c r="Q521" i="1" s="1"/>
  <c r="O521" i="1"/>
  <c r="P521" i="1"/>
  <c r="R521" i="1"/>
  <c r="V521" i="1"/>
  <c r="W521" i="1"/>
  <c r="X521" i="1"/>
  <c r="Z521" i="1"/>
  <c r="AF521" i="1"/>
  <c r="AI521" i="1"/>
  <c r="M522" i="1"/>
  <c r="P522" i="1" s="1"/>
  <c r="O522" i="1"/>
  <c r="R522" i="1"/>
  <c r="S522" i="1"/>
  <c r="T522" i="1"/>
  <c r="U522" i="1"/>
  <c r="V522" i="1"/>
  <c r="W522" i="1"/>
  <c r="Z522" i="1"/>
  <c r="AA522" i="1"/>
  <c r="AB522" i="1"/>
  <c r="AC522" i="1"/>
  <c r="AG522" i="1"/>
  <c r="AI522" i="1" s="1"/>
  <c r="M523" i="1"/>
  <c r="O523" i="1"/>
  <c r="P523" i="1"/>
  <c r="AH523" i="1" s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G523" i="1"/>
  <c r="AI523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G524" i="1"/>
  <c r="AH524" i="1"/>
  <c r="AI524" i="1"/>
  <c r="O525" i="1"/>
  <c r="P525" i="1"/>
  <c r="AH525" i="1" s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G525" i="1"/>
  <c r="AI525" i="1" s="1"/>
  <c r="O526" i="1"/>
  <c r="P526" i="1"/>
  <c r="Q526" i="1"/>
  <c r="AH526" i="1" s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F526" i="1"/>
  <c r="AI526" i="1" s="1"/>
  <c r="AI527" i="1"/>
  <c r="M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F528" i="1"/>
  <c r="AH528" i="1"/>
  <c r="AI528" i="1"/>
  <c r="M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F529" i="1"/>
  <c r="AI529" i="1" s="1"/>
  <c r="M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G530" i="1"/>
  <c r="AI530" i="1"/>
  <c r="M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F531" i="1"/>
  <c r="AI531" i="1" s="1"/>
  <c r="AH531" i="1"/>
  <c r="M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F532" i="1"/>
  <c r="AI532" i="1" s="1"/>
  <c r="M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G533" i="1"/>
  <c r="AI533" i="1"/>
  <c r="M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F534" i="1"/>
  <c r="AI534" i="1" s="1"/>
  <c r="M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G535" i="1"/>
  <c r="AI535" i="1"/>
  <c r="M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G536" i="1"/>
  <c r="AH536" i="1"/>
  <c r="AI536" i="1"/>
  <c r="M537" i="1"/>
  <c r="O537" i="1"/>
  <c r="P537" i="1"/>
  <c r="Q537" i="1"/>
  <c r="R537" i="1"/>
  <c r="S537" i="1"/>
  <c r="T537" i="1"/>
  <c r="AH537" i="1" s="1"/>
  <c r="U537" i="1"/>
  <c r="V537" i="1"/>
  <c r="W537" i="1"/>
  <c r="X537" i="1"/>
  <c r="Y537" i="1"/>
  <c r="Z537" i="1"/>
  <c r="AA537" i="1"/>
  <c r="AB537" i="1"/>
  <c r="AC537" i="1"/>
  <c r="AF537" i="1"/>
  <c r="AI537" i="1" s="1"/>
  <c r="M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F538" i="1"/>
  <c r="AI538" i="1"/>
  <c r="M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F539" i="1"/>
  <c r="AI539" i="1" s="1"/>
  <c r="AH539" i="1"/>
  <c r="M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H540" i="1"/>
  <c r="AI540" i="1"/>
  <c r="M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F541" i="1"/>
  <c r="AI541" i="1"/>
  <c r="M542" i="1"/>
  <c r="O542" i="1" s="1"/>
  <c r="V542" i="1"/>
  <c r="AG542" i="1"/>
  <c r="AI542" i="1" s="1"/>
  <c r="M543" i="1"/>
  <c r="S543" i="1" s="1"/>
  <c r="R543" i="1"/>
  <c r="V543" i="1"/>
  <c r="AA543" i="1"/>
  <c r="AB543" i="1"/>
  <c r="AC543" i="1"/>
  <c r="AG543" i="1"/>
  <c r="AI543" i="1" s="1"/>
  <c r="M544" i="1"/>
  <c r="O544" i="1" s="1"/>
  <c r="P544" i="1"/>
  <c r="Q544" i="1"/>
  <c r="R544" i="1"/>
  <c r="S544" i="1"/>
  <c r="V544" i="1"/>
  <c r="W544" i="1"/>
  <c r="X544" i="1"/>
  <c r="Z544" i="1"/>
  <c r="AA544" i="1"/>
  <c r="AG544" i="1"/>
  <c r="AI544" i="1"/>
  <c r="M545" i="1"/>
  <c r="O545" i="1" s="1"/>
  <c r="S545" i="1"/>
  <c r="U545" i="1"/>
  <c r="V545" i="1"/>
  <c r="W545" i="1"/>
  <c r="X545" i="1"/>
  <c r="AC545" i="1"/>
  <c r="AG545" i="1"/>
  <c r="AI545" i="1"/>
  <c r="M546" i="1"/>
  <c r="O546" i="1" s="1"/>
  <c r="P546" i="1"/>
  <c r="Q546" i="1"/>
  <c r="R546" i="1"/>
  <c r="S546" i="1"/>
  <c r="T546" i="1"/>
  <c r="U546" i="1"/>
  <c r="V546" i="1"/>
  <c r="X546" i="1"/>
  <c r="Y546" i="1"/>
  <c r="Z546" i="1"/>
  <c r="AA546" i="1"/>
  <c r="AB546" i="1"/>
  <c r="AC546" i="1"/>
  <c r="AG546" i="1"/>
  <c r="AI546" i="1"/>
  <c r="M547" i="1"/>
  <c r="O547" i="1" s="1"/>
  <c r="X547" i="1"/>
  <c r="AG547" i="1"/>
  <c r="AI547" i="1" s="1"/>
  <c r="M548" i="1"/>
  <c r="R548" i="1" s="1"/>
  <c r="O548" i="1"/>
  <c r="U548" i="1"/>
  <c r="W548" i="1"/>
  <c r="Z548" i="1"/>
  <c r="AA548" i="1"/>
  <c r="AG548" i="1"/>
  <c r="AI548" i="1" s="1"/>
  <c r="M549" i="1"/>
  <c r="O549" i="1"/>
  <c r="P549" i="1"/>
  <c r="Q549" i="1"/>
  <c r="AH549" i="1" s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G549" i="1"/>
  <c r="AI549" i="1"/>
  <c r="M550" i="1"/>
  <c r="O550" i="1" s="1"/>
  <c r="X550" i="1"/>
  <c r="AG550" i="1"/>
  <c r="AI550" i="1" s="1"/>
  <c r="M551" i="1"/>
  <c r="R551" i="1" s="1"/>
  <c r="Q551" i="1"/>
  <c r="U551" i="1"/>
  <c r="Y551" i="1"/>
  <c r="Z551" i="1"/>
  <c r="AA551" i="1"/>
  <c r="AI551" i="1"/>
  <c r="M552" i="1"/>
  <c r="O552" i="1"/>
  <c r="P552" i="1"/>
  <c r="Q552" i="1"/>
  <c r="AH552" i="1" s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G552" i="1"/>
  <c r="AI552" i="1"/>
  <c r="M553" i="1"/>
  <c r="O553" i="1"/>
  <c r="P553" i="1"/>
  <c r="Q553" i="1"/>
  <c r="R553" i="1"/>
  <c r="S553" i="1"/>
  <c r="T553" i="1"/>
  <c r="AH553" i="1" s="1"/>
  <c r="U553" i="1"/>
  <c r="V553" i="1"/>
  <c r="W553" i="1"/>
  <c r="X553" i="1"/>
  <c r="Y553" i="1"/>
  <c r="Z553" i="1"/>
  <c r="AA553" i="1"/>
  <c r="AB553" i="1"/>
  <c r="AC553" i="1"/>
  <c r="AF553" i="1"/>
  <c r="AI553" i="1" s="1"/>
  <c r="M554" i="1"/>
  <c r="O554" i="1"/>
  <c r="R554" i="1"/>
  <c r="S554" i="1"/>
  <c r="T554" i="1"/>
  <c r="U554" i="1"/>
  <c r="W554" i="1"/>
  <c r="Y554" i="1"/>
  <c r="AA554" i="1"/>
  <c r="AB554" i="1"/>
  <c r="AC554" i="1"/>
  <c r="AG554" i="1"/>
  <c r="AI554" i="1" s="1"/>
  <c r="M555" i="1"/>
  <c r="Q555" i="1"/>
  <c r="R555" i="1"/>
  <c r="S555" i="1"/>
  <c r="T555" i="1"/>
  <c r="W555" i="1"/>
  <c r="Z555" i="1"/>
  <c r="AA555" i="1"/>
  <c r="AB555" i="1"/>
  <c r="AG555" i="1"/>
  <c r="AI555" i="1" s="1"/>
  <c r="M556" i="1"/>
  <c r="O556" i="1" s="1"/>
  <c r="P556" i="1"/>
  <c r="Q556" i="1"/>
  <c r="S556" i="1"/>
  <c r="T556" i="1"/>
  <c r="W556" i="1"/>
  <c r="Y556" i="1"/>
  <c r="AA556" i="1"/>
  <c r="AB556" i="1"/>
  <c r="AC556" i="1"/>
  <c r="AF556" i="1"/>
  <c r="AI556" i="1"/>
  <c r="M557" i="1"/>
  <c r="P557" i="1"/>
  <c r="Q557" i="1"/>
  <c r="R557" i="1"/>
  <c r="S557" i="1"/>
  <c r="T557" i="1"/>
  <c r="U557" i="1"/>
  <c r="V557" i="1"/>
  <c r="X557" i="1"/>
  <c r="Y557" i="1"/>
  <c r="Z557" i="1"/>
  <c r="AA557" i="1"/>
  <c r="AB557" i="1"/>
  <c r="AC557" i="1"/>
  <c r="AG557" i="1"/>
  <c r="AI557" i="1"/>
  <c r="M558" i="1"/>
  <c r="O558" i="1"/>
  <c r="P558" i="1"/>
  <c r="Q558" i="1"/>
  <c r="R558" i="1"/>
  <c r="S558" i="1"/>
  <c r="U558" i="1"/>
  <c r="V558" i="1"/>
  <c r="W558" i="1"/>
  <c r="X558" i="1"/>
  <c r="Y558" i="1"/>
  <c r="Z558" i="1"/>
  <c r="AA558" i="1"/>
  <c r="AC558" i="1"/>
  <c r="AG558" i="1"/>
  <c r="AI558" i="1" s="1"/>
  <c r="O559" i="1"/>
  <c r="P559" i="1"/>
  <c r="Q559" i="1"/>
  <c r="AH559" i="1" s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G559" i="1"/>
  <c r="AI559" i="1"/>
  <c r="AI560" i="1"/>
  <c r="M561" i="1"/>
  <c r="O561" i="1"/>
  <c r="P561" i="1"/>
  <c r="Q561" i="1"/>
  <c r="AH561" i="1" s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F561" i="1"/>
  <c r="AI561" i="1"/>
  <c r="M562" i="1"/>
  <c r="O562" i="1"/>
  <c r="P562" i="1"/>
  <c r="AH562" i="1" s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F562" i="1"/>
  <c r="AI562" i="1"/>
  <c r="M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G563" i="1"/>
  <c r="AI563" i="1" s="1"/>
  <c r="AH563" i="1"/>
  <c r="M564" i="1"/>
  <c r="O564" i="1"/>
  <c r="P564" i="1"/>
  <c r="Q564" i="1"/>
  <c r="R564" i="1"/>
  <c r="AH564" i="1" s="1"/>
  <c r="S564" i="1"/>
  <c r="T564" i="1"/>
  <c r="U564" i="1"/>
  <c r="V564" i="1"/>
  <c r="W564" i="1"/>
  <c r="X564" i="1"/>
  <c r="Y564" i="1"/>
  <c r="Z564" i="1"/>
  <c r="AA564" i="1"/>
  <c r="AB564" i="1"/>
  <c r="AC564" i="1"/>
  <c r="AF564" i="1"/>
  <c r="AI564" i="1"/>
  <c r="M565" i="1"/>
  <c r="O565" i="1"/>
  <c r="P565" i="1"/>
  <c r="Q565" i="1"/>
  <c r="AH565" i="1" s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F565" i="1"/>
  <c r="AI565" i="1"/>
  <c r="M566" i="1"/>
  <c r="O566" i="1"/>
  <c r="P566" i="1"/>
  <c r="Q566" i="1"/>
  <c r="AH566" i="1" s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G566" i="1"/>
  <c r="AI566" i="1" s="1"/>
  <c r="M567" i="1"/>
  <c r="O567" i="1"/>
  <c r="P567" i="1"/>
  <c r="Q567" i="1"/>
  <c r="AH567" i="1" s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F567" i="1"/>
  <c r="AI567" i="1" s="1"/>
  <c r="M568" i="1"/>
  <c r="O568" i="1"/>
  <c r="P568" i="1"/>
  <c r="AH568" i="1" s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G568" i="1"/>
  <c r="AI568" i="1"/>
  <c r="M569" i="1"/>
  <c r="O569" i="1"/>
  <c r="P569" i="1"/>
  <c r="Q569" i="1"/>
  <c r="R569" i="1"/>
  <c r="S569" i="1"/>
  <c r="AH569" i="1" s="1"/>
  <c r="T569" i="1"/>
  <c r="U569" i="1"/>
  <c r="V569" i="1"/>
  <c r="W569" i="1"/>
  <c r="X569" i="1"/>
  <c r="Y569" i="1"/>
  <c r="Z569" i="1"/>
  <c r="AA569" i="1"/>
  <c r="AB569" i="1"/>
  <c r="AC569" i="1"/>
  <c r="AG569" i="1"/>
  <c r="AI569" i="1"/>
  <c r="M570" i="1"/>
  <c r="O570" i="1"/>
  <c r="P570" i="1"/>
  <c r="AH570" i="1" s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F570" i="1"/>
  <c r="AI570" i="1"/>
  <c r="M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F571" i="1"/>
  <c r="AI571" i="1" s="1"/>
  <c r="AH571" i="1"/>
  <c r="M572" i="1"/>
  <c r="O572" i="1"/>
  <c r="P572" i="1"/>
  <c r="Q572" i="1"/>
  <c r="R572" i="1"/>
  <c r="AH572" i="1" s="1"/>
  <c r="S572" i="1"/>
  <c r="T572" i="1"/>
  <c r="U572" i="1"/>
  <c r="V572" i="1"/>
  <c r="W572" i="1"/>
  <c r="X572" i="1"/>
  <c r="Y572" i="1"/>
  <c r="Z572" i="1"/>
  <c r="AA572" i="1"/>
  <c r="AB572" i="1"/>
  <c r="AC572" i="1"/>
  <c r="AF572" i="1"/>
  <c r="AI572" i="1"/>
  <c r="M573" i="1"/>
  <c r="O573" i="1"/>
  <c r="P573" i="1"/>
  <c r="Q573" i="1"/>
  <c r="AH573" i="1" s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F573" i="1"/>
  <c r="AI573" i="1"/>
  <c r="M574" i="1"/>
  <c r="O574" i="1"/>
  <c r="P574" i="1"/>
  <c r="Q574" i="1"/>
  <c r="AH574" i="1" s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F574" i="1"/>
  <c r="AI574" i="1" s="1"/>
  <c r="M575" i="1"/>
  <c r="O575" i="1" s="1"/>
  <c r="Q575" i="1"/>
  <c r="S575" i="1"/>
  <c r="V575" i="1"/>
  <c r="Y575" i="1"/>
  <c r="AA575" i="1"/>
  <c r="AG575" i="1"/>
  <c r="AI575" i="1" s="1"/>
  <c r="M576" i="1"/>
  <c r="T576" i="1" s="1"/>
  <c r="P576" i="1"/>
  <c r="V576" i="1"/>
  <c r="X576" i="1"/>
  <c r="AG576" i="1"/>
  <c r="AI576" i="1"/>
  <c r="M577" i="1"/>
  <c r="R577" i="1" s="1"/>
  <c r="P577" i="1"/>
  <c r="Q577" i="1"/>
  <c r="S577" i="1"/>
  <c r="T577" i="1"/>
  <c r="U577" i="1"/>
  <c r="V577" i="1"/>
  <c r="X577" i="1"/>
  <c r="Y577" i="1"/>
  <c r="AA577" i="1"/>
  <c r="AB577" i="1"/>
  <c r="AC577" i="1"/>
  <c r="AG577" i="1"/>
  <c r="AI577" i="1"/>
  <c r="M578" i="1"/>
  <c r="O578" i="1" s="1"/>
  <c r="P578" i="1"/>
  <c r="Q578" i="1"/>
  <c r="R578" i="1"/>
  <c r="U578" i="1"/>
  <c r="V578" i="1"/>
  <c r="X578" i="1"/>
  <c r="Y578" i="1"/>
  <c r="Z578" i="1"/>
  <c r="AC578" i="1"/>
  <c r="AG578" i="1"/>
  <c r="AI578" i="1"/>
  <c r="M579" i="1"/>
  <c r="S579" i="1" s="1"/>
  <c r="O579" i="1"/>
  <c r="R579" i="1"/>
  <c r="U579" i="1"/>
  <c r="V579" i="1"/>
  <c r="W579" i="1"/>
  <c r="Z579" i="1"/>
  <c r="AC579" i="1"/>
  <c r="AG579" i="1"/>
  <c r="AI579" i="1" s="1"/>
  <c r="M580" i="1"/>
  <c r="Q580" i="1" s="1"/>
  <c r="O580" i="1"/>
  <c r="P580" i="1"/>
  <c r="R580" i="1"/>
  <c r="S580" i="1"/>
  <c r="T580" i="1"/>
  <c r="V580" i="1"/>
  <c r="W580" i="1"/>
  <c r="X580" i="1"/>
  <c r="Z580" i="1"/>
  <c r="AA580" i="1"/>
  <c r="AB580" i="1"/>
  <c r="AG580" i="1"/>
  <c r="AI580" i="1"/>
  <c r="M581" i="1"/>
  <c r="R581" i="1" s="1"/>
  <c r="O581" i="1"/>
  <c r="P581" i="1"/>
  <c r="Q581" i="1"/>
  <c r="S581" i="1"/>
  <c r="T581" i="1"/>
  <c r="U581" i="1"/>
  <c r="V581" i="1"/>
  <c r="W581" i="1"/>
  <c r="X581" i="1"/>
  <c r="Y581" i="1"/>
  <c r="Z581" i="1"/>
  <c r="AA581" i="1"/>
  <c r="AB581" i="1"/>
  <c r="AC581" i="1"/>
  <c r="AG581" i="1"/>
  <c r="AI581" i="1"/>
  <c r="M582" i="1"/>
  <c r="R582" i="1" s="1"/>
  <c r="V582" i="1"/>
  <c r="AG582" i="1"/>
  <c r="AI582" i="1" s="1"/>
  <c r="M583" i="1"/>
  <c r="O583" i="1" s="1"/>
  <c r="Q583" i="1"/>
  <c r="S583" i="1"/>
  <c r="V583" i="1"/>
  <c r="Y583" i="1"/>
  <c r="AA583" i="1"/>
  <c r="AG583" i="1"/>
  <c r="AI583" i="1" s="1"/>
  <c r="M584" i="1"/>
  <c r="T584" i="1" s="1"/>
  <c r="P584" i="1"/>
  <c r="V584" i="1"/>
  <c r="X584" i="1"/>
  <c r="AI584" i="1"/>
  <c r="M585" i="1"/>
  <c r="R585" i="1" s="1"/>
  <c r="V585" i="1"/>
  <c r="AG585" i="1"/>
  <c r="AI585" i="1" s="1"/>
  <c r="M586" i="1"/>
  <c r="O586" i="1" s="1"/>
  <c r="Q586" i="1"/>
  <c r="S586" i="1"/>
  <c r="V586" i="1"/>
  <c r="Y586" i="1"/>
  <c r="AA586" i="1"/>
  <c r="AI586" i="1"/>
  <c r="M587" i="1"/>
  <c r="R587" i="1" s="1"/>
  <c r="O587" i="1"/>
  <c r="P587" i="1"/>
  <c r="Q587" i="1"/>
  <c r="T587" i="1"/>
  <c r="U587" i="1"/>
  <c r="V587" i="1"/>
  <c r="W587" i="1"/>
  <c r="X587" i="1"/>
  <c r="Y587" i="1"/>
  <c r="AB587" i="1"/>
  <c r="AC587" i="1"/>
  <c r="AG587" i="1"/>
  <c r="AI587" i="1"/>
  <c r="M588" i="1"/>
  <c r="R588" i="1" s="1"/>
  <c r="V588" i="1"/>
  <c r="AF588" i="1"/>
  <c r="AI588" i="1" s="1"/>
  <c r="M589" i="1"/>
  <c r="O589" i="1" s="1"/>
  <c r="Q589" i="1"/>
  <c r="S589" i="1"/>
  <c r="V589" i="1"/>
  <c r="Y589" i="1"/>
  <c r="AA589" i="1"/>
  <c r="AG589" i="1"/>
  <c r="AI589" i="1" s="1"/>
  <c r="M590" i="1"/>
  <c r="T590" i="1" s="1"/>
  <c r="P590" i="1"/>
  <c r="V590" i="1"/>
  <c r="X590" i="1"/>
  <c r="AG590" i="1"/>
  <c r="AI590" i="1"/>
  <c r="AI591" i="1"/>
  <c r="M592" i="1"/>
  <c r="O592" i="1"/>
  <c r="P592" i="1"/>
  <c r="Q592" i="1"/>
  <c r="R592" i="1"/>
  <c r="AH592" i="1" s="1"/>
  <c r="S592" i="1"/>
  <c r="T592" i="1"/>
  <c r="U592" i="1"/>
  <c r="V592" i="1"/>
  <c r="W592" i="1"/>
  <c r="X592" i="1"/>
  <c r="Y592" i="1"/>
  <c r="Z592" i="1"/>
  <c r="AA592" i="1"/>
  <c r="AB592" i="1"/>
  <c r="AC592" i="1"/>
  <c r="AF592" i="1"/>
  <c r="AI592" i="1"/>
  <c r="M593" i="1"/>
  <c r="O593" i="1"/>
  <c r="P593" i="1"/>
  <c r="Q593" i="1"/>
  <c r="AH593" i="1" s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F593" i="1"/>
  <c r="AI593" i="1"/>
  <c r="M594" i="1"/>
  <c r="O594" i="1"/>
  <c r="P594" i="1"/>
  <c r="Q594" i="1"/>
  <c r="AH594" i="1" s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G594" i="1"/>
  <c r="AI594" i="1" s="1"/>
  <c r="M595" i="1"/>
  <c r="O595" i="1"/>
  <c r="P595" i="1"/>
  <c r="Q595" i="1"/>
  <c r="AH595" i="1" s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F595" i="1"/>
  <c r="AI595" i="1" s="1"/>
  <c r="M596" i="1"/>
  <c r="O596" i="1"/>
  <c r="P596" i="1"/>
  <c r="AH596" i="1" s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F596" i="1"/>
  <c r="AI596" i="1"/>
  <c r="M597" i="1"/>
  <c r="O597" i="1"/>
  <c r="P597" i="1"/>
  <c r="AH597" i="1" s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G597" i="1"/>
  <c r="AI597" i="1"/>
  <c r="M598" i="1"/>
  <c r="O598" i="1"/>
  <c r="P598" i="1"/>
  <c r="AH598" i="1" s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F598" i="1"/>
  <c r="AI598" i="1"/>
  <c r="M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G599" i="1"/>
  <c r="AI599" i="1" s="1"/>
  <c r="AH599" i="1"/>
  <c r="M600" i="1"/>
  <c r="O600" i="1"/>
  <c r="P600" i="1"/>
  <c r="Q600" i="1"/>
  <c r="R600" i="1"/>
  <c r="AH600" i="1" s="1"/>
  <c r="S600" i="1"/>
  <c r="T600" i="1"/>
  <c r="U600" i="1"/>
  <c r="V600" i="1"/>
  <c r="W600" i="1"/>
  <c r="X600" i="1"/>
  <c r="Y600" i="1"/>
  <c r="Z600" i="1"/>
  <c r="AA600" i="1"/>
  <c r="AB600" i="1"/>
  <c r="AC600" i="1"/>
  <c r="AG600" i="1"/>
  <c r="AI600" i="1"/>
  <c r="M601" i="1"/>
  <c r="O601" i="1"/>
  <c r="P601" i="1"/>
  <c r="Q601" i="1"/>
  <c r="AH601" i="1" s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F601" i="1"/>
  <c r="AI601" i="1"/>
  <c r="M602" i="1"/>
  <c r="O602" i="1"/>
  <c r="P602" i="1"/>
  <c r="Q602" i="1"/>
  <c r="AH602" i="1" s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F602" i="1"/>
  <c r="AI602" i="1" s="1"/>
  <c r="M603" i="1"/>
  <c r="O603" i="1"/>
  <c r="P603" i="1"/>
  <c r="Q603" i="1"/>
  <c r="AH603" i="1" s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F603" i="1"/>
  <c r="AI603" i="1" s="1"/>
  <c r="M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F604" i="1"/>
  <c r="AI604" i="1"/>
  <c r="M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F605" i="1"/>
  <c r="AI605" i="1"/>
  <c r="M606" i="1"/>
  <c r="Q606" i="1" s="1"/>
  <c r="O606" i="1"/>
  <c r="P606" i="1"/>
  <c r="R606" i="1"/>
  <c r="U606" i="1"/>
  <c r="V606" i="1"/>
  <c r="W606" i="1"/>
  <c r="X606" i="1"/>
  <c r="Z606" i="1"/>
  <c r="AC606" i="1"/>
  <c r="AG606" i="1"/>
  <c r="AI606" i="1"/>
  <c r="M607" i="1"/>
  <c r="S607" i="1" s="1"/>
  <c r="O607" i="1"/>
  <c r="R607" i="1"/>
  <c r="U607" i="1"/>
  <c r="V607" i="1"/>
  <c r="W607" i="1"/>
  <c r="Z607" i="1"/>
  <c r="AB607" i="1"/>
  <c r="AC607" i="1"/>
  <c r="AG607" i="1"/>
  <c r="AI607" i="1" s="1"/>
  <c r="M608" i="1"/>
  <c r="U608" i="1" s="1"/>
  <c r="O608" i="1"/>
  <c r="P608" i="1"/>
  <c r="Q608" i="1"/>
  <c r="R608" i="1"/>
  <c r="S608" i="1"/>
  <c r="T608" i="1"/>
  <c r="V608" i="1"/>
  <c r="W608" i="1"/>
  <c r="X608" i="1"/>
  <c r="Y608" i="1"/>
  <c r="Z608" i="1"/>
  <c r="AA608" i="1"/>
  <c r="AB608" i="1"/>
  <c r="AG608" i="1"/>
  <c r="AI608" i="1"/>
  <c r="M609" i="1"/>
  <c r="U609" i="1" s="1"/>
  <c r="O609" i="1"/>
  <c r="Q609" i="1"/>
  <c r="T609" i="1"/>
  <c r="V609" i="1"/>
  <c r="W609" i="1"/>
  <c r="Y609" i="1"/>
  <c r="AB609" i="1"/>
  <c r="AG609" i="1"/>
  <c r="AI609" i="1" s="1"/>
  <c r="M610" i="1"/>
  <c r="T610" i="1" s="1"/>
  <c r="AB610" i="1"/>
  <c r="AG610" i="1"/>
  <c r="AI610" i="1" s="1"/>
  <c r="M611" i="1"/>
  <c r="O611" i="1" s="1"/>
  <c r="Q611" i="1"/>
  <c r="S611" i="1"/>
  <c r="V611" i="1"/>
  <c r="Y611" i="1"/>
  <c r="AA611" i="1"/>
  <c r="AG611" i="1"/>
  <c r="AI611" i="1" s="1"/>
  <c r="M612" i="1"/>
  <c r="AG612" i="1"/>
  <c r="AI612" i="1" s="1"/>
  <c r="M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G613" i="1"/>
  <c r="AI613" i="1"/>
  <c r="M614" i="1"/>
  <c r="Q614" i="1" s="1"/>
  <c r="O614" i="1"/>
  <c r="P614" i="1"/>
  <c r="R614" i="1"/>
  <c r="U614" i="1"/>
  <c r="V614" i="1"/>
  <c r="W614" i="1"/>
  <c r="X614" i="1"/>
  <c r="Z614" i="1"/>
  <c r="AC614" i="1"/>
  <c r="AG614" i="1"/>
  <c r="AI614" i="1"/>
  <c r="M615" i="1"/>
  <c r="P615" i="1" s="1"/>
  <c r="O615" i="1"/>
  <c r="R615" i="1"/>
  <c r="S615" i="1"/>
  <c r="T615" i="1"/>
  <c r="U615" i="1"/>
  <c r="V615" i="1"/>
  <c r="W615" i="1"/>
  <c r="Z615" i="1"/>
  <c r="AA615" i="1"/>
  <c r="AB615" i="1"/>
  <c r="AC615" i="1"/>
  <c r="AI615" i="1"/>
  <c r="M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G616" i="1"/>
  <c r="AI616" i="1"/>
  <c r="M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F617" i="1"/>
  <c r="AI617" i="1"/>
  <c r="M618" i="1"/>
  <c r="O618" i="1"/>
  <c r="R618" i="1"/>
  <c r="U618" i="1"/>
  <c r="W618" i="1"/>
  <c r="Z618" i="1"/>
  <c r="AA618" i="1"/>
  <c r="AB618" i="1"/>
  <c r="AC618" i="1"/>
  <c r="AI618" i="1"/>
  <c r="M619" i="1"/>
  <c r="O619" i="1" s="1"/>
  <c r="P619" i="1"/>
  <c r="Q619" i="1"/>
  <c r="R619" i="1"/>
  <c r="S619" i="1"/>
  <c r="T619" i="1"/>
  <c r="U619" i="1"/>
  <c r="V619" i="1"/>
  <c r="X619" i="1"/>
  <c r="Y619" i="1"/>
  <c r="Z619" i="1"/>
  <c r="AA619" i="1"/>
  <c r="AB619" i="1"/>
  <c r="AC619" i="1"/>
  <c r="AG619" i="1"/>
  <c r="AI619" i="1"/>
  <c r="M620" i="1"/>
  <c r="T620" i="1" s="1"/>
  <c r="P620" i="1"/>
  <c r="R620" i="1"/>
  <c r="S620" i="1"/>
  <c r="U620" i="1"/>
  <c r="V620" i="1"/>
  <c r="X620" i="1"/>
  <c r="Z620" i="1"/>
  <c r="AA620" i="1"/>
  <c r="AC620" i="1"/>
  <c r="AF620" i="1"/>
  <c r="AI620" i="1"/>
  <c r="M621" i="1"/>
  <c r="Q621" i="1" s="1"/>
  <c r="O621" i="1"/>
  <c r="P621" i="1"/>
  <c r="R621" i="1"/>
  <c r="S621" i="1"/>
  <c r="U621" i="1"/>
  <c r="V621" i="1"/>
  <c r="W621" i="1"/>
  <c r="X621" i="1"/>
  <c r="Z621" i="1"/>
  <c r="AA621" i="1"/>
  <c r="AC621" i="1"/>
  <c r="AG621" i="1"/>
  <c r="AI621" i="1"/>
  <c r="M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G622" i="1"/>
  <c r="AI622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G623" i="1"/>
  <c r="AI623" i="1"/>
  <c r="AI624" i="1"/>
  <c r="M625" i="1"/>
  <c r="O625" i="1"/>
  <c r="AH625" i="1" s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F625" i="1"/>
  <c r="AI625" i="1" s="1"/>
  <c r="M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F626" i="1"/>
  <c r="AI626" i="1" s="1"/>
  <c r="M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G627" i="1"/>
  <c r="AI627" i="1"/>
  <c r="M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F628" i="1"/>
  <c r="AI628" i="1" s="1"/>
  <c r="M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F629" i="1"/>
  <c r="AI629" i="1"/>
  <c r="M630" i="1"/>
  <c r="O630" i="1"/>
  <c r="AH630" i="1" s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G630" i="1"/>
  <c r="AI630" i="1"/>
  <c r="M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F631" i="1"/>
  <c r="AI631" i="1"/>
  <c r="M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G632" i="1"/>
  <c r="AI632" i="1"/>
  <c r="M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G633" i="1"/>
  <c r="AI633" i="1" s="1"/>
  <c r="AH633" i="1"/>
  <c r="M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F634" i="1"/>
  <c r="AI634" i="1"/>
  <c r="M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F635" i="1"/>
  <c r="AI635" i="1"/>
  <c r="M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F636" i="1"/>
  <c r="AI636" i="1" s="1"/>
  <c r="M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F637" i="1"/>
  <c r="AI637" i="1"/>
  <c r="M638" i="1"/>
  <c r="O638" i="1"/>
  <c r="AH638" i="1" s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F638" i="1"/>
  <c r="AI638" i="1"/>
  <c r="M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G639" i="1"/>
  <c r="AI639" i="1"/>
  <c r="M640" i="1"/>
  <c r="S640" i="1" s="1"/>
  <c r="O640" i="1"/>
  <c r="Q640" i="1"/>
  <c r="R640" i="1"/>
  <c r="V640" i="1"/>
  <c r="W640" i="1"/>
  <c r="Y640" i="1"/>
  <c r="Z640" i="1"/>
  <c r="AG640" i="1"/>
  <c r="AI640" i="1" s="1"/>
  <c r="M641" i="1"/>
  <c r="O641" i="1" s="1"/>
  <c r="V641" i="1"/>
  <c r="W641" i="1"/>
  <c r="AG641" i="1"/>
  <c r="AI641" i="1" s="1"/>
  <c r="M642" i="1"/>
  <c r="U642" i="1" s="1"/>
  <c r="O642" i="1"/>
  <c r="P642" i="1"/>
  <c r="Q642" i="1"/>
  <c r="R642" i="1"/>
  <c r="S642" i="1"/>
  <c r="T642" i="1"/>
  <c r="V642" i="1"/>
  <c r="W642" i="1"/>
  <c r="X642" i="1"/>
  <c r="Y642" i="1"/>
  <c r="Z642" i="1"/>
  <c r="AA642" i="1"/>
  <c r="AB642" i="1"/>
  <c r="AG642" i="1"/>
  <c r="AI642" i="1"/>
  <c r="M643" i="1"/>
  <c r="R643" i="1" s="1"/>
  <c r="P643" i="1"/>
  <c r="Q643" i="1"/>
  <c r="V643" i="1"/>
  <c r="X643" i="1"/>
  <c r="Y643" i="1"/>
  <c r="AG643" i="1"/>
  <c r="AI643" i="1"/>
  <c r="M644" i="1"/>
  <c r="U644" i="1"/>
  <c r="V644" i="1"/>
  <c r="AC644" i="1"/>
  <c r="AG644" i="1"/>
  <c r="AI644" i="1" s="1"/>
  <c r="M645" i="1"/>
  <c r="T645" i="1" s="1"/>
  <c r="O645" i="1"/>
  <c r="P645" i="1"/>
  <c r="R645" i="1"/>
  <c r="S645" i="1"/>
  <c r="V645" i="1"/>
  <c r="W645" i="1"/>
  <c r="X645" i="1"/>
  <c r="Z645" i="1"/>
  <c r="AA645" i="1"/>
  <c r="AG645" i="1"/>
  <c r="AI645" i="1"/>
  <c r="M646" i="1"/>
  <c r="Q646" i="1" s="1"/>
  <c r="O646" i="1"/>
  <c r="P646" i="1"/>
  <c r="T646" i="1"/>
  <c r="U646" i="1"/>
  <c r="V646" i="1"/>
  <c r="W646" i="1"/>
  <c r="X646" i="1"/>
  <c r="AB646" i="1"/>
  <c r="AC646" i="1"/>
  <c r="AG646" i="1"/>
  <c r="AI646" i="1"/>
  <c r="M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G647" i="1"/>
  <c r="AI647" i="1"/>
  <c r="M648" i="1"/>
  <c r="S648" i="1" s="1"/>
  <c r="Q648" i="1"/>
  <c r="R648" i="1"/>
  <c r="V648" i="1"/>
  <c r="W648" i="1"/>
  <c r="Y648" i="1"/>
  <c r="Z648" i="1"/>
  <c r="AI648" i="1"/>
  <c r="M649" i="1"/>
  <c r="Q649" i="1" s="1"/>
  <c r="O649" i="1"/>
  <c r="P649" i="1"/>
  <c r="T649" i="1"/>
  <c r="U649" i="1"/>
  <c r="V649" i="1"/>
  <c r="W649" i="1"/>
  <c r="X649" i="1"/>
  <c r="AB649" i="1"/>
  <c r="AC649" i="1"/>
  <c r="AG649" i="1"/>
  <c r="AI649" i="1"/>
  <c r="M650" i="1"/>
  <c r="O650" i="1"/>
  <c r="AH650" i="1" s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I650" i="1"/>
  <c r="M651" i="1"/>
  <c r="T651" i="1" s="1"/>
  <c r="O651" i="1"/>
  <c r="P651" i="1"/>
  <c r="Q651" i="1"/>
  <c r="R651" i="1"/>
  <c r="S651" i="1"/>
  <c r="V651" i="1"/>
  <c r="W651" i="1"/>
  <c r="X651" i="1"/>
  <c r="Y651" i="1"/>
  <c r="Z651" i="1"/>
  <c r="AA651" i="1"/>
  <c r="AG651" i="1"/>
  <c r="AI651" i="1"/>
  <c r="M652" i="1"/>
  <c r="Q652" i="1" s="1"/>
  <c r="O652" i="1"/>
  <c r="P652" i="1"/>
  <c r="V652" i="1"/>
  <c r="W652" i="1"/>
  <c r="X652" i="1"/>
  <c r="AB652" i="1"/>
  <c r="AC652" i="1"/>
  <c r="AF652" i="1"/>
  <c r="AI652" i="1"/>
  <c r="M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G653" i="1"/>
  <c r="AI653" i="1"/>
  <c r="M654" i="1"/>
  <c r="S654" i="1" s="1"/>
  <c r="Q654" i="1"/>
  <c r="R654" i="1"/>
  <c r="V654" i="1"/>
  <c r="Y654" i="1"/>
  <c r="Z654" i="1"/>
  <c r="AI654" i="1"/>
  <c r="M655" i="1"/>
  <c r="Q655" i="1" s="1"/>
  <c r="O655" i="1"/>
  <c r="P655" i="1"/>
  <c r="T655" i="1"/>
  <c r="V655" i="1"/>
  <c r="W655" i="1"/>
  <c r="X655" i="1"/>
  <c r="AB655" i="1"/>
  <c r="AG655" i="1"/>
  <c r="AI655" i="1"/>
  <c r="M656" i="1"/>
  <c r="O656" i="1"/>
  <c r="P656" i="1"/>
  <c r="AH656" i="1" s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F656" i="1"/>
  <c r="AI656" i="1"/>
  <c r="M657" i="1"/>
  <c r="S657" i="1" s="1"/>
  <c r="Q657" i="1"/>
  <c r="R657" i="1"/>
  <c r="V657" i="1"/>
  <c r="Y657" i="1"/>
  <c r="Z657" i="1"/>
  <c r="AG657" i="1"/>
  <c r="AI657" i="1" s="1"/>
  <c r="AI658" i="1"/>
  <c r="M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F659" i="1"/>
  <c r="AI659" i="1" s="1"/>
  <c r="M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F660" i="1"/>
  <c r="AI660" i="1"/>
  <c r="M661" i="1"/>
  <c r="O661" i="1"/>
  <c r="P661" i="1"/>
  <c r="AH661" i="1" s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G661" i="1"/>
  <c r="AI661" i="1"/>
  <c r="M662" i="1"/>
  <c r="O662" i="1"/>
  <c r="P662" i="1"/>
  <c r="AH662" i="1" s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F662" i="1"/>
  <c r="AI662" i="1"/>
  <c r="M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F663" i="1"/>
  <c r="AI663" i="1" s="1"/>
  <c r="M664" i="1"/>
  <c r="O664" i="1"/>
  <c r="P664" i="1"/>
  <c r="Q664" i="1"/>
  <c r="R664" i="1"/>
  <c r="S664" i="1"/>
  <c r="T664" i="1"/>
  <c r="U664" i="1"/>
  <c r="V664" i="1"/>
  <c r="AH664" i="1" s="1"/>
  <c r="W664" i="1"/>
  <c r="X664" i="1"/>
  <c r="Y664" i="1"/>
  <c r="Z664" i="1"/>
  <c r="AA664" i="1"/>
  <c r="AB664" i="1"/>
  <c r="AC664" i="1"/>
  <c r="AG664" i="1"/>
  <c r="AI664" i="1" s="1"/>
  <c r="M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F665" i="1"/>
  <c r="AI665" i="1"/>
  <c r="M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G666" i="1"/>
  <c r="AI666" i="1"/>
  <c r="M667" i="1"/>
  <c r="O667" i="1"/>
  <c r="P667" i="1"/>
  <c r="AH667" i="1" s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G667" i="1"/>
  <c r="AI667" i="1" s="1"/>
  <c r="M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F668" i="1"/>
  <c r="AI668" i="1"/>
  <c r="M669" i="1"/>
  <c r="O669" i="1"/>
  <c r="P669" i="1"/>
  <c r="AH669" i="1" s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F669" i="1"/>
  <c r="AI669" i="1"/>
  <c r="M670" i="1"/>
  <c r="O670" i="1"/>
  <c r="P670" i="1"/>
  <c r="AH670" i="1" s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F670" i="1"/>
  <c r="AI670" i="1"/>
  <c r="M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F671" i="1"/>
  <c r="AI671" i="1" s="1"/>
  <c r="M672" i="1"/>
  <c r="O672" i="1"/>
  <c r="AH672" i="1" s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F672" i="1"/>
  <c r="AI672" i="1" s="1"/>
  <c r="M673" i="1"/>
  <c r="U673" i="1" s="1"/>
  <c r="O673" i="1"/>
  <c r="P673" i="1"/>
  <c r="Q673" i="1"/>
  <c r="R673" i="1"/>
  <c r="S673" i="1"/>
  <c r="T673" i="1"/>
  <c r="V673" i="1"/>
  <c r="W673" i="1"/>
  <c r="X673" i="1"/>
  <c r="Y673" i="1"/>
  <c r="Z673" i="1"/>
  <c r="AA673" i="1"/>
  <c r="AB673" i="1"/>
  <c r="AG673" i="1"/>
  <c r="AI673" i="1"/>
  <c r="M674" i="1"/>
  <c r="R674" i="1" s="1"/>
  <c r="P674" i="1"/>
  <c r="Q674" i="1"/>
  <c r="V674" i="1"/>
  <c r="X674" i="1"/>
  <c r="Y674" i="1"/>
  <c r="AG674" i="1"/>
  <c r="AI674" i="1"/>
  <c r="M675" i="1"/>
  <c r="U675" i="1"/>
  <c r="V675" i="1"/>
  <c r="AC675" i="1"/>
  <c r="AG675" i="1"/>
  <c r="AI675" i="1" s="1"/>
  <c r="M676" i="1"/>
  <c r="T676" i="1" s="1"/>
  <c r="R676" i="1"/>
  <c r="S676" i="1"/>
  <c r="V676" i="1"/>
  <c r="X676" i="1"/>
  <c r="Z676" i="1"/>
  <c r="AA676" i="1"/>
  <c r="AG676" i="1"/>
  <c r="AI676" i="1"/>
  <c r="M677" i="1"/>
  <c r="Q677" i="1" s="1"/>
  <c r="O677" i="1"/>
  <c r="P677" i="1"/>
  <c r="S677" i="1"/>
  <c r="U677" i="1"/>
  <c r="V677" i="1"/>
  <c r="W677" i="1"/>
  <c r="X677" i="1"/>
  <c r="AA677" i="1"/>
  <c r="AC677" i="1"/>
  <c r="AG677" i="1"/>
  <c r="AI677" i="1"/>
  <c r="M678" i="1"/>
  <c r="O678" i="1"/>
  <c r="P678" i="1"/>
  <c r="AH678" i="1" s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G678" i="1"/>
  <c r="AI678" i="1"/>
  <c r="M679" i="1"/>
  <c r="S679" i="1" s="1"/>
  <c r="O679" i="1"/>
  <c r="Q679" i="1"/>
  <c r="R679" i="1"/>
  <c r="U679" i="1"/>
  <c r="V679" i="1"/>
  <c r="W679" i="1"/>
  <c r="Y679" i="1"/>
  <c r="Z679" i="1"/>
  <c r="AC679" i="1"/>
  <c r="AG679" i="1"/>
  <c r="AI679" i="1" s="1"/>
  <c r="M680" i="1"/>
  <c r="O680" i="1"/>
  <c r="V680" i="1"/>
  <c r="W680" i="1"/>
  <c r="AG680" i="1"/>
  <c r="AI680" i="1" s="1"/>
  <c r="M681" i="1"/>
  <c r="U681" i="1" s="1"/>
  <c r="O681" i="1"/>
  <c r="P681" i="1"/>
  <c r="Q681" i="1"/>
  <c r="R681" i="1"/>
  <c r="S681" i="1"/>
  <c r="T681" i="1"/>
  <c r="V681" i="1"/>
  <c r="W681" i="1"/>
  <c r="X681" i="1"/>
  <c r="Y681" i="1"/>
  <c r="Z681" i="1"/>
  <c r="AA681" i="1"/>
  <c r="AB681" i="1"/>
  <c r="AG681" i="1"/>
  <c r="AI681" i="1"/>
  <c r="M682" i="1"/>
  <c r="R682" i="1" s="1"/>
  <c r="P682" i="1"/>
  <c r="Q682" i="1"/>
  <c r="V682" i="1"/>
  <c r="X682" i="1"/>
  <c r="Y682" i="1"/>
  <c r="AI682" i="1"/>
  <c r="M683" i="1"/>
  <c r="O683" i="1"/>
  <c r="V683" i="1"/>
  <c r="AG683" i="1"/>
  <c r="AI683" i="1" s="1"/>
  <c r="M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F684" i="1"/>
  <c r="AI684" i="1"/>
  <c r="M685" i="1"/>
  <c r="R685" i="1" s="1"/>
  <c r="P685" i="1"/>
  <c r="Q685" i="1"/>
  <c r="V685" i="1"/>
  <c r="X685" i="1"/>
  <c r="Y685" i="1"/>
  <c r="AI685" i="1"/>
  <c r="M686" i="1"/>
  <c r="O686" i="1"/>
  <c r="V686" i="1"/>
  <c r="W686" i="1"/>
  <c r="AG686" i="1"/>
  <c r="AI686" i="1" s="1"/>
  <c r="M687" i="1"/>
  <c r="U687" i="1" s="1"/>
  <c r="O687" i="1"/>
  <c r="P687" i="1"/>
  <c r="Q687" i="1"/>
  <c r="R687" i="1"/>
  <c r="S687" i="1"/>
  <c r="T687" i="1"/>
  <c r="V687" i="1"/>
  <c r="W687" i="1"/>
  <c r="X687" i="1"/>
  <c r="Y687" i="1"/>
  <c r="Z687" i="1"/>
  <c r="AA687" i="1"/>
  <c r="AB687" i="1"/>
  <c r="AF687" i="1"/>
  <c r="AI687" i="1"/>
  <c r="M688" i="1"/>
  <c r="R688" i="1" s="1"/>
  <c r="P688" i="1"/>
  <c r="Q688" i="1"/>
  <c r="V688" i="1"/>
  <c r="X688" i="1"/>
  <c r="Y688" i="1"/>
  <c r="AG688" i="1"/>
  <c r="AI688" i="1"/>
  <c r="M689" i="1"/>
  <c r="V689" i="1" s="1"/>
  <c r="U689" i="1"/>
  <c r="AC689" i="1"/>
  <c r="AI689" i="1"/>
  <c r="M690" i="1"/>
  <c r="U690" i="1" s="1"/>
  <c r="O690" i="1"/>
  <c r="P690" i="1"/>
  <c r="Q690" i="1"/>
  <c r="R690" i="1"/>
  <c r="S690" i="1"/>
  <c r="T690" i="1"/>
  <c r="V690" i="1"/>
  <c r="W690" i="1"/>
  <c r="X690" i="1"/>
  <c r="Y690" i="1"/>
  <c r="Z690" i="1"/>
  <c r="AA690" i="1"/>
  <c r="AB690" i="1"/>
  <c r="AG690" i="1"/>
  <c r="AI690" i="1"/>
  <c r="M691" i="1"/>
  <c r="R691" i="1" s="1"/>
  <c r="P691" i="1"/>
  <c r="Q691" i="1"/>
  <c r="V691" i="1"/>
  <c r="X691" i="1"/>
  <c r="Y691" i="1"/>
  <c r="AI691" i="1"/>
  <c r="M692" i="1"/>
  <c r="V692" i="1" s="1"/>
  <c r="AG692" i="1"/>
  <c r="AI692" i="1" s="1"/>
  <c r="O693" i="1"/>
  <c r="P693" i="1"/>
  <c r="AH693" i="1" s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G693" i="1"/>
  <c r="AI693" i="1"/>
  <c r="O694" i="1"/>
  <c r="P694" i="1"/>
  <c r="AH694" i="1" s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F694" i="1"/>
  <c r="AI694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G695" i="1"/>
  <c r="AI695" i="1"/>
  <c r="O696" i="1"/>
  <c r="P696" i="1"/>
  <c r="Q696" i="1"/>
  <c r="R696" i="1"/>
  <c r="S696" i="1"/>
  <c r="T696" i="1"/>
  <c r="U696" i="1"/>
  <c r="V696" i="1"/>
  <c r="AH696" i="1" s="1"/>
  <c r="W696" i="1"/>
  <c r="X696" i="1"/>
  <c r="Y696" i="1"/>
  <c r="Z696" i="1"/>
  <c r="AA696" i="1"/>
  <c r="AB696" i="1"/>
  <c r="AC696" i="1"/>
  <c r="AG696" i="1"/>
  <c r="AI696" i="1" s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G697" i="1"/>
  <c r="AI697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G698" i="1"/>
  <c r="AI698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G699" i="1"/>
  <c r="AI699" i="1"/>
  <c r="O700" i="1"/>
  <c r="P700" i="1"/>
  <c r="Q700" i="1"/>
  <c r="R700" i="1"/>
  <c r="S700" i="1"/>
  <c r="T700" i="1"/>
  <c r="U700" i="1"/>
  <c r="V700" i="1"/>
  <c r="AH700" i="1" s="1"/>
  <c r="W700" i="1"/>
  <c r="X700" i="1"/>
  <c r="Y700" i="1"/>
  <c r="Z700" i="1"/>
  <c r="AA700" i="1"/>
  <c r="AB700" i="1"/>
  <c r="AC700" i="1"/>
  <c r="AG700" i="1"/>
  <c r="AI700" i="1" s="1"/>
  <c r="O701" i="1"/>
  <c r="P701" i="1"/>
  <c r="AH701" i="1" s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G701" i="1"/>
  <c r="AI701" i="1"/>
  <c r="O702" i="1"/>
  <c r="P702" i="1"/>
  <c r="AH702" i="1" s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G702" i="1"/>
  <c r="AI702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G703" i="1"/>
  <c r="AI703" i="1"/>
  <c r="O704" i="1"/>
  <c r="P704" i="1"/>
  <c r="Q704" i="1"/>
  <c r="R704" i="1"/>
  <c r="S704" i="1"/>
  <c r="T704" i="1"/>
  <c r="U704" i="1"/>
  <c r="V704" i="1"/>
  <c r="AH704" i="1" s="1"/>
  <c r="W704" i="1"/>
  <c r="X704" i="1"/>
  <c r="Y704" i="1"/>
  <c r="Z704" i="1"/>
  <c r="AA704" i="1"/>
  <c r="AB704" i="1"/>
  <c r="AC704" i="1"/>
  <c r="AG704" i="1"/>
  <c r="AI704" i="1" s="1"/>
  <c r="AI705" i="1"/>
  <c r="M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F706" i="1"/>
  <c r="AI706" i="1"/>
  <c r="M707" i="1"/>
  <c r="O707" i="1"/>
  <c r="AH707" i="1" s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F707" i="1"/>
  <c r="AI707" i="1"/>
  <c r="M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G708" i="1"/>
  <c r="AI708" i="1"/>
  <c r="M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F709" i="1"/>
  <c r="AI709" i="1"/>
  <c r="M710" i="1"/>
  <c r="O710" i="1"/>
  <c r="P710" i="1"/>
  <c r="Q710" i="1"/>
  <c r="R710" i="1"/>
  <c r="S710" i="1"/>
  <c r="T710" i="1"/>
  <c r="U710" i="1"/>
  <c r="V710" i="1"/>
  <c r="AH710" i="1" s="1"/>
  <c r="W710" i="1"/>
  <c r="X710" i="1"/>
  <c r="Y710" i="1"/>
  <c r="Z710" i="1"/>
  <c r="AA710" i="1"/>
  <c r="AB710" i="1"/>
  <c r="AC710" i="1"/>
  <c r="AF710" i="1"/>
  <c r="AI710" i="1" s="1"/>
  <c r="M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G711" i="1"/>
  <c r="AI711" i="1"/>
  <c r="M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F712" i="1"/>
  <c r="AI712" i="1"/>
  <c r="M713" i="1"/>
  <c r="O713" i="1"/>
  <c r="P713" i="1"/>
  <c r="AH713" i="1" s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G713" i="1"/>
  <c r="AI713" i="1" s="1"/>
  <c r="M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G714" i="1"/>
  <c r="AI714" i="1"/>
  <c r="M715" i="1"/>
  <c r="O715" i="1"/>
  <c r="AH715" i="1" s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F715" i="1"/>
  <c r="AI715" i="1"/>
  <c r="M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F716" i="1"/>
  <c r="AI716" i="1"/>
  <c r="M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F717" i="1"/>
  <c r="AI717" i="1" s="1"/>
  <c r="M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F718" i="1"/>
  <c r="AI718" i="1" s="1"/>
  <c r="AH718" i="1"/>
  <c r="M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F719" i="1"/>
  <c r="AI719" i="1"/>
  <c r="M720" i="1"/>
  <c r="R720" i="1" s="1"/>
  <c r="P720" i="1"/>
  <c r="Q720" i="1"/>
  <c r="V720" i="1"/>
  <c r="X720" i="1"/>
  <c r="Y720" i="1"/>
  <c r="AG720" i="1"/>
  <c r="AI720" i="1"/>
  <c r="M721" i="1"/>
  <c r="U721" i="1"/>
  <c r="AG721" i="1"/>
  <c r="AI721" i="1" s="1"/>
  <c r="M722" i="1"/>
  <c r="T722" i="1" s="1"/>
  <c r="R722" i="1"/>
  <c r="S722" i="1"/>
  <c r="V722" i="1"/>
  <c r="Z722" i="1"/>
  <c r="AA722" i="1"/>
  <c r="AG722" i="1"/>
  <c r="AI722" i="1" s="1"/>
  <c r="M723" i="1"/>
  <c r="Q723" i="1" s="1"/>
  <c r="O723" i="1"/>
  <c r="P723" i="1"/>
  <c r="S723" i="1"/>
  <c r="U723" i="1"/>
  <c r="V723" i="1"/>
  <c r="W723" i="1"/>
  <c r="X723" i="1"/>
  <c r="AA723" i="1"/>
  <c r="AC723" i="1"/>
  <c r="AG723" i="1"/>
  <c r="AI723" i="1"/>
  <c r="M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G724" i="1"/>
  <c r="AI724" i="1"/>
  <c r="M725" i="1"/>
  <c r="S725" i="1" s="1"/>
  <c r="O725" i="1"/>
  <c r="Q725" i="1"/>
  <c r="R725" i="1"/>
  <c r="U725" i="1"/>
  <c r="V725" i="1"/>
  <c r="W725" i="1"/>
  <c r="Y725" i="1"/>
  <c r="Z725" i="1"/>
  <c r="AC725" i="1"/>
  <c r="AG725" i="1"/>
  <c r="AI725" i="1" s="1"/>
  <c r="M726" i="1"/>
  <c r="O726" i="1"/>
  <c r="V726" i="1"/>
  <c r="W726" i="1"/>
  <c r="AG726" i="1"/>
  <c r="AI726" i="1" s="1"/>
  <c r="M727" i="1"/>
  <c r="U727" i="1" s="1"/>
  <c r="O727" i="1"/>
  <c r="P727" i="1"/>
  <c r="Q727" i="1"/>
  <c r="R727" i="1"/>
  <c r="S727" i="1"/>
  <c r="T727" i="1"/>
  <c r="V727" i="1"/>
  <c r="W727" i="1"/>
  <c r="X727" i="1"/>
  <c r="Y727" i="1"/>
  <c r="Z727" i="1"/>
  <c r="AA727" i="1"/>
  <c r="AB727" i="1"/>
  <c r="AG727" i="1"/>
  <c r="AI727" i="1"/>
  <c r="M728" i="1"/>
  <c r="R728" i="1" s="1"/>
  <c r="P728" i="1"/>
  <c r="Q728" i="1"/>
  <c r="V728" i="1"/>
  <c r="X728" i="1"/>
  <c r="Y728" i="1"/>
  <c r="AG728" i="1"/>
  <c r="AI728" i="1"/>
  <c r="M729" i="1"/>
  <c r="V729" i="1" s="1"/>
  <c r="U729" i="1"/>
  <c r="AC729" i="1"/>
  <c r="AI729" i="1"/>
  <c r="M730" i="1"/>
  <c r="U730" i="1" s="1"/>
  <c r="O730" i="1"/>
  <c r="P730" i="1"/>
  <c r="Q730" i="1"/>
  <c r="R730" i="1"/>
  <c r="S730" i="1"/>
  <c r="T730" i="1"/>
  <c r="V730" i="1"/>
  <c r="W730" i="1"/>
  <c r="X730" i="1"/>
  <c r="Y730" i="1"/>
  <c r="Z730" i="1"/>
  <c r="AA730" i="1"/>
  <c r="AB730" i="1"/>
  <c r="AG730" i="1"/>
  <c r="AI730" i="1"/>
  <c r="M731" i="1"/>
  <c r="R731" i="1" s="1"/>
  <c r="P731" i="1"/>
  <c r="Q731" i="1"/>
  <c r="V731" i="1"/>
  <c r="X731" i="1"/>
  <c r="Y731" i="1"/>
  <c r="AI731" i="1"/>
  <c r="M732" i="1"/>
  <c r="AG732" i="1"/>
  <c r="AI732" i="1" s="1"/>
  <c r="M733" i="1"/>
  <c r="U733" i="1" s="1"/>
  <c r="O733" i="1"/>
  <c r="P733" i="1"/>
  <c r="Q733" i="1"/>
  <c r="R733" i="1"/>
  <c r="S733" i="1"/>
  <c r="T733" i="1"/>
  <c r="V733" i="1"/>
  <c r="W733" i="1"/>
  <c r="X733" i="1"/>
  <c r="Y733" i="1"/>
  <c r="Z733" i="1"/>
  <c r="AA733" i="1"/>
  <c r="AB733" i="1"/>
  <c r="AF733" i="1"/>
  <c r="AI733" i="1"/>
  <c r="M734" i="1"/>
  <c r="P734" i="1"/>
  <c r="Q734" i="1"/>
  <c r="AG734" i="1"/>
  <c r="AI734" i="1" s="1"/>
  <c r="M735" i="1"/>
  <c r="AC735" i="1" s="1"/>
  <c r="S735" i="1"/>
  <c r="U735" i="1"/>
  <c r="AI735" i="1"/>
  <c r="M736" i="1"/>
  <c r="U736" i="1" s="1"/>
  <c r="O736" i="1"/>
  <c r="P736" i="1"/>
  <c r="Q736" i="1"/>
  <c r="R736" i="1"/>
  <c r="S736" i="1"/>
  <c r="T736" i="1"/>
  <c r="V736" i="1"/>
  <c r="W736" i="1"/>
  <c r="X736" i="1"/>
  <c r="Y736" i="1"/>
  <c r="Z736" i="1"/>
  <c r="AA736" i="1"/>
  <c r="AB736" i="1"/>
  <c r="AG736" i="1"/>
  <c r="AI736" i="1"/>
  <c r="M737" i="1"/>
  <c r="Y737" i="1" s="1"/>
  <c r="P737" i="1"/>
  <c r="AF737" i="1"/>
  <c r="AI737" i="1"/>
  <c r="M738" i="1"/>
  <c r="Q738" i="1"/>
  <c r="S738" i="1"/>
  <c r="U738" i="1"/>
  <c r="V738" i="1"/>
  <c r="Y738" i="1"/>
  <c r="AA738" i="1"/>
  <c r="AC738" i="1"/>
  <c r="AG738" i="1"/>
  <c r="AI738" i="1" s="1"/>
  <c r="M739" i="1"/>
  <c r="P739" i="1"/>
  <c r="R739" i="1"/>
  <c r="S739" i="1"/>
  <c r="V739" i="1"/>
  <c r="X739" i="1"/>
  <c r="Z739" i="1"/>
  <c r="AG739" i="1"/>
  <c r="AI739" i="1"/>
  <c r="M740" i="1"/>
  <c r="Q740" i="1" s="1"/>
  <c r="O740" i="1"/>
  <c r="P740" i="1"/>
  <c r="S740" i="1"/>
  <c r="U740" i="1"/>
  <c r="V740" i="1"/>
  <c r="W740" i="1"/>
  <c r="X740" i="1"/>
  <c r="AA740" i="1"/>
  <c r="AC740" i="1"/>
  <c r="AG740" i="1"/>
  <c r="AI740" i="1"/>
  <c r="AI741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F742" i="1"/>
  <c r="AI742" i="1"/>
  <c r="M743" i="1"/>
  <c r="S743" i="1" s="1"/>
  <c r="O743" i="1"/>
  <c r="Q743" i="1"/>
  <c r="R743" i="1"/>
  <c r="U743" i="1"/>
  <c r="V743" i="1"/>
  <c r="W743" i="1"/>
  <c r="Y743" i="1"/>
  <c r="Z743" i="1"/>
  <c r="AC743" i="1"/>
  <c r="AG743" i="1"/>
  <c r="AI743" i="1" s="1"/>
  <c r="M744" i="1"/>
  <c r="O744" i="1"/>
  <c r="AH744" i="1" s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F744" i="1"/>
  <c r="AI744" i="1" s="1"/>
  <c r="M745" i="1"/>
  <c r="O745" i="1"/>
  <c r="P745" i="1"/>
  <c r="AH745" i="1" s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F745" i="1"/>
  <c r="AI745" i="1"/>
  <c r="M746" i="1"/>
  <c r="O746" i="1"/>
  <c r="P746" i="1"/>
  <c r="AH746" i="1" s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G746" i="1"/>
  <c r="AI746" i="1"/>
  <c r="M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F747" i="1"/>
  <c r="AI747" i="1" s="1"/>
  <c r="M748" i="1"/>
  <c r="O748" i="1"/>
  <c r="P748" i="1"/>
  <c r="AH748" i="1" s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F748" i="1"/>
  <c r="AI748" i="1" s="1"/>
  <c r="M749" i="1"/>
  <c r="O749" i="1"/>
  <c r="P749" i="1"/>
  <c r="Q749" i="1"/>
  <c r="R749" i="1"/>
  <c r="S749" i="1"/>
  <c r="AH749" i="1" s="1"/>
  <c r="T749" i="1"/>
  <c r="U749" i="1"/>
  <c r="V749" i="1"/>
  <c r="W749" i="1"/>
  <c r="X749" i="1"/>
  <c r="Y749" i="1"/>
  <c r="Z749" i="1"/>
  <c r="AA749" i="1"/>
  <c r="AB749" i="1"/>
  <c r="AC749" i="1"/>
  <c r="AG749" i="1"/>
  <c r="AI749" i="1"/>
  <c r="M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F750" i="1"/>
  <c r="AI750" i="1"/>
  <c r="M751" i="1"/>
  <c r="O751" i="1"/>
  <c r="P751" i="1"/>
  <c r="AH751" i="1" s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G751" i="1"/>
  <c r="AI751" i="1" s="1"/>
  <c r="M752" i="1"/>
  <c r="O752" i="1"/>
  <c r="P752" i="1"/>
  <c r="Q752" i="1"/>
  <c r="R752" i="1"/>
  <c r="AH752" i="1" s="1"/>
  <c r="S752" i="1"/>
  <c r="T752" i="1"/>
  <c r="U752" i="1"/>
  <c r="V752" i="1"/>
  <c r="W752" i="1"/>
  <c r="X752" i="1"/>
  <c r="Y752" i="1"/>
  <c r="Z752" i="1"/>
  <c r="AA752" i="1"/>
  <c r="AB752" i="1"/>
  <c r="AC752" i="1"/>
  <c r="AF752" i="1"/>
  <c r="AI752" i="1" s="1"/>
  <c r="M753" i="1"/>
  <c r="O753" i="1"/>
  <c r="P753" i="1"/>
  <c r="AH753" i="1" s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F753" i="1"/>
  <c r="AI753" i="1"/>
  <c r="M754" i="1"/>
  <c r="O754" i="1"/>
  <c r="P754" i="1"/>
  <c r="AH754" i="1" s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F754" i="1"/>
  <c r="AI754" i="1" s="1"/>
  <c r="M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F755" i="1"/>
  <c r="AI755" i="1" s="1"/>
  <c r="M756" i="1"/>
  <c r="O756" i="1"/>
  <c r="P756" i="1"/>
  <c r="AH756" i="1" s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F756" i="1"/>
  <c r="AI756" i="1"/>
  <c r="M757" i="1"/>
  <c r="V757" i="1" s="1"/>
  <c r="O757" i="1"/>
  <c r="AA757" i="1"/>
  <c r="AG757" i="1"/>
  <c r="AI757" i="1"/>
  <c r="M758" i="1"/>
  <c r="O758" i="1"/>
  <c r="P758" i="1"/>
  <c r="AH758" i="1" s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G758" i="1"/>
  <c r="AI758" i="1"/>
  <c r="M759" i="1"/>
  <c r="Q759" i="1" s="1"/>
  <c r="AG759" i="1"/>
  <c r="AI759" i="1"/>
  <c r="M760" i="1"/>
  <c r="T760" i="1" s="1"/>
  <c r="O760" i="1"/>
  <c r="AA760" i="1"/>
  <c r="AG760" i="1"/>
  <c r="AI760" i="1" s="1"/>
  <c r="M761" i="1"/>
  <c r="U761" i="1" s="1"/>
  <c r="O761" i="1"/>
  <c r="P761" i="1"/>
  <c r="Q761" i="1"/>
  <c r="R761" i="1"/>
  <c r="S761" i="1"/>
  <c r="T761" i="1"/>
  <c r="V761" i="1"/>
  <c r="W761" i="1"/>
  <c r="X761" i="1"/>
  <c r="Y761" i="1"/>
  <c r="Z761" i="1"/>
  <c r="AA761" i="1"/>
  <c r="AB761" i="1"/>
  <c r="AG761" i="1"/>
  <c r="AI761" i="1"/>
  <c r="M762" i="1"/>
  <c r="W762" i="1" s="1"/>
  <c r="O762" i="1"/>
  <c r="P762" i="1"/>
  <c r="Y762" i="1"/>
  <c r="AB762" i="1"/>
  <c r="AG762" i="1"/>
  <c r="AI762" i="1"/>
  <c r="M763" i="1"/>
  <c r="Q763" i="1"/>
  <c r="R763" i="1"/>
  <c r="S763" i="1"/>
  <c r="Y763" i="1"/>
  <c r="Z763" i="1"/>
  <c r="AA763" i="1"/>
  <c r="AB763" i="1"/>
  <c r="AC763" i="1"/>
  <c r="AG763" i="1"/>
  <c r="AI763" i="1" s="1"/>
  <c r="M764" i="1"/>
  <c r="O764" i="1"/>
  <c r="P764" i="1"/>
  <c r="Q764" i="1"/>
  <c r="R764" i="1"/>
  <c r="S764" i="1"/>
  <c r="V764" i="1"/>
  <c r="X764" i="1"/>
  <c r="Y764" i="1"/>
  <c r="Z764" i="1"/>
  <c r="AA764" i="1"/>
  <c r="AG764" i="1"/>
  <c r="AI764" i="1"/>
  <c r="M765" i="1"/>
  <c r="O765" i="1"/>
  <c r="P765" i="1"/>
  <c r="S765" i="1"/>
  <c r="T765" i="1"/>
  <c r="U765" i="1"/>
  <c r="V765" i="1"/>
  <c r="W765" i="1"/>
  <c r="X765" i="1"/>
  <c r="AA765" i="1"/>
  <c r="AB765" i="1"/>
  <c r="AC765" i="1"/>
  <c r="AG765" i="1"/>
  <c r="AI765" i="1"/>
  <c r="M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G766" i="1"/>
  <c r="AI766" i="1"/>
  <c r="M767" i="1"/>
  <c r="O767" i="1"/>
  <c r="P767" i="1"/>
  <c r="AH767" i="1" s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F767" i="1"/>
  <c r="AI767" i="1"/>
  <c r="M768" i="1"/>
  <c r="O768" i="1"/>
  <c r="R768" i="1"/>
  <c r="S768" i="1"/>
  <c r="W768" i="1"/>
  <c r="Z768" i="1"/>
  <c r="AA768" i="1"/>
  <c r="AB768" i="1"/>
  <c r="AC768" i="1"/>
  <c r="AF768" i="1"/>
  <c r="AI768" i="1" s="1"/>
  <c r="M769" i="1"/>
  <c r="U769" i="1" s="1"/>
  <c r="O769" i="1"/>
  <c r="P769" i="1"/>
  <c r="Q769" i="1"/>
  <c r="R769" i="1"/>
  <c r="S769" i="1"/>
  <c r="T769" i="1"/>
  <c r="V769" i="1"/>
  <c r="W769" i="1"/>
  <c r="X769" i="1"/>
  <c r="Y769" i="1"/>
  <c r="Z769" i="1"/>
  <c r="AA769" i="1"/>
  <c r="AB769" i="1"/>
  <c r="AG769" i="1"/>
  <c r="AI769" i="1"/>
  <c r="M770" i="1"/>
  <c r="O770" i="1" s="1"/>
  <c r="P770" i="1"/>
  <c r="Q770" i="1"/>
  <c r="T770" i="1"/>
  <c r="X770" i="1"/>
  <c r="AB770" i="1"/>
  <c r="AC770" i="1"/>
  <c r="AI770" i="1"/>
  <c r="M771" i="1"/>
  <c r="O771" i="1"/>
  <c r="R771" i="1"/>
  <c r="S771" i="1"/>
  <c r="T771" i="1"/>
  <c r="U771" i="1"/>
  <c r="V771" i="1"/>
  <c r="Z771" i="1"/>
  <c r="AA771" i="1"/>
  <c r="AB771" i="1"/>
  <c r="AC771" i="1"/>
  <c r="AG771" i="1"/>
  <c r="AI771" i="1" s="1"/>
  <c r="M772" i="1"/>
  <c r="U772" i="1" s="1"/>
  <c r="O772" i="1"/>
  <c r="P772" i="1"/>
  <c r="Q772" i="1"/>
  <c r="R772" i="1"/>
  <c r="S772" i="1"/>
  <c r="T772" i="1"/>
  <c r="V772" i="1"/>
  <c r="W772" i="1"/>
  <c r="X772" i="1"/>
  <c r="Y772" i="1"/>
  <c r="Z772" i="1"/>
  <c r="AA772" i="1"/>
  <c r="AB772" i="1"/>
  <c r="AI772" i="1"/>
  <c r="M773" i="1"/>
  <c r="U773" i="1" s="1"/>
  <c r="O773" i="1"/>
  <c r="Y773" i="1"/>
  <c r="AG773" i="1"/>
  <c r="AI773" i="1"/>
  <c r="M774" i="1"/>
  <c r="O774" i="1"/>
  <c r="R774" i="1"/>
  <c r="AA774" i="1"/>
  <c r="AB774" i="1"/>
  <c r="AG774" i="1"/>
  <c r="AI774" i="1" s="1"/>
  <c r="M775" i="1"/>
  <c r="U775" i="1" s="1"/>
  <c r="O775" i="1"/>
  <c r="P775" i="1"/>
  <c r="Q775" i="1"/>
  <c r="R775" i="1"/>
  <c r="S775" i="1"/>
  <c r="T775" i="1"/>
  <c r="V775" i="1"/>
  <c r="W775" i="1"/>
  <c r="X775" i="1"/>
  <c r="Y775" i="1"/>
  <c r="Z775" i="1"/>
  <c r="AA775" i="1"/>
  <c r="AB775" i="1"/>
  <c r="AG775" i="1"/>
  <c r="AI775" i="1"/>
  <c r="AI776" i="1"/>
  <c r="M777" i="1"/>
  <c r="O777" i="1"/>
  <c r="AH777" i="1" s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F777" i="1"/>
  <c r="AI777" i="1"/>
  <c r="M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G778" i="1"/>
  <c r="AI778" i="1"/>
  <c r="M779" i="1"/>
  <c r="O779" i="1"/>
  <c r="P779" i="1"/>
  <c r="Q779" i="1"/>
  <c r="AH779" i="1" s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F779" i="1"/>
  <c r="AI779" i="1"/>
  <c r="M780" i="1"/>
  <c r="O780" i="1"/>
  <c r="AH780" i="1" s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F780" i="1"/>
  <c r="AI780" i="1" s="1"/>
  <c r="M781" i="1"/>
  <c r="O781" i="1"/>
  <c r="P781" i="1"/>
  <c r="AH781" i="1" s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G781" i="1"/>
  <c r="AI781" i="1"/>
  <c r="M782" i="1"/>
  <c r="O782" i="1"/>
  <c r="AH782" i="1" s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F782" i="1"/>
  <c r="AI782" i="1"/>
  <c r="M783" i="1"/>
  <c r="O783" i="1"/>
  <c r="P783" i="1"/>
  <c r="AH783" i="1" s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G783" i="1"/>
  <c r="AI783" i="1" s="1"/>
  <c r="M784" i="1"/>
  <c r="O784" i="1"/>
  <c r="P784" i="1"/>
  <c r="Q784" i="1"/>
  <c r="R784" i="1"/>
  <c r="S784" i="1"/>
  <c r="T784" i="1"/>
  <c r="U784" i="1"/>
  <c r="V784" i="1"/>
  <c r="W784" i="1"/>
  <c r="AH784" i="1" s="1"/>
  <c r="X784" i="1"/>
  <c r="Y784" i="1"/>
  <c r="Z784" i="1"/>
  <c r="AA784" i="1"/>
  <c r="AB784" i="1"/>
  <c r="AC784" i="1"/>
  <c r="AF784" i="1"/>
  <c r="AI784" i="1" s="1"/>
  <c r="M785" i="1"/>
  <c r="O785" i="1"/>
  <c r="P785" i="1"/>
  <c r="AH785" i="1" s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F785" i="1"/>
  <c r="AI785" i="1"/>
  <c r="M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F786" i="1"/>
  <c r="AI786" i="1"/>
  <c r="M787" i="1"/>
  <c r="O787" i="1"/>
  <c r="AH787" i="1" s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F787" i="1"/>
  <c r="AI787" i="1" s="1"/>
  <c r="M788" i="1"/>
  <c r="O788" i="1"/>
  <c r="AH788" i="1" s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F788" i="1"/>
  <c r="AI788" i="1" s="1"/>
  <c r="M789" i="1"/>
  <c r="U789" i="1" s="1"/>
  <c r="O789" i="1"/>
  <c r="P789" i="1"/>
  <c r="Q789" i="1"/>
  <c r="R789" i="1"/>
  <c r="S789" i="1"/>
  <c r="T789" i="1"/>
  <c r="V789" i="1"/>
  <c r="W789" i="1"/>
  <c r="X789" i="1"/>
  <c r="Y789" i="1"/>
  <c r="Z789" i="1"/>
  <c r="AA789" i="1"/>
  <c r="AB789" i="1"/>
  <c r="AG789" i="1"/>
  <c r="AI789" i="1"/>
  <c r="M790" i="1"/>
  <c r="O790" i="1"/>
  <c r="P790" i="1"/>
  <c r="Q790" i="1"/>
  <c r="X790" i="1"/>
  <c r="Y790" i="1"/>
  <c r="AB790" i="1"/>
  <c r="AC790" i="1"/>
  <c r="AG790" i="1"/>
  <c r="AI790" i="1"/>
  <c r="M791" i="1"/>
  <c r="Z791" i="1" s="1"/>
  <c r="Q791" i="1"/>
  <c r="R791" i="1"/>
  <c r="S791" i="1"/>
  <c r="T791" i="1"/>
  <c r="AA791" i="1"/>
  <c r="AB791" i="1"/>
  <c r="AC791" i="1"/>
  <c r="AG791" i="1"/>
  <c r="AI791" i="1" s="1"/>
  <c r="M792" i="1"/>
  <c r="O792" i="1"/>
  <c r="P792" i="1"/>
  <c r="Q792" i="1"/>
  <c r="R792" i="1"/>
  <c r="S792" i="1"/>
  <c r="V792" i="1"/>
  <c r="W792" i="1"/>
  <c r="X792" i="1"/>
  <c r="Y792" i="1"/>
  <c r="Z792" i="1"/>
  <c r="AA792" i="1"/>
  <c r="AG792" i="1"/>
  <c r="AI792" i="1"/>
  <c r="M793" i="1"/>
  <c r="T793" i="1" s="1"/>
  <c r="AG793" i="1"/>
  <c r="AI793" i="1"/>
  <c r="M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G794" i="1"/>
  <c r="AI794" i="1"/>
  <c r="M795" i="1"/>
  <c r="O795" i="1"/>
  <c r="P795" i="1"/>
  <c r="Q795" i="1"/>
  <c r="R795" i="1"/>
  <c r="U795" i="1"/>
  <c r="V795" i="1"/>
  <c r="W795" i="1"/>
  <c r="X795" i="1"/>
  <c r="Y795" i="1"/>
  <c r="Z795" i="1"/>
  <c r="AC795" i="1"/>
  <c r="AG795" i="1"/>
  <c r="AI795" i="1"/>
  <c r="M796" i="1"/>
  <c r="AG796" i="1"/>
  <c r="AI796" i="1" s="1"/>
  <c r="M797" i="1"/>
  <c r="U797" i="1" s="1"/>
  <c r="O797" i="1"/>
  <c r="P797" i="1"/>
  <c r="Q797" i="1"/>
  <c r="R797" i="1"/>
  <c r="S797" i="1"/>
  <c r="T797" i="1"/>
  <c r="W797" i="1"/>
  <c r="X797" i="1"/>
  <c r="Y797" i="1"/>
  <c r="Z797" i="1"/>
  <c r="AA797" i="1"/>
  <c r="AB797" i="1"/>
  <c r="AG797" i="1"/>
  <c r="AI797" i="1"/>
  <c r="M798" i="1"/>
  <c r="W798" i="1" s="1"/>
  <c r="O798" i="1"/>
  <c r="P798" i="1"/>
  <c r="Y798" i="1"/>
  <c r="AB798" i="1"/>
  <c r="AF798" i="1"/>
  <c r="AI798" i="1"/>
  <c r="M799" i="1"/>
  <c r="Q799" i="1"/>
  <c r="R799" i="1"/>
  <c r="S799" i="1"/>
  <c r="Z799" i="1"/>
  <c r="AA799" i="1"/>
  <c r="AB799" i="1"/>
  <c r="AC799" i="1"/>
  <c r="AG799" i="1"/>
  <c r="AI799" i="1" s="1"/>
  <c r="M800" i="1"/>
  <c r="X800" i="1" s="1"/>
  <c r="O800" i="1"/>
  <c r="P800" i="1"/>
  <c r="Q800" i="1"/>
  <c r="R800" i="1"/>
  <c r="S800" i="1"/>
  <c r="V800" i="1"/>
  <c r="Y800" i="1"/>
  <c r="Z800" i="1"/>
  <c r="AA800" i="1"/>
  <c r="AI800" i="1"/>
  <c r="M801" i="1"/>
  <c r="P801" i="1" s="1"/>
  <c r="AG801" i="1"/>
  <c r="AI801" i="1"/>
  <c r="M802" i="1"/>
  <c r="V802" i="1" s="1"/>
  <c r="Q802" i="1"/>
  <c r="AA802" i="1"/>
  <c r="AF802" i="1"/>
  <c r="AI802" i="1" s="1"/>
  <c r="M803" i="1"/>
  <c r="O803" i="1"/>
  <c r="P803" i="1"/>
  <c r="Q803" i="1"/>
  <c r="R803" i="1"/>
  <c r="Y803" i="1"/>
  <c r="Z803" i="1"/>
  <c r="AA803" i="1"/>
  <c r="AG803" i="1"/>
  <c r="AI803" i="1" s="1"/>
  <c r="M804" i="1"/>
  <c r="X804" i="1" s="1"/>
  <c r="O804" i="1"/>
  <c r="P804" i="1"/>
  <c r="S804" i="1"/>
  <c r="T804" i="1"/>
  <c r="U804" i="1"/>
  <c r="AA804" i="1"/>
  <c r="AB804" i="1"/>
  <c r="AC804" i="1"/>
  <c r="AG804" i="1"/>
  <c r="AI804" i="1" s="1"/>
  <c r="M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G805" i="1"/>
  <c r="AI805" i="1"/>
  <c r="M806" i="1"/>
  <c r="O806" i="1"/>
  <c r="P806" i="1"/>
  <c r="Q806" i="1"/>
  <c r="R806" i="1"/>
  <c r="Y806" i="1"/>
  <c r="Z806" i="1"/>
  <c r="AC806" i="1"/>
  <c r="AG806" i="1"/>
  <c r="AI806" i="1" s="1"/>
  <c r="M807" i="1"/>
  <c r="Z807" i="1" s="1"/>
  <c r="O807" i="1"/>
  <c r="R807" i="1"/>
  <c r="S807" i="1"/>
  <c r="T807" i="1"/>
  <c r="U807" i="1"/>
  <c r="AA807" i="1"/>
  <c r="AB807" i="1"/>
  <c r="AC807" i="1"/>
  <c r="AG807" i="1"/>
  <c r="AI807" i="1" s="1"/>
  <c r="M808" i="1"/>
  <c r="U808" i="1" s="1"/>
  <c r="O808" i="1"/>
  <c r="P808" i="1"/>
  <c r="Q808" i="1"/>
  <c r="R808" i="1"/>
  <c r="S808" i="1"/>
  <c r="T808" i="1"/>
  <c r="W808" i="1"/>
  <c r="X808" i="1"/>
  <c r="Y808" i="1"/>
  <c r="Z808" i="1"/>
  <c r="AA808" i="1"/>
  <c r="AB808" i="1"/>
  <c r="AG808" i="1"/>
  <c r="AI808" i="1"/>
  <c r="M809" i="1"/>
  <c r="O809" i="1"/>
  <c r="P809" i="1"/>
  <c r="Q809" i="1"/>
  <c r="T809" i="1"/>
  <c r="U809" i="1"/>
  <c r="V809" i="1"/>
  <c r="W809" i="1"/>
  <c r="X809" i="1"/>
  <c r="Y809" i="1"/>
  <c r="AB809" i="1"/>
  <c r="AC809" i="1"/>
  <c r="AG809" i="1"/>
  <c r="AI809" i="1"/>
  <c r="M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F810" i="1"/>
  <c r="AI810" i="1" s="1"/>
  <c r="M811" i="1"/>
  <c r="O811" i="1"/>
  <c r="P811" i="1"/>
  <c r="AH811" i="1" s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F811" i="1"/>
  <c r="AI811" i="1"/>
  <c r="M812" i="1"/>
  <c r="O812" i="1"/>
  <c r="AH812" i="1" s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F812" i="1"/>
  <c r="AI812" i="1"/>
  <c r="M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F813" i="1"/>
  <c r="AI813" i="1"/>
  <c r="M814" i="1"/>
  <c r="O814" i="1"/>
  <c r="P814" i="1"/>
  <c r="AH814" i="1" s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F814" i="1"/>
  <c r="AI814" i="1"/>
  <c r="M815" i="1"/>
  <c r="O815" i="1"/>
  <c r="AH815" i="1" s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F815" i="1"/>
  <c r="AI815" i="1" s="1"/>
  <c r="M816" i="1"/>
  <c r="O816" i="1"/>
  <c r="AH816" i="1" s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F816" i="1"/>
  <c r="AI816" i="1"/>
  <c r="M817" i="1"/>
  <c r="O817" i="1"/>
  <c r="P817" i="1"/>
  <c r="AH817" i="1" s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F817" i="1"/>
  <c r="AI817" i="1"/>
  <c r="M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F818" i="1"/>
  <c r="AI818" i="1" s="1"/>
  <c r="M819" i="1"/>
  <c r="O819" i="1"/>
  <c r="AH819" i="1" s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F819" i="1"/>
  <c r="AI819" i="1"/>
  <c r="M820" i="1"/>
  <c r="O820" i="1"/>
  <c r="P820" i="1"/>
  <c r="AH820" i="1" s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F820" i="1"/>
  <c r="AI820" i="1" s="1"/>
  <c r="M821" i="1"/>
  <c r="O821" i="1"/>
  <c r="P821" i="1"/>
  <c r="AH821" i="1" s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F821" i="1"/>
  <c r="AI821" i="1"/>
  <c r="M822" i="1"/>
  <c r="T822" i="1" s="1"/>
  <c r="O822" i="1"/>
  <c r="P822" i="1"/>
  <c r="X822" i="1"/>
  <c r="Y822" i="1"/>
  <c r="AG822" i="1"/>
  <c r="AI822" i="1"/>
  <c r="M823" i="1"/>
  <c r="S823" i="1" s="1"/>
  <c r="O823" i="1"/>
  <c r="Y823" i="1"/>
  <c r="AG823" i="1"/>
  <c r="AI823" i="1" s="1"/>
  <c r="M824" i="1"/>
  <c r="S824" i="1" s="1"/>
  <c r="O824" i="1"/>
  <c r="X824" i="1"/>
  <c r="AG824" i="1"/>
  <c r="AI824" i="1"/>
  <c r="M825" i="1"/>
  <c r="Q825" i="1" s="1"/>
  <c r="W825" i="1"/>
  <c r="AG825" i="1"/>
  <c r="AI825" i="1"/>
  <c r="M826" i="1"/>
  <c r="P826" i="1"/>
  <c r="Q826" i="1"/>
  <c r="R826" i="1"/>
  <c r="S826" i="1"/>
  <c r="T826" i="1"/>
  <c r="U826" i="1"/>
  <c r="V826" i="1"/>
  <c r="X826" i="1"/>
  <c r="Y826" i="1"/>
  <c r="Z826" i="1"/>
  <c r="AA826" i="1"/>
  <c r="AB826" i="1"/>
  <c r="AC826" i="1"/>
  <c r="AG826" i="1"/>
  <c r="AI826" i="1"/>
  <c r="M827" i="1"/>
  <c r="O827" i="1"/>
  <c r="P827" i="1"/>
  <c r="Q827" i="1"/>
  <c r="R827" i="1"/>
  <c r="S827" i="1"/>
  <c r="U827" i="1"/>
  <c r="V827" i="1"/>
  <c r="W827" i="1"/>
  <c r="X827" i="1"/>
  <c r="Y827" i="1"/>
  <c r="Z827" i="1"/>
  <c r="AA827" i="1"/>
  <c r="AC827" i="1"/>
  <c r="AG827" i="1"/>
  <c r="AI827" i="1" s="1"/>
  <c r="M828" i="1"/>
  <c r="O828" i="1"/>
  <c r="P828" i="1"/>
  <c r="R828" i="1"/>
  <c r="S828" i="1"/>
  <c r="T828" i="1"/>
  <c r="U828" i="1"/>
  <c r="X828" i="1"/>
  <c r="Z828" i="1"/>
  <c r="AA828" i="1"/>
  <c r="AB828" i="1"/>
  <c r="AC828" i="1"/>
  <c r="AG828" i="1"/>
  <c r="AI828" i="1" s="1"/>
  <c r="M829" i="1"/>
  <c r="O829" i="1"/>
  <c r="P829" i="1"/>
  <c r="AH829" i="1" s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G829" i="1"/>
  <c r="AI829" i="1"/>
  <c r="M830" i="1"/>
  <c r="U830" i="1" s="1"/>
  <c r="O830" i="1"/>
  <c r="P830" i="1"/>
  <c r="X830" i="1"/>
  <c r="Y830" i="1"/>
  <c r="AG830" i="1"/>
  <c r="AI830" i="1"/>
  <c r="M831" i="1"/>
  <c r="O831" i="1"/>
  <c r="Y831" i="1"/>
  <c r="AG831" i="1"/>
  <c r="AI831" i="1" s="1"/>
  <c r="M832" i="1"/>
  <c r="O832" i="1"/>
  <c r="X832" i="1"/>
  <c r="AG832" i="1"/>
  <c r="AI832" i="1"/>
  <c r="M833" i="1"/>
  <c r="AA833" i="1" s="1"/>
  <c r="AG833" i="1"/>
  <c r="AI833" i="1"/>
  <c r="M834" i="1"/>
  <c r="P834" i="1"/>
  <c r="Q834" i="1"/>
  <c r="R834" i="1"/>
  <c r="S834" i="1"/>
  <c r="T834" i="1"/>
  <c r="U834" i="1"/>
  <c r="V834" i="1"/>
  <c r="X834" i="1"/>
  <c r="Y834" i="1"/>
  <c r="Z834" i="1"/>
  <c r="AA834" i="1"/>
  <c r="AB834" i="1"/>
  <c r="AC834" i="1"/>
  <c r="AG834" i="1"/>
  <c r="AI834" i="1"/>
  <c r="M835" i="1"/>
  <c r="O835" i="1"/>
  <c r="P835" i="1"/>
  <c r="Q835" i="1"/>
  <c r="R835" i="1"/>
  <c r="S835" i="1"/>
  <c r="U835" i="1"/>
  <c r="V835" i="1"/>
  <c r="W835" i="1"/>
  <c r="X835" i="1"/>
  <c r="Y835" i="1"/>
  <c r="Z835" i="1"/>
  <c r="AA835" i="1"/>
  <c r="AC835" i="1"/>
  <c r="AG835" i="1"/>
  <c r="AI835" i="1" s="1"/>
  <c r="M836" i="1"/>
  <c r="W836" i="1" s="1"/>
  <c r="O836" i="1"/>
  <c r="P836" i="1"/>
  <c r="R836" i="1"/>
  <c r="S836" i="1"/>
  <c r="T836" i="1"/>
  <c r="U836" i="1"/>
  <c r="X836" i="1"/>
  <c r="Z836" i="1"/>
  <c r="AA836" i="1"/>
  <c r="AB836" i="1"/>
  <c r="AC836" i="1"/>
  <c r="AG836" i="1"/>
  <c r="AI836" i="1" s="1"/>
  <c r="M837" i="1"/>
  <c r="O837" i="1"/>
  <c r="P837" i="1"/>
  <c r="AH837" i="1" s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G837" i="1"/>
  <c r="AI837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H841" i="1"/>
  <c r="AH736" i="1" l="1"/>
  <c r="W833" i="1"/>
  <c r="P796" i="1"/>
  <c r="X796" i="1"/>
  <c r="Y796" i="1"/>
  <c r="Q796" i="1"/>
  <c r="X793" i="1"/>
  <c r="P732" i="1"/>
  <c r="X732" i="1"/>
  <c r="Q732" i="1"/>
  <c r="Y732" i="1"/>
  <c r="R732" i="1"/>
  <c r="Z732" i="1"/>
  <c r="S732" i="1"/>
  <c r="AA732" i="1"/>
  <c r="T732" i="1"/>
  <c r="AB732" i="1"/>
  <c r="U732" i="1"/>
  <c r="AC732" i="1"/>
  <c r="P831" i="1"/>
  <c r="AH831" i="1" s="1"/>
  <c r="X831" i="1"/>
  <c r="V825" i="1"/>
  <c r="W830" i="1"/>
  <c r="Y802" i="1"/>
  <c r="P774" i="1"/>
  <c r="AH774" i="1" s="1"/>
  <c r="X774" i="1"/>
  <c r="Q774" i="1"/>
  <c r="Y774" i="1"/>
  <c r="W760" i="1"/>
  <c r="U801" i="1"/>
  <c r="O799" i="1"/>
  <c r="W799" i="1"/>
  <c r="X799" i="1"/>
  <c r="P799" i="1"/>
  <c r="U796" i="1"/>
  <c r="U793" i="1"/>
  <c r="R790" i="1"/>
  <c r="Z790" i="1"/>
  <c r="S790" i="1"/>
  <c r="AA790" i="1"/>
  <c r="W774" i="1"/>
  <c r="V773" i="1"/>
  <c r="Y770" i="1"/>
  <c r="P768" i="1"/>
  <c r="AH768" i="1" s="1"/>
  <c r="X768" i="1"/>
  <c r="Q768" i="1"/>
  <c r="Y768" i="1"/>
  <c r="O763" i="1"/>
  <c r="W763" i="1"/>
  <c r="P763" i="1"/>
  <c r="X763" i="1"/>
  <c r="V760" i="1"/>
  <c r="U759" i="1"/>
  <c r="AH755" i="1"/>
  <c r="P726" i="1"/>
  <c r="AH726" i="1" s="1"/>
  <c r="X726" i="1"/>
  <c r="Q726" i="1"/>
  <c r="Y726" i="1"/>
  <c r="R726" i="1"/>
  <c r="Z726" i="1"/>
  <c r="S726" i="1"/>
  <c r="AA726" i="1"/>
  <c r="T726" i="1"/>
  <c r="AB726" i="1"/>
  <c r="U726" i="1"/>
  <c r="AC726" i="1"/>
  <c r="AH717" i="1"/>
  <c r="AH709" i="1"/>
  <c r="AH706" i="1"/>
  <c r="AH699" i="1"/>
  <c r="P686" i="1"/>
  <c r="X686" i="1"/>
  <c r="Q686" i="1"/>
  <c r="AH686" i="1" s="1"/>
  <c r="Y686" i="1"/>
  <c r="R686" i="1"/>
  <c r="Z686" i="1"/>
  <c r="S686" i="1"/>
  <c r="AA686" i="1"/>
  <c r="T686" i="1"/>
  <c r="AB686" i="1"/>
  <c r="U686" i="1"/>
  <c r="AC686" i="1"/>
  <c r="AH636" i="1"/>
  <c r="AH628" i="1"/>
  <c r="AH623" i="1"/>
  <c r="AH617" i="1"/>
  <c r="AH613" i="1"/>
  <c r="O802" i="1"/>
  <c r="W802" i="1"/>
  <c r="P802" i="1"/>
  <c r="X802" i="1"/>
  <c r="Q757" i="1"/>
  <c r="Y757" i="1"/>
  <c r="R757" i="1"/>
  <c r="Z757" i="1"/>
  <c r="R737" i="1"/>
  <c r="Z737" i="1"/>
  <c r="S737" i="1"/>
  <c r="AA737" i="1"/>
  <c r="U737" i="1"/>
  <c r="AC737" i="1"/>
  <c r="O737" i="1"/>
  <c r="W737" i="1"/>
  <c r="U833" i="1"/>
  <c r="V831" i="1"/>
  <c r="U825" i="1"/>
  <c r="V823" i="1"/>
  <c r="W822" i="1"/>
  <c r="AH818" i="1"/>
  <c r="V801" i="1"/>
  <c r="R762" i="1"/>
  <c r="Z762" i="1"/>
  <c r="S762" i="1"/>
  <c r="AA762" i="1"/>
  <c r="R734" i="1"/>
  <c r="Z734" i="1"/>
  <c r="S734" i="1"/>
  <c r="AA734" i="1"/>
  <c r="T734" i="1"/>
  <c r="AB734" i="1"/>
  <c r="U734" i="1"/>
  <c r="AC734" i="1"/>
  <c r="O734" i="1"/>
  <c r="W734" i="1"/>
  <c r="AH632" i="1"/>
  <c r="AH622" i="1"/>
  <c r="T833" i="1"/>
  <c r="U831" i="1"/>
  <c r="U823" i="1"/>
  <c r="AB833" i="1"/>
  <c r="T831" i="1"/>
  <c r="AH805" i="1"/>
  <c r="V774" i="1"/>
  <c r="R770" i="1"/>
  <c r="AH770" i="1" s="1"/>
  <c r="Z770" i="1"/>
  <c r="S770" i="1"/>
  <c r="AA770" i="1"/>
  <c r="V762" i="1"/>
  <c r="U760" i="1"/>
  <c r="R759" i="1"/>
  <c r="U757" i="1"/>
  <c r="X737" i="1"/>
  <c r="AH698" i="1"/>
  <c r="AH681" i="1"/>
  <c r="AH660" i="1"/>
  <c r="P641" i="1"/>
  <c r="X641" i="1"/>
  <c r="Q641" i="1"/>
  <c r="AH641" i="1" s="1"/>
  <c r="Y641" i="1"/>
  <c r="R641" i="1"/>
  <c r="Z641" i="1"/>
  <c r="S641" i="1"/>
  <c r="AA641" i="1"/>
  <c r="T641" i="1"/>
  <c r="AB641" i="1"/>
  <c r="U641" i="1"/>
  <c r="AC641" i="1"/>
  <c r="AH634" i="1"/>
  <c r="T612" i="1"/>
  <c r="AB612" i="1"/>
  <c r="U612" i="1"/>
  <c r="AC612" i="1"/>
  <c r="O612" i="1"/>
  <c r="W612" i="1"/>
  <c r="Q612" i="1"/>
  <c r="Y612" i="1"/>
  <c r="R612" i="1"/>
  <c r="Z612" i="1"/>
  <c r="S612" i="1"/>
  <c r="AA612" i="1"/>
  <c r="P612" i="1"/>
  <c r="V612" i="1"/>
  <c r="X612" i="1"/>
  <c r="X801" i="1"/>
  <c r="Q793" i="1"/>
  <c r="Y793" i="1"/>
  <c r="R793" i="1"/>
  <c r="Z793" i="1"/>
  <c r="X759" i="1"/>
  <c r="U832" i="1"/>
  <c r="AC832" i="1"/>
  <c r="W831" i="1"/>
  <c r="W824" i="1"/>
  <c r="W823" i="1"/>
  <c r="AH786" i="1"/>
  <c r="S773" i="1"/>
  <c r="AA773" i="1"/>
  <c r="T773" i="1"/>
  <c r="AB773" i="1"/>
  <c r="AH773" i="1" s="1"/>
  <c r="Z760" i="1"/>
  <c r="O721" i="1"/>
  <c r="W721" i="1"/>
  <c r="P721" i="1"/>
  <c r="X721" i="1"/>
  <c r="Q721" i="1"/>
  <c r="Y721" i="1"/>
  <c r="R721" i="1"/>
  <c r="Z721" i="1"/>
  <c r="S721" i="1"/>
  <c r="AA721" i="1"/>
  <c r="T721" i="1"/>
  <c r="AB721" i="1"/>
  <c r="V832" i="1"/>
  <c r="R798" i="1"/>
  <c r="Z798" i="1"/>
  <c r="S798" i="1"/>
  <c r="AA798" i="1"/>
  <c r="V793" i="1"/>
  <c r="Z774" i="1"/>
  <c r="W773" i="1"/>
  <c r="AH666" i="1"/>
  <c r="AC833" i="1"/>
  <c r="T832" i="1"/>
  <c r="V830" i="1"/>
  <c r="AC825" i="1"/>
  <c r="T825" i="1"/>
  <c r="T824" i="1"/>
  <c r="V822" i="1"/>
  <c r="S833" i="1"/>
  <c r="AC831" i="1"/>
  <c r="S825" i="1"/>
  <c r="T803" i="1"/>
  <c r="AB803" i="1"/>
  <c r="AC803" i="1"/>
  <c r="U803" i="1"/>
  <c r="Y799" i="1"/>
  <c r="T796" i="1"/>
  <c r="W790" i="1"/>
  <c r="S831" i="1"/>
  <c r="AA825" i="1"/>
  <c r="AA824" i="1"/>
  <c r="AB823" i="1"/>
  <c r="AC822" i="1"/>
  <c r="T802" i="1"/>
  <c r="AC793" i="1"/>
  <c r="AH778" i="1"/>
  <c r="U774" i="1"/>
  <c r="R773" i="1"/>
  <c r="W770" i="1"/>
  <c r="V768" i="1"/>
  <c r="V763" i="1"/>
  <c r="U762" i="1"/>
  <c r="AC759" i="1"/>
  <c r="T757" i="1"/>
  <c r="AH742" i="1"/>
  <c r="V737" i="1"/>
  <c r="Y734" i="1"/>
  <c r="W732" i="1"/>
  <c r="O729" i="1"/>
  <c r="W729" i="1"/>
  <c r="P729" i="1"/>
  <c r="X729" i="1"/>
  <c r="Q729" i="1"/>
  <c r="Y729" i="1"/>
  <c r="R729" i="1"/>
  <c r="Z729" i="1"/>
  <c r="S729" i="1"/>
  <c r="AA729" i="1"/>
  <c r="T729" i="1"/>
  <c r="AB729" i="1"/>
  <c r="AH711" i="1"/>
  <c r="AH697" i="1"/>
  <c r="W692" i="1"/>
  <c r="O689" i="1"/>
  <c r="W689" i="1"/>
  <c r="P689" i="1"/>
  <c r="X689" i="1"/>
  <c r="Q689" i="1"/>
  <c r="Y689" i="1"/>
  <c r="R689" i="1"/>
  <c r="Z689" i="1"/>
  <c r="S689" i="1"/>
  <c r="AA689" i="1"/>
  <c r="T689" i="1"/>
  <c r="AB689" i="1"/>
  <c r="AH668" i="1"/>
  <c r="AH653" i="1"/>
  <c r="AH639" i="1"/>
  <c r="AH635" i="1"/>
  <c r="AH631" i="1"/>
  <c r="AH627" i="1"/>
  <c r="AH626" i="1"/>
  <c r="R833" i="1"/>
  <c r="Z833" i="1"/>
  <c r="R825" i="1"/>
  <c r="Z825" i="1"/>
  <c r="S759" i="1"/>
  <c r="AA759" i="1"/>
  <c r="T759" i="1"/>
  <c r="AB759" i="1"/>
  <c r="AH750" i="1"/>
  <c r="P823" i="1"/>
  <c r="X823" i="1"/>
  <c r="Z802" i="1"/>
  <c r="W796" i="1"/>
  <c r="W793" i="1"/>
  <c r="P760" i="1"/>
  <c r="AH760" i="1" s="1"/>
  <c r="X760" i="1"/>
  <c r="Q760" i="1"/>
  <c r="Y760" i="1"/>
  <c r="X757" i="1"/>
  <c r="AH714" i="1"/>
  <c r="AH665" i="1"/>
  <c r="S830" i="1"/>
  <c r="AA830" i="1"/>
  <c r="S822" i="1"/>
  <c r="AA822" i="1"/>
  <c r="O735" i="1"/>
  <c r="W735" i="1"/>
  <c r="P735" i="1"/>
  <c r="X735" i="1"/>
  <c r="Q735" i="1"/>
  <c r="Y735" i="1"/>
  <c r="R735" i="1"/>
  <c r="Z735" i="1"/>
  <c r="T735" i="1"/>
  <c r="AB735" i="1"/>
  <c r="AB832" i="1"/>
  <c r="S806" i="1"/>
  <c r="AH806" i="1" s="1"/>
  <c r="AA806" i="1"/>
  <c r="AB806" i="1"/>
  <c r="T806" i="1"/>
  <c r="V798" i="1"/>
  <c r="O791" i="1"/>
  <c r="AH791" i="1" s="1"/>
  <c r="W791" i="1"/>
  <c r="X791" i="1"/>
  <c r="P791" i="1"/>
  <c r="Q833" i="1"/>
  <c r="R832" i="1"/>
  <c r="AC830" i="1"/>
  <c r="P807" i="1"/>
  <c r="X807" i="1"/>
  <c r="Y807" i="1"/>
  <c r="Q807" i="1"/>
  <c r="W806" i="1"/>
  <c r="Q801" i="1"/>
  <c r="S796" i="1"/>
  <c r="Y833" i="1"/>
  <c r="Z832" i="1"/>
  <c r="AB830" i="1"/>
  <c r="Q828" i="1"/>
  <c r="AH828" i="1" s="1"/>
  <c r="Y828" i="1"/>
  <c r="R823" i="1"/>
  <c r="AC802" i="1"/>
  <c r="S802" i="1"/>
  <c r="AB801" i="1"/>
  <c r="T774" i="1"/>
  <c r="AC773" i="1"/>
  <c r="Q773" i="1"/>
  <c r="P771" i="1"/>
  <c r="X771" i="1"/>
  <c r="Q771" i="1"/>
  <c r="Y771" i="1"/>
  <c r="V770" i="1"/>
  <c r="U768" i="1"/>
  <c r="AH766" i="1"/>
  <c r="T764" i="1"/>
  <c r="AB764" i="1"/>
  <c r="U764" i="1"/>
  <c r="AC764" i="1"/>
  <c r="U763" i="1"/>
  <c r="T762" i="1"/>
  <c r="AC760" i="1"/>
  <c r="S760" i="1"/>
  <c r="Z759" i="1"/>
  <c r="P759" i="1"/>
  <c r="AC757" i="1"/>
  <c r="S757" i="1"/>
  <c r="T739" i="1"/>
  <c r="AB739" i="1"/>
  <c r="U739" i="1"/>
  <c r="AC739" i="1"/>
  <c r="O739" i="1"/>
  <c r="W739" i="1"/>
  <c r="Q739" i="1"/>
  <c r="Y739" i="1"/>
  <c r="T737" i="1"/>
  <c r="AA735" i="1"/>
  <c r="X734" i="1"/>
  <c r="V732" i="1"/>
  <c r="AH724" i="1"/>
  <c r="AC721" i="1"/>
  <c r="AH719" i="1"/>
  <c r="AH716" i="1"/>
  <c r="AH712" i="1"/>
  <c r="AH708" i="1"/>
  <c r="AH663" i="1"/>
  <c r="AH647" i="1"/>
  <c r="O644" i="1"/>
  <c r="W644" i="1"/>
  <c r="P644" i="1"/>
  <c r="X644" i="1"/>
  <c r="Q644" i="1"/>
  <c r="Y644" i="1"/>
  <c r="R644" i="1"/>
  <c r="Z644" i="1"/>
  <c r="S644" i="1"/>
  <c r="AA644" i="1"/>
  <c r="T644" i="1"/>
  <c r="AB644" i="1"/>
  <c r="R801" i="1"/>
  <c r="Z801" i="1"/>
  <c r="S801" i="1"/>
  <c r="AA801" i="1"/>
  <c r="Z796" i="1"/>
  <c r="P692" i="1"/>
  <c r="X692" i="1"/>
  <c r="Q692" i="1"/>
  <c r="Y692" i="1"/>
  <c r="R692" i="1"/>
  <c r="Z692" i="1"/>
  <c r="S692" i="1"/>
  <c r="AA692" i="1"/>
  <c r="T692" i="1"/>
  <c r="AB692" i="1"/>
  <c r="U692" i="1"/>
  <c r="AC692" i="1"/>
  <c r="AH629" i="1"/>
  <c r="V833" i="1"/>
  <c r="W832" i="1"/>
  <c r="U824" i="1"/>
  <c r="AC824" i="1"/>
  <c r="W801" i="1"/>
  <c r="X773" i="1"/>
  <c r="W759" i="1"/>
  <c r="V824" i="1"/>
  <c r="X798" i="1"/>
  <c r="V796" i="1"/>
  <c r="X762" i="1"/>
  <c r="V759" i="1"/>
  <c r="W757" i="1"/>
  <c r="AB737" i="1"/>
  <c r="P683" i="1"/>
  <c r="AH683" i="1" s="1"/>
  <c r="X683" i="1"/>
  <c r="Q683" i="1"/>
  <c r="Y683" i="1"/>
  <c r="R683" i="1"/>
  <c r="Z683" i="1"/>
  <c r="S683" i="1"/>
  <c r="AA683" i="1"/>
  <c r="T683" i="1"/>
  <c r="AB683" i="1"/>
  <c r="U683" i="1"/>
  <c r="AC683" i="1"/>
  <c r="AH637" i="1"/>
  <c r="S832" i="1"/>
  <c r="AB825" i="1"/>
  <c r="AB824" i="1"/>
  <c r="AC823" i="1"/>
  <c r="T823" i="1"/>
  <c r="AH823" i="1" s="1"/>
  <c r="U822" i="1"/>
  <c r="X806" i="1"/>
  <c r="X803" i="1"/>
  <c r="U802" i="1"/>
  <c r="T801" i="1"/>
  <c r="AA832" i="1"/>
  <c r="AB831" i="1"/>
  <c r="T830" i="1"/>
  <c r="R824" i="1"/>
  <c r="Q804" i="1"/>
  <c r="Y804" i="1"/>
  <c r="R804" i="1"/>
  <c r="Z804" i="1"/>
  <c r="W803" i="1"/>
  <c r="AC801" i="1"/>
  <c r="V799" i="1"/>
  <c r="U798" i="1"/>
  <c r="AC796" i="1"/>
  <c r="S793" i="1"/>
  <c r="Y791" i="1"/>
  <c r="V790" i="1"/>
  <c r="Q836" i="1"/>
  <c r="AH836" i="1" s="1"/>
  <c r="Y836" i="1"/>
  <c r="P833" i="1"/>
  <c r="Q832" i="1"/>
  <c r="AA831" i="1"/>
  <c r="R831" i="1"/>
  <c r="R830" i="1"/>
  <c r="W828" i="1"/>
  <c r="Y825" i="1"/>
  <c r="P825" i="1"/>
  <c r="Z824" i="1"/>
  <c r="Q824" i="1"/>
  <c r="AH824" i="1" s="1"/>
  <c r="AA823" i="1"/>
  <c r="AB822" i="1"/>
  <c r="R822" i="1"/>
  <c r="AH810" i="1"/>
  <c r="W807" i="1"/>
  <c r="V806" i="1"/>
  <c r="W804" i="1"/>
  <c r="V803" i="1"/>
  <c r="T800" i="1"/>
  <c r="AH800" i="1" s="1"/>
  <c r="AB800" i="1"/>
  <c r="U800" i="1"/>
  <c r="AC800" i="1"/>
  <c r="U799" i="1"/>
  <c r="T798" i="1"/>
  <c r="AB796" i="1"/>
  <c r="R796" i="1"/>
  <c r="AB793" i="1"/>
  <c r="P793" i="1"/>
  <c r="V791" i="1"/>
  <c r="U790" i="1"/>
  <c r="V836" i="1"/>
  <c r="T835" i="1"/>
  <c r="AB835" i="1"/>
  <c r="O834" i="1"/>
  <c r="AH834" i="1" s="1"/>
  <c r="W834" i="1"/>
  <c r="X833" i="1"/>
  <c r="O833" i="1"/>
  <c r="Y832" i="1"/>
  <c r="P832" i="1"/>
  <c r="AH832" i="1" s="1"/>
  <c r="Z831" i="1"/>
  <c r="Q831" i="1"/>
  <c r="Z830" i="1"/>
  <c r="Q830" i="1"/>
  <c r="AH830" i="1" s="1"/>
  <c r="V828" i="1"/>
  <c r="T827" i="1"/>
  <c r="AH827" i="1" s="1"/>
  <c r="AB827" i="1"/>
  <c r="O826" i="1"/>
  <c r="W826" i="1"/>
  <c r="X825" i="1"/>
  <c r="O825" i="1"/>
  <c r="Y824" i="1"/>
  <c r="P824" i="1"/>
  <c r="Z823" i="1"/>
  <c r="Q823" i="1"/>
  <c r="Z822" i="1"/>
  <c r="Q822" i="1"/>
  <c r="AH822" i="1" s="1"/>
  <c r="AH813" i="1"/>
  <c r="R809" i="1"/>
  <c r="Z809" i="1"/>
  <c r="S809" i="1"/>
  <c r="AA809" i="1"/>
  <c r="V807" i="1"/>
  <c r="U806" i="1"/>
  <c r="V804" i="1"/>
  <c r="S803" i="1"/>
  <c r="AH803" i="1" s="1"/>
  <c r="AB802" i="1"/>
  <c r="R802" i="1"/>
  <c r="Y801" i="1"/>
  <c r="O801" i="1"/>
  <c r="W800" i="1"/>
  <c r="T799" i="1"/>
  <c r="AC798" i="1"/>
  <c r="Q798" i="1"/>
  <c r="AH798" i="1" s="1"/>
  <c r="AA796" i="1"/>
  <c r="O796" i="1"/>
  <c r="S795" i="1"/>
  <c r="AA795" i="1"/>
  <c r="AB795" i="1"/>
  <c r="T795" i="1"/>
  <c r="AH794" i="1"/>
  <c r="AA793" i="1"/>
  <c r="O793" i="1"/>
  <c r="T792" i="1"/>
  <c r="AH792" i="1" s="1"/>
  <c r="AB792" i="1"/>
  <c r="AC792" i="1"/>
  <c r="U792" i="1"/>
  <c r="U791" i="1"/>
  <c r="T790" i="1"/>
  <c r="AH790" i="1" s="1"/>
  <c r="AC774" i="1"/>
  <c r="S774" i="1"/>
  <c r="Z773" i="1"/>
  <c r="P773" i="1"/>
  <c r="W771" i="1"/>
  <c r="U770" i="1"/>
  <c r="T768" i="1"/>
  <c r="Q765" i="1"/>
  <c r="AH765" i="1" s="1"/>
  <c r="Y765" i="1"/>
  <c r="R765" i="1"/>
  <c r="Z765" i="1"/>
  <c r="W764" i="1"/>
  <c r="T763" i="1"/>
  <c r="AC762" i="1"/>
  <c r="Q762" i="1"/>
  <c r="AH762" i="1" s="1"/>
  <c r="AB760" i="1"/>
  <c r="R760" i="1"/>
  <c r="Y759" i="1"/>
  <c r="O759" i="1"/>
  <c r="AB757" i="1"/>
  <c r="P757" i="1"/>
  <c r="AH757" i="1" s="1"/>
  <c r="AH747" i="1"/>
  <c r="AA739" i="1"/>
  <c r="O738" i="1"/>
  <c r="AH738" i="1" s="1"/>
  <c r="W738" i="1"/>
  <c r="P738" i="1"/>
  <c r="X738" i="1"/>
  <c r="R738" i="1"/>
  <c r="Z738" i="1"/>
  <c r="T738" i="1"/>
  <c r="AB738" i="1"/>
  <c r="Q737" i="1"/>
  <c r="V735" i="1"/>
  <c r="V734" i="1"/>
  <c r="O732" i="1"/>
  <c r="V721" i="1"/>
  <c r="AH703" i="1"/>
  <c r="AH695" i="1"/>
  <c r="O692" i="1"/>
  <c r="AH692" i="1" s="1"/>
  <c r="AH684" i="1"/>
  <c r="W683" i="1"/>
  <c r="P680" i="1"/>
  <c r="X680" i="1"/>
  <c r="Q680" i="1"/>
  <c r="Y680" i="1"/>
  <c r="R680" i="1"/>
  <c r="Z680" i="1"/>
  <c r="S680" i="1"/>
  <c r="AA680" i="1"/>
  <c r="T680" i="1"/>
  <c r="AB680" i="1"/>
  <c r="U680" i="1"/>
  <c r="AC680" i="1"/>
  <c r="O675" i="1"/>
  <c r="W675" i="1"/>
  <c r="P675" i="1"/>
  <c r="X675" i="1"/>
  <c r="Q675" i="1"/>
  <c r="Y675" i="1"/>
  <c r="R675" i="1"/>
  <c r="Z675" i="1"/>
  <c r="S675" i="1"/>
  <c r="AA675" i="1"/>
  <c r="T675" i="1"/>
  <c r="AB675" i="1"/>
  <c r="AH671" i="1"/>
  <c r="AH659" i="1"/>
  <c r="X743" i="1"/>
  <c r="P743" i="1"/>
  <c r="AH743" i="1" s="1"/>
  <c r="W731" i="1"/>
  <c r="O731" i="1"/>
  <c r="W728" i="1"/>
  <c r="O728" i="1"/>
  <c r="X725" i="1"/>
  <c r="P725" i="1"/>
  <c r="Y722" i="1"/>
  <c r="Q722" i="1"/>
  <c r="W720" i="1"/>
  <c r="O720" i="1"/>
  <c r="W691" i="1"/>
  <c r="O691" i="1"/>
  <c r="W688" i="1"/>
  <c r="O688" i="1"/>
  <c r="W685" i="1"/>
  <c r="O685" i="1"/>
  <c r="W682" i="1"/>
  <c r="O682" i="1"/>
  <c r="X679" i="1"/>
  <c r="P679" i="1"/>
  <c r="Y676" i="1"/>
  <c r="Q676" i="1"/>
  <c r="W674" i="1"/>
  <c r="O674" i="1"/>
  <c r="X657" i="1"/>
  <c r="P657" i="1"/>
  <c r="X654" i="1"/>
  <c r="P654" i="1"/>
  <c r="X648" i="1"/>
  <c r="P648" i="1"/>
  <c r="Y645" i="1"/>
  <c r="Q645" i="1"/>
  <c r="AH645" i="1" s="1"/>
  <c r="W643" i="1"/>
  <c r="O643" i="1"/>
  <c r="X640" i="1"/>
  <c r="P640" i="1"/>
  <c r="Y620" i="1"/>
  <c r="Q620" i="1"/>
  <c r="S618" i="1"/>
  <c r="P618" i="1"/>
  <c r="AH618" i="1" s="1"/>
  <c r="X618" i="1"/>
  <c r="Q618" i="1"/>
  <c r="Y618" i="1"/>
  <c r="V610" i="1"/>
  <c r="X722" i="1"/>
  <c r="P722" i="1"/>
  <c r="P676" i="1"/>
  <c r="W657" i="1"/>
  <c r="O657" i="1"/>
  <c r="AC655" i="1"/>
  <c r="U655" i="1"/>
  <c r="W654" i="1"/>
  <c r="O654" i="1"/>
  <c r="AH654" i="1" s="1"/>
  <c r="U652" i="1"/>
  <c r="O648" i="1"/>
  <c r="AH581" i="1"/>
  <c r="AB740" i="1"/>
  <c r="T740" i="1"/>
  <c r="AC731" i="1"/>
  <c r="U731" i="1"/>
  <c r="AC728" i="1"/>
  <c r="U728" i="1"/>
  <c r="AB723" i="1"/>
  <c r="T723" i="1"/>
  <c r="W722" i="1"/>
  <c r="O722" i="1"/>
  <c r="AC720" i="1"/>
  <c r="U720" i="1"/>
  <c r="AC691" i="1"/>
  <c r="U691" i="1"/>
  <c r="AC688" i="1"/>
  <c r="U688" i="1"/>
  <c r="AC685" i="1"/>
  <c r="U685" i="1"/>
  <c r="AC682" i="1"/>
  <c r="U682" i="1"/>
  <c r="AB677" i="1"/>
  <c r="T677" i="1"/>
  <c r="W676" i="1"/>
  <c r="O676" i="1"/>
  <c r="AC674" i="1"/>
  <c r="U674" i="1"/>
  <c r="T652" i="1"/>
  <c r="AC643" i="1"/>
  <c r="U643" i="1"/>
  <c r="AB621" i="1"/>
  <c r="T621" i="1"/>
  <c r="AH621" i="1" s="1"/>
  <c r="W620" i="1"/>
  <c r="O620" i="1"/>
  <c r="AH620" i="1" s="1"/>
  <c r="R610" i="1"/>
  <c r="Z610" i="1"/>
  <c r="S610" i="1"/>
  <c r="AA610" i="1"/>
  <c r="U610" i="1"/>
  <c r="AC610" i="1"/>
  <c r="O610" i="1"/>
  <c r="W610" i="1"/>
  <c r="P610" i="1"/>
  <c r="X610" i="1"/>
  <c r="Q610" i="1"/>
  <c r="Y610" i="1"/>
  <c r="AB731" i="1"/>
  <c r="T731" i="1"/>
  <c r="AB728" i="1"/>
  <c r="T728" i="1"/>
  <c r="AB720" i="1"/>
  <c r="T720" i="1"/>
  <c r="AB691" i="1"/>
  <c r="T691" i="1"/>
  <c r="AB688" i="1"/>
  <c r="T688" i="1"/>
  <c r="AB685" i="1"/>
  <c r="T685" i="1"/>
  <c r="AB682" i="1"/>
  <c r="T682" i="1"/>
  <c r="AB674" i="1"/>
  <c r="T674" i="1"/>
  <c r="AC657" i="1"/>
  <c r="U657" i="1"/>
  <c r="AA655" i="1"/>
  <c r="S655" i="1"/>
  <c r="AC654" i="1"/>
  <c r="U654" i="1"/>
  <c r="AA652" i="1"/>
  <c r="S652" i="1"/>
  <c r="AA649" i="1"/>
  <c r="S649" i="1"/>
  <c r="AC648" i="1"/>
  <c r="U648" i="1"/>
  <c r="AA646" i="1"/>
  <c r="S646" i="1"/>
  <c r="AB643" i="1"/>
  <c r="T643" i="1"/>
  <c r="AC640" i="1"/>
  <c r="U640" i="1"/>
  <c r="V618" i="1"/>
  <c r="AH616" i="1"/>
  <c r="AH605" i="1"/>
  <c r="V797" i="1"/>
  <c r="AH797" i="1" s="1"/>
  <c r="AB743" i="1"/>
  <c r="T743" i="1"/>
  <c r="Z740" i="1"/>
  <c r="R740" i="1"/>
  <c r="AA731" i="1"/>
  <c r="S731" i="1"/>
  <c r="AA728" i="1"/>
  <c r="S728" i="1"/>
  <c r="AB725" i="1"/>
  <c r="T725" i="1"/>
  <c r="Z723" i="1"/>
  <c r="R723" i="1"/>
  <c r="AC722" i="1"/>
  <c r="U722" i="1"/>
  <c r="AA720" i="1"/>
  <c r="S720" i="1"/>
  <c r="AA691" i="1"/>
  <c r="S691" i="1"/>
  <c r="AA688" i="1"/>
  <c r="S688" i="1"/>
  <c r="AA685" i="1"/>
  <c r="S685" i="1"/>
  <c r="AA682" i="1"/>
  <c r="S682" i="1"/>
  <c r="AB679" i="1"/>
  <c r="T679" i="1"/>
  <c r="Z677" i="1"/>
  <c r="R677" i="1"/>
  <c r="AH677" i="1" s="1"/>
  <c r="AC676" i="1"/>
  <c r="U676" i="1"/>
  <c r="AA674" i="1"/>
  <c r="S674" i="1"/>
  <c r="AB657" i="1"/>
  <c r="T657" i="1"/>
  <c r="Z655" i="1"/>
  <c r="R655" i="1"/>
  <c r="AB654" i="1"/>
  <c r="T654" i="1"/>
  <c r="Z652" i="1"/>
  <c r="R652" i="1"/>
  <c r="AH652" i="1" s="1"/>
  <c r="AC651" i="1"/>
  <c r="U651" i="1"/>
  <c r="AH651" i="1" s="1"/>
  <c r="Z649" i="1"/>
  <c r="R649" i="1"/>
  <c r="AH649" i="1" s="1"/>
  <c r="AB648" i="1"/>
  <c r="T648" i="1"/>
  <c r="Z646" i="1"/>
  <c r="R646" i="1"/>
  <c r="AC645" i="1"/>
  <c r="U645" i="1"/>
  <c r="AA643" i="1"/>
  <c r="S643" i="1"/>
  <c r="AB640" i="1"/>
  <c r="T640" i="1"/>
  <c r="V808" i="1"/>
  <c r="AH808" i="1" s="1"/>
  <c r="AC808" i="1"/>
  <c r="AC797" i="1"/>
  <c r="AC789" i="1"/>
  <c r="AH789" i="1" s="1"/>
  <c r="AC775" i="1"/>
  <c r="AH775" i="1" s="1"/>
  <c r="AC772" i="1"/>
  <c r="AH772" i="1" s="1"/>
  <c r="AC769" i="1"/>
  <c r="AH769" i="1" s="1"/>
  <c r="AC761" i="1"/>
  <c r="AH761" i="1" s="1"/>
  <c r="AA743" i="1"/>
  <c r="Y740" i="1"/>
  <c r="AC736" i="1"/>
  <c r="AC733" i="1"/>
  <c r="AH733" i="1" s="1"/>
  <c r="Z731" i="1"/>
  <c r="AC730" i="1"/>
  <c r="AH730" i="1" s="1"/>
  <c r="Z728" i="1"/>
  <c r="AC727" i="1"/>
  <c r="AH727" i="1" s="1"/>
  <c r="AA725" i="1"/>
  <c r="Y723" i="1"/>
  <c r="AB722" i="1"/>
  <c r="Z720" i="1"/>
  <c r="Z691" i="1"/>
  <c r="AC690" i="1"/>
  <c r="AH690" i="1" s="1"/>
  <c r="Z688" i="1"/>
  <c r="AC687" i="1"/>
  <c r="AH687" i="1" s="1"/>
  <c r="Z685" i="1"/>
  <c r="Z682" i="1"/>
  <c r="AC681" i="1"/>
  <c r="AA679" i="1"/>
  <c r="Y677" i="1"/>
  <c r="AB676" i="1"/>
  <c r="Z674" i="1"/>
  <c r="AC673" i="1"/>
  <c r="AH673" i="1" s="1"/>
  <c r="AA657" i="1"/>
  <c r="Y655" i="1"/>
  <c r="AA654" i="1"/>
  <c r="Y652" i="1"/>
  <c r="AB651" i="1"/>
  <c r="Y649" i="1"/>
  <c r="AA648" i="1"/>
  <c r="Y646" i="1"/>
  <c r="AB645" i="1"/>
  <c r="Z643" i="1"/>
  <c r="AC642" i="1"/>
  <c r="AH642" i="1" s="1"/>
  <c r="AA640" i="1"/>
  <c r="Y621" i="1"/>
  <c r="AB620" i="1"/>
  <c r="T618" i="1"/>
  <c r="AH611" i="1"/>
  <c r="AH604" i="1"/>
  <c r="AA590" i="1"/>
  <c r="S590" i="1"/>
  <c r="Y588" i="1"/>
  <c r="Q588" i="1"/>
  <c r="Y585" i="1"/>
  <c r="Q585" i="1"/>
  <c r="AA584" i="1"/>
  <c r="S584" i="1"/>
  <c r="Y582" i="1"/>
  <c r="Q582" i="1"/>
  <c r="AA576" i="1"/>
  <c r="S576" i="1"/>
  <c r="V556" i="1"/>
  <c r="U555" i="1"/>
  <c r="AC555" i="1"/>
  <c r="P554" i="1"/>
  <c r="AH554" i="1" s="1"/>
  <c r="X554" i="1"/>
  <c r="T551" i="1"/>
  <c r="AC550" i="1"/>
  <c r="Q550" i="1"/>
  <c r="T548" i="1"/>
  <c r="AC547" i="1"/>
  <c r="Q547" i="1"/>
  <c r="AB545" i="1"/>
  <c r="P545" i="1"/>
  <c r="Y544" i="1"/>
  <c r="U543" i="1"/>
  <c r="AC542" i="1"/>
  <c r="AH509" i="1"/>
  <c r="W619" i="1"/>
  <c r="AH619" i="1" s="1"/>
  <c r="Y615" i="1"/>
  <c r="Q615" i="1"/>
  <c r="AH615" i="1" s="1"/>
  <c r="AB614" i="1"/>
  <c r="T614" i="1"/>
  <c r="AC611" i="1"/>
  <c r="U611" i="1"/>
  <c r="AA609" i="1"/>
  <c r="S609" i="1"/>
  <c r="Y607" i="1"/>
  <c r="Q607" i="1"/>
  <c r="AB606" i="1"/>
  <c r="T606" i="1"/>
  <c r="Z590" i="1"/>
  <c r="R590" i="1"/>
  <c r="AC589" i="1"/>
  <c r="U589" i="1"/>
  <c r="X588" i="1"/>
  <c r="P588" i="1"/>
  <c r="AA587" i="1"/>
  <c r="S587" i="1"/>
  <c r="AH587" i="1" s="1"/>
  <c r="AC586" i="1"/>
  <c r="U586" i="1"/>
  <c r="X585" i="1"/>
  <c r="P585" i="1"/>
  <c r="Z584" i="1"/>
  <c r="R584" i="1"/>
  <c r="AC583" i="1"/>
  <c r="U583" i="1"/>
  <c r="X582" i="1"/>
  <c r="P582" i="1"/>
  <c r="Y579" i="1"/>
  <c r="Q579" i="1"/>
  <c r="AB578" i="1"/>
  <c r="T578" i="1"/>
  <c r="W577" i="1"/>
  <c r="O577" i="1"/>
  <c r="AH577" i="1" s="1"/>
  <c r="Z576" i="1"/>
  <c r="R576" i="1"/>
  <c r="AC575" i="1"/>
  <c r="U575" i="1"/>
  <c r="U556" i="1"/>
  <c r="V555" i="1"/>
  <c r="V554" i="1"/>
  <c r="AC551" i="1"/>
  <c r="S551" i="1"/>
  <c r="AB550" i="1"/>
  <c r="P550" i="1"/>
  <c r="AH550" i="1" s="1"/>
  <c r="AC548" i="1"/>
  <c r="S548" i="1"/>
  <c r="Z547" i="1"/>
  <c r="P547" i="1"/>
  <c r="AH547" i="1" s="1"/>
  <c r="AA545" i="1"/>
  <c r="T544" i="1"/>
  <c r="AB544" i="1"/>
  <c r="U544" i="1"/>
  <c r="AC544" i="1"/>
  <c r="AH544" i="1" s="1"/>
  <c r="T543" i="1"/>
  <c r="Y542" i="1"/>
  <c r="AH529" i="1"/>
  <c r="X615" i="1"/>
  <c r="AA614" i="1"/>
  <c r="S614" i="1"/>
  <c r="AH614" i="1" s="1"/>
  <c r="AB611" i="1"/>
  <c r="T611" i="1"/>
  <c r="Z609" i="1"/>
  <c r="R609" i="1"/>
  <c r="AC608" i="1"/>
  <c r="AH608" i="1" s="1"/>
  <c r="X607" i="1"/>
  <c r="P607" i="1"/>
  <c r="AH607" i="1" s="1"/>
  <c r="AA606" i="1"/>
  <c r="S606" i="1"/>
  <c r="AH606" i="1" s="1"/>
  <c r="Y590" i="1"/>
  <c r="Q590" i="1"/>
  <c r="AB589" i="1"/>
  <c r="T589" i="1"/>
  <c r="W588" i="1"/>
  <c r="O588" i="1"/>
  <c r="Z587" i="1"/>
  <c r="AB586" i="1"/>
  <c r="T586" i="1"/>
  <c r="W585" i="1"/>
  <c r="O585" i="1"/>
  <c r="Y584" i="1"/>
  <c r="Q584" i="1"/>
  <c r="AB583" i="1"/>
  <c r="T583" i="1"/>
  <c r="W582" i="1"/>
  <c r="O582" i="1"/>
  <c r="AC580" i="1"/>
  <c r="U580" i="1"/>
  <c r="AH580" i="1" s="1"/>
  <c r="X579" i="1"/>
  <c r="P579" i="1"/>
  <c r="AA578" i="1"/>
  <c r="S578" i="1"/>
  <c r="AH578" i="1" s="1"/>
  <c r="Y576" i="1"/>
  <c r="Q576" i="1"/>
  <c r="AB575" i="1"/>
  <c r="T575" i="1"/>
  <c r="AB551" i="1"/>
  <c r="Y550" i="1"/>
  <c r="AB548" i="1"/>
  <c r="Y547" i="1"/>
  <c r="Q545" i="1"/>
  <c r="Y545" i="1"/>
  <c r="R545" i="1"/>
  <c r="Z545" i="1"/>
  <c r="W542" i="1"/>
  <c r="AH456" i="1"/>
  <c r="R550" i="1"/>
  <c r="Z550" i="1"/>
  <c r="S550" i="1"/>
  <c r="AA550" i="1"/>
  <c r="S547" i="1"/>
  <c r="AA547" i="1"/>
  <c r="T547" i="1"/>
  <c r="AB547" i="1"/>
  <c r="AH478" i="1"/>
  <c r="Y614" i="1"/>
  <c r="Z611" i="1"/>
  <c r="R611" i="1"/>
  <c r="X609" i="1"/>
  <c r="P609" i="1"/>
  <c r="Y606" i="1"/>
  <c r="W590" i="1"/>
  <c r="O590" i="1"/>
  <c r="Z589" i="1"/>
  <c r="R589" i="1"/>
  <c r="AC588" i="1"/>
  <c r="U588" i="1"/>
  <c r="Z586" i="1"/>
  <c r="R586" i="1"/>
  <c r="AC585" i="1"/>
  <c r="U585" i="1"/>
  <c r="W584" i="1"/>
  <c r="O584" i="1"/>
  <c r="Z583" i="1"/>
  <c r="R583" i="1"/>
  <c r="AC582" i="1"/>
  <c r="U582" i="1"/>
  <c r="W576" i="1"/>
  <c r="O576" i="1"/>
  <c r="Z575" i="1"/>
  <c r="R575" i="1"/>
  <c r="O551" i="1"/>
  <c r="W551" i="1"/>
  <c r="P551" i="1"/>
  <c r="X551" i="1"/>
  <c r="W550" i="1"/>
  <c r="P548" i="1"/>
  <c r="X548" i="1"/>
  <c r="Q548" i="1"/>
  <c r="AH548" i="1" s="1"/>
  <c r="Y548" i="1"/>
  <c r="W547" i="1"/>
  <c r="O543" i="1"/>
  <c r="W543" i="1"/>
  <c r="P543" i="1"/>
  <c r="X543" i="1"/>
  <c r="Q543" i="1"/>
  <c r="Y543" i="1"/>
  <c r="U542" i="1"/>
  <c r="AH535" i="1"/>
  <c r="AH530" i="1"/>
  <c r="AB588" i="1"/>
  <c r="T588" i="1"/>
  <c r="AB585" i="1"/>
  <c r="T585" i="1"/>
  <c r="AB582" i="1"/>
  <c r="T582" i="1"/>
  <c r="V550" i="1"/>
  <c r="V547" i="1"/>
  <c r="Q542" i="1"/>
  <c r="AH538" i="1"/>
  <c r="AH534" i="1"/>
  <c r="AH479" i="1"/>
  <c r="X611" i="1"/>
  <c r="P611" i="1"/>
  <c r="T607" i="1"/>
  <c r="AC590" i="1"/>
  <c r="U590" i="1"/>
  <c r="X589" i="1"/>
  <c r="P589" i="1"/>
  <c r="AH589" i="1" s="1"/>
  <c r="AA588" i="1"/>
  <c r="S588" i="1"/>
  <c r="X586" i="1"/>
  <c r="P586" i="1"/>
  <c r="AH586" i="1" s="1"/>
  <c r="AA585" i="1"/>
  <c r="S585" i="1"/>
  <c r="AC584" i="1"/>
  <c r="U584" i="1"/>
  <c r="X583" i="1"/>
  <c r="P583" i="1"/>
  <c r="AH583" i="1" s="1"/>
  <c r="AA582" i="1"/>
  <c r="S582" i="1"/>
  <c r="Y580" i="1"/>
  <c r="AB579" i="1"/>
  <c r="T579" i="1"/>
  <c r="W578" i="1"/>
  <c r="Z577" i="1"/>
  <c r="AC576" i="1"/>
  <c r="U576" i="1"/>
  <c r="X575" i="1"/>
  <c r="P575" i="1"/>
  <c r="AH575" i="1" s="1"/>
  <c r="T558" i="1"/>
  <c r="AH558" i="1" s="1"/>
  <c r="AB558" i="1"/>
  <c r="O557" i="1"/>
  <c r="AH557" i="1" s="1"/>
  <c r="W557" i="1"/>
  <c r="X556" i="1"/>
  <c r="Y555" i="1"/>
  <c r="P555" i="1"/>
  <c r="Z554" i="1"/>
  <c r="Q554" i="1"/>
  <c r="V551" i="1"/>
  <c r="U550" i="1"/>
  <c r="V548" i="1"/>
  <c r="U547" i="1"/>
  <c r="T545" i="1"/>
  <c r="AH545" i="1" s="1"/>
  <c r="Z543" i="1"/>
  <c r="AH520" i="1"/>
  <c r="W611" i="1"/>
  <c r="AC609" i="1"/>
  <c r="AA607" i="1"/>
  <c r="AB590" i="1"/>
  <c r="W589" i="1"/>
  <c r="Z588" i="1"/>
  <c r="W586" i="1"/>
  <c r="Z585" i="1"/>
  <c r="AB584" i="1"/>
  <c r="W583" i="1"/>
  <c r="Z582" i="1"/>
  <c r="AA579" i="1"/>
  <c r="AB576" i="1"/>
  <c r="W575" i="1"/>
  <c r="R556" i="1"/>
  <c r="AH556" i="1" s="1"/>
  <c r="Z556" i="1"/>
  <c r="X555" i="1"/>
  <c r="O555" i="1"/>
  <c r="T550" i="1"/>
  <c r="R547" i="1"/>
  <c r="P542" i="1"/>
  <c r="AH542" i="1" s="1"/>
  <c r="X542" i="1"/>
  <c r="R542" i="1"/>
  <c r="Z542" i="1"/>
  <c r="S542" i="1"/>
  <c r="AA542" i="1"/>
  <c r="T542" i="1"/>
  <c r="AB542" i="1"/>
  <c r="AH541" i="1"/>
  <c r="AH533" i="1"/>
  <c r="AH532" i="1"/>
  <c r="W460" i="1"/>
  <c r="P455" i="1"/>
  <c r="X455" i="1"/>
  <c r="S455" i="1"/>
  <c r="AA455" i="1"/>
  <c r="R446" i="1"/>
  <c r="Z446" i="1"/>
  <c r="U446" i="1"/>
  <c r="AC446" i="1"/>
  <c r="AH440" i="1"/>
  <c r="AH416" i="1"/>
  <c r="AH384" i="1"/>
  <c r="AH341" i="1"/>
  <c r="AH332" i="1"/>
  <c r="AH309" i="1"/>
  <c r="O295" i="1"/>
  <c r="W295" i="1"/>
  <c r="R295" i="1"/>
  <c r="Z295" i="1"/>
  <c r="P295" i="1"/>
  <c r="AA295" i="1"/>
  <c r="Q295" i="1"/>
  <c r="AB295" i="1"/>
  <c r="S295" i="1"/>
  <c r="AC295" i="1"/>
  <c r="T295" i="1"/>
  <c r="U295" i="1"/>
  <c r="Q289" i="1"/>
  <c r="Y289" i="1"/>
  <c r="T289" i="1"/>
  <c r="AB289" i="1"/>
  <c r="O289" i="1"/>
  <c r="Z289" i="1"/>
  <c r="P289" i="1"/>
  <c r="AA289" i="1"/>
  <c r="R289" i="1"/>
  <c r="AC289" i="1"/>
  <c r="S289" i="1"/>
  <c r="U289" i="1"/>
  <c r="T269" i="1"/>
  <c r="AB269" i="1"/>
  <c r="O269" i="1"/>
  <c r="W269" i="1"/>
  <c r="P269" i="1"/>
  <c r="X269" i="1"/>
  <c r="R269" i="1"/>
  <c r="S269" i="1"/>
  <c r="U269" i="1"/>
  <c r="V269" i="1"/>
  <c r="Y269" i="1"/>
  <c r="AH255" i="1"/>
  <c r="AH248" i="1"/>
  <c r="AH242" i="1"/>
  <c r="AH70" i="1"/>
  <c r="AB519" i="1"/>
  <c r="T519" i="1"/>
  <c r="Z517" i="1"/>
  <c r="R517" i="1"/>
  <c r="AB516" i="1"/>
  <c r="T516" i="1"/>
  <c r="Z514" i="1"/>
  <c r="R514" i="1"/>
  <c r="AC513" i="1"/>
  <c r="U513" i="1"/>
  <c r="AB508" i="1"/>
  <c r="T508" i="1"/>
  <c r="AB500" i="1"/>
  <c r="T500" i="1"/>
  <c r="V488" i="1"/>
  <c r="R487" i="1"/>
  <c r="Z487" i="1"/>
  <c r="X486" i="1"/>
  <c r="AB484" i="1"/>
  <c r="R484" i="1"/>
  <c r="AA483" i="1"/>
  <c r="R483" i="1"/>
  <c r="AB482" i="1"/>
  <c r="S482" i="1"/>
  <c r="X479" i="1"/>
  <c r="AA475" i="1"/>
  <c r="R475" i="1"/>
  <c r="AB474" i="1"/>
  <c r="S474" i="1"/>
  <c r="AH469" i="1"/>
  <c r="V460" i="1"/>
  <c r="S459" i="1"/>
  <c r="W455" i="1"/>
  <c r="O447" i="1"/>
  <c r="W447" i="1"/>
  <c r="R447" i="1"/>
  <c r="Z447" i="1"/>
  <c r="W446" i="1"/>
  <c r="U429" i="1"/>
  <c r="AC429" i="1"/>
  <c r="P429" i="1"/>
  <c r="AH429" i="1" s="1"/>
  <c r="X429" i="1"/>
  <c r="Q429" i="1"/>
  <c r="Y429" i="1"/>
  <c r="U428" i="1"/>
  <c r="S425" i="1"/>
  <c r="Y421" i="1"/>
  <c r="V418" i="1"/>
  <c r="AC417" i="1"/>
  <c r="AH412" i="1"/>
  <c r="AH405" i="1"/>
  <c r="AH380" i="1"/>
  <c r="AH373" i="1"/>
  <c r="AH334" i="1"/>
  <c r="AH322" i="1"/>
  <c r="AH301" i="1"/>
  <c r="AH285" i="1"/>
  <c r="AA272" i="1"/>
  <c r="Q93" i="1"/>
  <c r="Y93" i="1"/>
  <c r="R93" i="1"/>
  <c r="Z93" i="1"/>
  <c r="S93" i="1"/>
  <c r="AA93" i="1"/>
  <c r="T93" i="1"/>
  <c r="AB93" i="1"/>
  <c r="U93" i="1"/>
  <c r="AC93" i="1"/>
  <c r="O93" i="1"/>
  <c r="P93" i="1"/>
  <c r="V93" i="1"/>
  <c r="W93" i="1"/>
  <c r="X93" i="1"/>
  <c r="AH88" i="1"/>
  <c r="AC521" i="1"/>
  <c r="U521" i="1"/>
  <c r="AA519" i="1"/>
  <c r="S519" i="1"/>
  <c r="Y517" i="1"/>
  <c r="Q517" i="1"/>
  <c r="AA516" i="1"/>
  <c r="S516" i="1"/>
  <c r="Y514" i="1"/>
  <c r="Q514" i="1"/>
  <c r="AB513" i="1"/>
  <c r="T513" i="1"/>
  <c r="AC510" i="1"/>
  <c r="U510" i="1"/>
  <c r="AA508" i="1"/>
  <c r="S508" i="1"/>
  <c r="AA500" i="1"/>
  <c r="S500" i="1"/>
  <c r="AC488" i="1"/>
  <c r="U488" i="1"/>
  <c r="U486" i="1"/>
  <c r="AC486" i="1"/>
  <c r="Z484" i="1"/>
  <c r="Q484" i="1"/>
  <c r="Z483" i="1"/>
  <c r="Q483" i="1"/>
  <c r="AA482" i="1"/>
  <c r="R482" i="1"/>
  <c r="Q479" i="1"/>
  <c r="Y479" i="1"/>
  <c r="Z475" i="1"/>
  <c r="Q475" i="1"/>
  <c r="AA474" i="1"/>
  <c r="R474" i="1"/>
  <c r="T460" i="1"/>
  <c r="AB459" i="1"/>
  <c r="R459" i="1"/>
  <c r="U456" i="1"/>
  <c r="AC456" i="1"/>
  <c r="P456" i="1"/>
  <c r="X456" i="1"/>
  <c r="V455" i="1"/>
  <c r="P452" i="1"/>
  <c r="AH452" i="1" s="1"/>
  <c r="X452" i="1"/>
  <c r="S452" i="1"/>
  <c r="AA452" i="1"/>
  <c r="AC449" i="1"/>
  <c r="R449" i="1"/>
  <c r="X447" i="1"/>
  <c r="V446" i="1"/>
  <c r="AH439" i="1"/>
  <c r="AH432" i="1"/>
  <c r="V421" i="1"/>
  <c r="T418" i="1"/>
  <c r="P417" i="1"/>
  <c r="X417" i="1"/>
  <c r="S417" i="1"/>
  <c r="AH417" i="1" s="1"/>
  <c r="AA417" i="1"/>
  <c r="T417" i="1"/>
  <c r="AB417" i="1"/>
  <c r="AH408" i="1"/>
  <c r="AH376" i="1"/>
  <c r="AH349" i="1"/>
  <c r="AH343" i="1"/>
  <c r="AH336" i="1"/>
  <c r="AH304" i="1"/>
  <c r="T296" i="1"/>
  <c r="AB296" i="1"/>
  <c r="O296" i="1"/>
  <c r="W296" i="1"/>
  <c r="R296" i="1"/>
  <c r="AC296" i="1"/>
  <c r="S296" i="1"/>
  <c r="U296" i="1"/>
  <c r="V296" i="1"/>
  <c r="X296" i="1"/>
  <c r="R272" i="1"/>
  <c r="W546" i="1"/>
  <c r="AH546" i="1" s="1"/>
  <c r="Y522" i="1"/>
  <c r="Q522" i="1"/>
  <c r="AH522" i="1" s="1"/>
  <c r="AB521" i="1"/>
  <c r="T521" i="1"/>
  <c r="W520" i="1"/>
  <c r="Z519" i="1"/>
  <c r="R519" i="1"/>
  <c r="X517" i="1"/>
  <c r="P517" i="1"/>
  <c r="Z516" i="1"/>
  <c r="R516" i="1"/>
  <c r="AC515" i="1"/>
  <c r="U515" i="1"/>
  <c r="X514" i="1"/>
  <c r="P514" i="1"/>
  <c r="AA513" i="1"/>
  <c r="S513" i="1"/>
  <c r="Y511" i="1"/>
  <c r="Q511" i="1"/>
  <c r="AH511" i="1" s="1"/>
  <c r="AB510" i="1"/>
  <c r="T510" i="1"/>
  <c r="W509" i="1"/>
  <c r="Z508" i="1"/>
  <c r="R508" i="1"/>
  <c r="AC507" i="1"/>
  <c r="U507" i="1"/>
  <c r="Z500" i="1"/>
  <c r="R500" i="1"/>
  <c r="Y489" i="1"/>
  <c r="Q489" i="1"/>
  <c r="AH489" i="1" s="1"/>
  <c r="AB488" i="1"/>
  <c r="T488" i="1"/>
  <c r="U487" i="1"/>
  <c r="V486" i="1"/>
  <c r="Y484" i="1"/>
  <c r="P484" i="1"/>
  <c r="AH484" i="1" s="1"/>
  <c r="Y483" i="1"/>
  <c r="P483" i="1"/>
  <c r="AH483" i="1" s="1"/>
  <c r="Z482" i="1"/>
  <c r="Q482" i="1"/>
  <c r="Z481" i="1"/>
  <c r="Q481" i="1"/>
  <c r="AH481" i="1" s="1"/>
  <c r="V479" i="1"/>
  <c r="T478" i="1"/>
  <c r="AB478" i="1"/>
  <c r="O477" i="1"/>
  <c r="W477" i="1"/>
  <c r="X476" i="1"/>
  <c r="Y475" i="1"/>
  <c r="P475" i="1"/>
  <c r="AH475" i="1" s="1"/>
  <c r="Z474" i="1"/>
  <c r="Q474" i="1"/>
  <c r="S460" i="1"/>
  <c r="AA459" i="1"/>
  <c r="Q459" i="1"/>
  <c r="P458" i="1"/>
  <c r="AH458" i="1" s="1"/>
  <c r="X458" i="1"/>
  <c r="S458" i="1"/>
  <c r="AA458" i="1"/>
  <c r="W456" i="1"/>
  <c r="U455" i="1"/>
  <c r="AB454" i="1"/>
  <c r="Q454" i="1"/>
  <c r="AH454" i="1" s="1"/>
  <c r="W452" i="1"/>
  <c r="AA449" i="1"/>
  <c r="P449" i="1"/>
  <c r="AH449" i="1" s="1"/>
  <c r="T448" i="1"/>
  <c r="AB448" i="1"/>
  <c r="O448" i="1"/>
  <c r="W448" i="1"/>
  <c r="V447" i="1"/>
  <c r="T446" i="1"/>
  <c r="AB445" i="1"/>
  <c r="R445" i="1"/>
  <c r="AH435" i="1"/>
  <c r="Q428" i="1"/>
  <c r="P425" i="1"/>
  <c r="AH425" i="1" s="1"/>
  <c r="U421" i="1"/>
  <c r="O420" i="1"/>
  <c r="W420" i="1"/>
  <c r="R420" i="1"/>
  <c r="Z420" i="1"/>
  <c r="S420" i="1"/>
  <c r="AA420" i="1"/>
  <c r="S418" i="1"/>
  <c r="Y417" i="1"/>
  <c r="AH404" i="1"/>
  <c r="AH397" i="1"/>
  <c r="AH372" i="1"/>
  <c r="AH365" i="1"/>
  <c r="AH357" i="1"/>
  <c r="AH351" i="1"/>
  <c r="AH348" i="1"/>
  <c r="AH344" i="1"/>
  <c r="AH335" i="1"/>
  <c r="AH315" i="1"/>
  <c r="AH313" i="1"/>
  <c r="AH308" i="1"/>
  <c r="AH303" i="1"/>
  <c r="AH278" i="1"/>
  <c r="AH275" i="1"/>
  <c r="U266" i="1"/>
  <c r="AC266" i="1"/>
  <c r="P266" i="1"/>
  <c r="X266" i="1"/>
  <c r="Q266" i="1"/>
  <c r="Y266" i="1"/>
  <c r="O266" i="1"/>
  <c r="AB266" i="1"/>
  <c r="R266" i="1"/>
  <c r="S266" i="1"/>
  <c r="T266" i="1"/>
  <c r="V266" i="1"/>
  <c r="AH263" i="1"/>
  <c r="AH235" i="1"/>
  <c r="AH137" i="1"/>
  <c r="X522" i="1"/>
  <c r="AA521" i="1"/>
  <c r="S521" i="1"/>
  <c r="AH521" i="1" s="1"/>
  <c r="Y519" i="1"/>
  <c r="Q519" i="1"/>
  <c r="W517" i="1"/>
  <c r="O517" i="1"/>
  <c r="Y516" i="1"/>
  <c r="Q516" i="1"/>
  <c r="AB515" i="1"/>
  <c r="T515" i="1"/>
  <c r="AH515" i="1" s="1"/>
  <c r="W514" i="1"/>
  <c r="O514" i="1"/>
  <c r="Z513" i="1"/>
  <c r="R513" i="1"/>
  <c r="X511" i="1"/>
  <c r="AA510" i="1"/>
  <c r="S510" i="1"/>
  <c r="AH510" i="1" s="1"/>
  <c r="Y508" i="1"/>
  <c r="Q508" i="1"/>
  <c r="AB507" i="1"/>
  <c r="T507" i="1"/>
  <c r="AH507" i="1" s="1"/>
  <c r="Y500" i="1"/>
  <c r="Q500" i="1"/>
  <c r="X489" i="1"/>
  <c r="AA488" i="1"/>
  <c r="S488" i="1"/>
  <c r="AC487" i="1"/>
  <c r="T487" i="1"/>
  <c r="T486" i="1"/>
  <c r="X484" i="1"/>
  <c r="X483" i="1"/>
  <c r="Y482" i="1"/>
  <c r="Y481" i="1"/>
  <c r="U479" i="1"/>
  <c r="R476" i="1"/>
  <c r="AH476" i="1" s="1"/>
  <c r="Z476" i="1"/>
  <c r="X475" i="1"/>
  <c r="Y474" i="1"/>
  <c r="AH462" i="1"/>
  <c r="AB460" i="1"/>
  <c r="Q460" i="1"/>
  <c r="Z459" i="1"/>
  <c r="W458" i="1"/>
  <c r="V456" i="1"/>
  <c r="T455" i="1"/>
  <c r="AA454" i="1"/>
  <c r="U453" i="1"/>
  <c r="AC453" i="1"/>
  <c r="P453" i="1"/>
  <c r="X453" i="1"/>
  <c r="V452" i="1"/>
  <c r="Z449" i="1"/>
  <c r="X448" i="1"/>
  <c r="U447" i="1"/>
  <c r="S446" i="1"/>
  <c r="AA445" i="1"/>
  <c r="AH431" i="1"/>
  <c r="V429" i="1"/>
  <c r="AC428" i="1"/>
  <c r="AA425" i="1"/>
  <c r="Q422" i="1"/>
  <c r="AH422" i="1" s="1"/>
  <c r="Y422" i="1"/>
  <c r="T422" i="1"/>
  <c r="AB422" i="1"/>
  <c r="U422" i="1"/>
  <c r="AC422" i="1"/>
  <c r="S421" i="1"/>
  <c r="Y420" i="1"/>
  <c r="R418" i="1"/>
  <c r="W417" i="1"/>
  <c r="AH400" i="1"/>
  <c r="AH368" i="1"/>
  <c r="AH359" i="1"/>
  <c r="AH356" i="1"/>
  <c r="AH352" i="1"/>
  <c r="AH325" i="1"/>
  <c r="AH316" i="1"/>
  <c r="T272" i="1"/>
  <c r="AB272" i="1"/>
  <c r="O272" i="1"/>
  <c r="AH272" i="1" s="1"/>
  <c r="W272" i="1"/>
  <c r="P272" i="1"/>
  <c r="X272" i="1"/>
  <c r="S272" i="1"/>
  <c r="U272" i="1"/>
  <c r="V272" i="1"/>
  <c r="Y272" i="1"/>
  <c r="Z272" i="1"/>
  <c r="AC269" i="1"/>
  <c r="AH196" i="1"/>
  <c r="X519" i="1"/>
  <c r="P519" i="1"/>
  <c r="AH519" i="1" s="1"/>
  <c r="X516" i="1"/>
  <c r="P516" i="1"/>
  <c r="AH516" i="1" s="1"/>
  <c r="Y513" i="1"/>
  <c r="Q513" i="1"/>
  <c r="AH513" i="1" s="1"/>
  <c r="X508" i="1"/>
  <c r="P508" i="1"/>
  <c r="AH508" i="1" s="1"/>
  <c r="AI500" i="1"/>
  <c r="X500" i="1"/>
  <c r="P500" i="1"/>
  <c r="Z488" i="1"/>
  <c r="R488" i="1"/>
  <c r="S484" i="1"/>
  <c r="AA484" i="1"/>
  <c r="U483" i="1"/>
  <c r="AC483" i="1"/>
  <c r="P482" i="1"/>
  <c r="AH482" i="1" s="1"/>
  <c r="X482" i="1"/>
  <c r="U475" i="1"/>
  <c r="AC475" i="1"/>
  <c r="P474" i="1"/>
  <c r="AH474" i="1" s="1"/>
  <c r="X474" i="1"/>
  <c r="AA460" i="1"/>
  <c r="P460" i="1"/>
  <c r="AH460" i="1" s="1"/>
  <c r="U459" i="1"/>
  <c r="AC459" i="1"/>
  <c r="P459" i="1"/>
  <c r="AH459" i="1" s="1"/>
  <c r="X459" i="1"/>
  <c r="AC455" i="1"/>
  <c r="R455" i="1"/>
  <c r="Q449" i="1"/>
  <c r="Y449" i="1"/>
  <c r="T449" i="1"/>
  <c r="AB449" i="1"/>
  <c r="T447" i="1"/>
  <c r="AB446" i="1"/>
  <c r="Q446" i="1"/>
  <c r="P428" i="1"/>
  <c r="AH428" i="1" s="1"/>
  <c r="X428" i="1"/>
  <c r="S428" i="1"/>
  <c r="AA428" i="1"/>
  <c r="T428" i="1"/>
  <c r="AB428" i="1"/>
  <c r="Q425" i="1"/>
  <c r="Y425" i="1"/>
  <c r="T425" i="1"/>
  <c r="AB425" i="1"/>
  <c r="U425" i="1"/>
  <c r="AC425" i="1"/>
  <c r="R421" i="1"/>
  <c r="AB418" i="1"/>
  <c r="V417" i="1"/>
  <c r="AH396" i="1"/>
  <c r="AH389" i="1"/>
  <c r="AH364" i="1"/>
  <c r="AH360" i="1"/>
  <c r="AH346" i="1"/>
  <c r="AH318" i="1"/>
  <c r="AH306" i="1"/>
  <c r="Y295" i="1"/>
  <c r="X289" i="1"/>
  <c r="AH279" i="1"/>
  <c r="AH274" i="1"/>
  <c r="AA269" i="1"/>
  <c r="AH267" i="1"/>
  <c r="O240" i="1"/>
  <c r="W240" i="1"/>
  <c r="P240" i="1"/>
  <c r="X240" i="1"/>
  <c r="Q240" i="1"/>
  <c r="Y240" i="1"/>
  <c r="R240" i="1"/>
  <c r="Z240" i="1"/>
  <c r="S240" i="1"/>
  <c r="AA240" i="1"/>
  <c r="T240" i="1"/>
  <c r="AB240" i="1"/>
  <c r="V240" i="1"/>
  <c r="AC240" i="1"/>
  <c r="O207" i="1"/>
  <c r="W207" i="1"/>
  <c r="P207" i="1"/>
  <c r="X207" i="1"/>
  <c r="Q207" i="1"/>
  <c r="AA207" i="1"/>
  <c r="R207" i="1"/>
  <c r="AB207" i="1"/>
  <c r="S207" i="1"/>
  <c r="AC207" i="1"/>
  <c r="T207" i="1"/>
  <c r="U207" i="1"/>
  <c r="V207" i="1"/>
  <c r="Z207" i="1"/>
  <c r="R147" i="1"/>
  <c r="AH147" i="1" s="1"/>
  <c r="Z147" i="1"/>
  <c r="Q147" i="1"/>
  <c r="AA147" i="1"/>
  <c r="S147" i="1"/>
  <c r="AB147" i="1"/>
  <c r="T147" i="1"/>
  <c r="AC147" i="1"/>
  <c r="U147" i="1"/>
  <c r="V147" i="1"/>
  <c r="P147" i="1"/>
  <c r="M290" i="1"/>
  <c r="W147" i="1"/>
  <c r="X147" i="1"/>
  <c r="Y147" i="1"/>
  <c r="M232" i="1"/>
  <c r="M222" i="1"/>
  <c r="M283" i="1"/>
  <c r="AH139" i="1"/>
  <c r="Y521" i="1"/>
  <c r="W519" i="1"/>
  <c r="AC517" i="1"/>
  <c r="W516" i="1"/>
  <c r="Z515" i="1"/>
  <c r="AC514" i="1"/>
  <c r="X513" i="1"/>
  <c r="P513" i="1"/>
  <c r="Y510" i="1"/>
  <c r="W508" i="1"/>
  <c r="Z507" i="1"/>
  <c r="W500" i="1"/>
  <c r="AH500" i="1" s="1"/>
  <c r="O500" i="1"/>
  <c r="Y488" i="1"/>
  <c r="Q488" i="1"/>
  <c r="AA487" i="1"/>
  <c r="Q487" i="1"/>
  <c r="AH487" i="1" s="1"/>
  <c r="AA486" i="1"/>
  <c r="R486" i="1"/>
  <c r="AH486" i="1" s="1"/>
  <c r="V484" i="1"/>
  <c r="V483" i="1"/>
  <c r="V482" i="1"/>
  <c r="S481" i="1"/>
  <c r="AA481" i="1"/>
  <c r="AB479" i="1"/>
  <c r="S479" i="1"/>
  <c r="V475" i="1"/>
  <c r="V474" i="1"/>
  <c r="AH461" i="1"/>
  <c r="Y460" i="1"/>
  <c r="W459" i="1"/>
  <c r="S456" i="1"/>
  <c r="AB455" i="1"/>
  <c r="Q455" i="1"/>
  <c r="R454" i="1"/>
  <c r="Z454" i="1"/>
  <c r="U454" i="1"/>
  <c r="AC454" i="1"/>
  <c r="T452" i="1"/>
  <c r="W449" i="1"/>
  <c r="AC447" i="1"/>
  <c r="S447" i="1"/>
  <c r="AA446" i="1"/>
  <c r="P446" i="1"/>
  <c r="U445" i="1"/>
  <c r="AC445" i="1"/>
  <c r="P445" i="1"/>
  <c r="X445" i="1"/>
  <c r="AC421" i="1"/>
  <c r="U418" i="1"/>
  <c r="AC418" i="1"/>
  <c r="P418" i="1"/>
  <c r="AH418" i="1" s="1"/>
  <c r="X418" i="1"/>
  <c r="Q418" i="1"/>
  <c r="Y418" i="1"/>
  <c r="AH392" i="1"/>
  <c r="AH354" i="1"/>
  <c r="AH320" i="1"/>
  <c r="X295" i="1"/>
  <c r="W289" i="1"/>
  <c r="AH281" i="1"/>
  <c r="AH277" i="1"/>
  <c r="Z269" i="1"/>
  <c r="AH247" i="1"/>
  <c r="AH241" i="1"/>
  <c r="AH220" i="1"/>
  <c r="AH214" i="1"/>
  <c r="AH213" i="1"/>
  <c r="Q174" i="1"/>
  <c r="Y174" i="1"/>
  <c r="R174" i="1"/>
  <c r="Z174" i="1"/>
  <c r="S174" i="1"/>
  <c r="AA174" i="1"/>
  <c r="P174" i="1"/>
  <c r="T174" i="1"/>
  <c r="U174" i="1"/>
  <c r="V174" i="1"/>
  <c r="W174" i="1"/>
  <c r="X174" i="1"/>
  <c r="O174" i="1"/>
  <c r="AB174" i="1"/>
  <c r="AC174" i="1"/>
  <c r="W513" i="1"/>
  <c r="AG500" i="1"/>
  <c r="X488" i="1"/>
  <c r="P488" i="1"/>
  <c r="R460" i="1"/>
  <c r="Z460" i="1"/>
  <c r="U460" i="1"/>
  <c r="AC460" i="1"/>
  <c r="Z455" i="1"/>
  <c r="O455" i="1"/>
  <c r="O446" i="1"/>
  <c r="T421" i="1"/>
  <c r="AB421" i="1"/>
  <c r="O421" i="1"/>
  <c r="W421" i="1"/>
  <c r="P421" i="1"/>
  <c r="X421" i="1"/>
  <c r="AH388" i="1"/>
  <c r="AH362" i="1"/>
  <c r="AH340" i="1"/>
  <c r="AH331" i="1"/>
  <c r="AH329" i="1"/>
  <c r="V295" i="1"/>
  <c r="V289" i="1"/>
  <c r="AH284" i="1"/>
  <c r="AH282" i="1"/>
  <c r="Q269" i="1"/>
  <c r="AH225" i="1"/>
  <c r="AH163" i="1"/>
  <c r="AC300" i="1"/>
  <c r="R300" i="1"/>
  <c r="AC298" i="1"/>
  <c r="S298" i="1"/>
  <c r="AA293" i="1"/>
  <c r="Q293" i="1"/>
  <c r="P292" i="1"/>
  <c r="AH292" i="1" s="1"/>
  <c r="X292" i="1"/>
  <c r="S292" i="1"/>
  <c r="AA292" i="1"/>
  <c r="AC288" i="1"/>
  <c r="R288" i="1"/>
  <c r="T271" i="1"/>
  <c r="Q268" i="1"/>
  <c r="S261" i="1"/>
  <c r="AH252" i="1"/>
  <c r="AH250" i="1"/>
  <c r="AH227" i="1"/>
  <c r="AH224" i="1"/>
  <c r="AH216" i="1"/>
  <c r="R179" i="1"/>
  <c r="Z179" i="1"/>
  <c r="S179" i="1"/>
  <c r="AA179" i="1"/>
  <c r="T179" i="1"/>
  <c r="AB179" i="1"/>
  <c r="P179" i="1"/>
  <c r="AH179" i="1" s="1"/>
  <c r="Q179" i="1"/>
  <c r="U179" i="1"/>
  <c r="V179" i="1"/>
  <c r="W179" i="1"/>
  <c r="X179" i="1"/>
  <c r="AC430" i="1"/>
  <c r="U430" i="1"/>
  <c r="AC419" i="1"/>
  <c r="U419" i="1"/>
  <c r="AH419" i="1" s="1"/>
  <c r="AH328" i="1"/>
  <c r="AH312" i="1"/>
  <c r="AA300" i="1"/>
  <c r="P300" i="1"/>
  <c r="AB298" i="1"/>
  <c r="Q298" i="1"/>
  <c r="Q297" i="1"/>
  <c r="Y297" i="1"/>
  <c r="T297" i="1"/>
  <c r="AB297" i="1"/>
  <c r="Z293" i="1"/>
  <c r="W292" i="1"/>
  <c r="AA288" i="1"/>
  <c r="Q288" i="1"/>
  <c r="Q271" i="1"/>
  <c r="AC268" i="1"/>
  <c r="P265" i="1"/>
  <c r="X265" i="1"/>
  <c r="S265" i="1"/>
  <c r="AA265" i="1"/>
  <c r="T265" i="1"/>
  <c r="AB265" i="1"/>
  <c r="AH256" i="1"/>
  <c r="P237" i="1"/>
  <c r="X237" i="1"/>
  <c r="Q237" i="1"/>
  <c r="Y237" i="1"/>
  <c r="R237" i="1"/>
  <c r="AH237" i="1" s="1"/>
  <c r="Z237" i="1"/>
  <c r="S237" i="1"/>
  <c r="AA237" i="1"/>
  <c r="T237" i="1"/>
  <c r="AB237" i="1"/>
  <c r="U237" i="1"/>
  <c r="AC237" i="1"/>
  <c r="AH197" i="1"/>
  <c r="AH187" i="1"/>
  <c r="AH170" i="1"/>
  <c r="Z300" i="1"/>
  <c r="AA298" i="1"/>
  <c r="U293" i="1"/>
  <c r="AC293" i="1"/>
  <c r="P293" i="1"/>
  <c r="X293" i="1"/>
  <c r="Z288" i="1"/>
  <c r="AC271" i="1"/>
  <c r="O268" i="1"/>
  <c r="W268" i="1"/>
  <c r="R268" i="1"/>
  <c r="Z268" i="1"/>
  <c r="S268" i="1"/>
  <c r="AA268" i="1"/>
  <c r="T261" i="1"/>
  <c r="AB261" i="1"/>
  <c r="O261" i="1"/>
  <c r="W261" i="1"/>
  <c r="P261" i="1"/>
  <c r="X261" i="1"/>
  <c r="Q261" i="1"/>
  <c r="Y261" i="1"/>
  <c r="AH258" i="1"/>
  <c r="AH251" i="1"/>
  <c r="AH244" i="1"/>
  <c r="AH239" i="1"/>
  <c r="AH228" i="1"/>
  <c r="AH217" i="1"/>
  <c r="AH321" i="1"/>
  <c r="AH305" i="1"/>
  <c r="Q300" i="1"/>
  <c r="Y300" i="1"/>
  <c r="T300" i="1"/>
  <c r="AB300" i="1"/>
  <c r="AH299" i="1"/>
  <c r="O298" i="1"/>
  <c r="W298" i="1"/>
  <c r="R298" i="1"/>
  <c r="Z298" i="1"/>
  <c r="T288" i="1"/>
  <c r="AB288" i="1"/>
  <c r="O288" i="1"/>
  <c r="W288" i="1"/>
  <c r="AH287" i="1"/>
  <c r="O271" i="1"/>
  <c r="W271" i="1"/>
  <c r="R271" i="1"/>
  <c r="Z271" i="1"/>
  <c r="S271" i="1"/>
  <c r="AA271" i="1"/>
  <c r="AH215" i="1"/>
  <c r="AH195" i="1"/>
  <c r="O148" i="1"/>
  <c r="W148" i="1"/>
  <c r="Q148" i="1"/>
  <c r="Z148" i="1"/>
  <c r="R148" i="1"/>
  <c r="AA148" i="1"/>
  <c r="S148" i="1"/>
  <c r="AB148" i="1"/>
  <c r="T148" i="1"/>
  <c r="AC148" i="1"/>
  <c r="U148" i="1"/>
  <c r="V148" i="1"/>
  <c r="X148" i="1"/>
  <c r="Y148" i="1"/>
  <c r="M233" i="1"/>
  <c r="M291" i="1"/>
  <c r="AH116" i="1"/>
  <c r="AA457" i="1"/>
  <c r="AH457" i="1" s="1"/>
  <c r="AA451" i="1"/>
  <c r="AH451" i="1" s="1"/>
  <c r="Z430" i="1"/>
  <c r="AA427" i="1"/>
  <c r="AH427" i="1" s="1"/>
  <c r="AA424" i="1"/>
  <c r="AH424" i="1" s="1"/>
  <c r="Z419" i="1"/>
  <c r="AA416" i="1"/>
  <c r="W300" i="1"/>
  <c r="X298" i="1"/>
  <c r="U297" i="1"/>
  <c r="R294" i="1"/>
  <c r="Z294" i="1"/>
  <c r="U294" i="1"/>
  <c r="AC294" i="1"/>
  <c r="V293" i="1"/>
  <c r="T292" i="1"/>
  <c r="X288" i="1"/>
  <c r="AH280" i="1"/>
  <c r="Q273" i="1"/>
  <c r="Y273" i="1"/>
  <c r="T273" i="1"/>
  <c r="AB273" i="1"/>
  <c r="Y271" i="1"/>
  <c r="X268" i="1"/>
  <c r="V265" i="1"/>
  <c r="AA261" i="1"/>
  <c r="O260" i="1"/>
  <c r="W260" i="1"/>
  <c r="R260" i="1"/>
  <c r="Z260" i="1"/>
  <c r="S260" i="1"/>
  <c r="AA260" i="1"/>
  <c r="T260" i="1"/>
  <c r="AB260" i="1"/>
  <c r="AH259" i="1"/>
  <c r="P229" i="1"/>
  <c r="AH229" i="1" s="1"/>
  <c r="X229" i="1"/>
  <c r="Q229" i="1"/>
  <c r="Y229" i="1"/>
  <c r="R229" i="1"/>
  <c r="Z229" i="1"/>
  <c r="S229" i="1"/>
  <c r="AA229" i="1"/>
  <c r="T229" i="1"/>
  <c r="AB229" i="1"/>
  <c r="U229" i="1"/>
  <c r="AC229" i="1"/>
  <c r="AH221" i="1"/>
  <c r="AH219" i="1"/>
  <c r="AH190" i="1"/>
  <c r="AH188" i="1"/>
  <c r="Z238" i="1"/>
  <c r="R238" i="1"/>
  <c r="Z230" i="1"/>
  <c r="R230" i="1"/>
  <c r="AB211" i="1"/>
  <c r="R211" i="1"/>
  <c r="Q209" i="1"/>
  <c r="AH209" i="1" s="1"/>
  <c r="Y209" i="1"/>
  <c r="T204" i="1"/>
  <c r="T201" i="1"/>
  <c r="Q182" i="1"/>
  <c r="AH182" i="1" s="1"/>
  <c r="Y182" i="1"/>
  <c r="R182" i="1"/>
  <c r="Z182" i="1"/>
  <c r="S182" i="1"/>
  <c r="AA182" i="1"/>
  <c r="S176" i="1"/>
  <c r="AA176" i="1"/>
  <c r="T176" i="1"/>
  <c r="AB176" i="1"/>
  <c r="U176" i="1"/>
  <c r="AC176" i="1"/>
  <c r="AH175" i="1"/>
  <c r="AH162" i="1"/>
  <c r="Q150" i="1"/>
  <c r="Y150" i="1"/>
  <c r="O150" i="1"/>
  <c r="X150" i="1"/>
  <c r="P150" i="1"/>
  <c r="Z150" i="1"/>
  <c r="R150" i="1"/>
  <c r="AA150" i="1"/>
  <c r="S150" i="1"/>
  <c r="AB150" i="1"/>
  <c r="T150" i="1"/>
  <c r="AC150" i="1"/>
  <c r="T149" i="1"/>
  <c r="AB149" i="1"/>
  <c r="P149" i="1"/>
  <c r="Y149" i="1"/>
  <c r="Q149" i="1"/>
  <c r="Z149" i="1"/>
  <c r="R149" i="1"/>
  <c r="AA149" i="1"/>
  <c r="S149" i="1"/>
  <c r="AH149" i="1" s="1"/>
  <c r="AC149" i="1"/>
  <c r="U149" i="1"/>
  <c r="Q101" i="1"/>
  <c r="Y101" i="1"/>
  <c r="R101" i="1"/>
  <c r="Z101" i="1"/>
  <c r="S101" i="1"/>
  <c r="AA101" i="1"/>
  <c r="T101" i="1"/>
  <c r="AB101" i="1"/>
  <c r="U101" i="1"/>
  <c r="AC101" i="1"/>
  <c r="P101" i="1"/>
  <c r="AH101" i="1" s="1"/>
  <c r="V101" i="1"/>
  <c r="W101" i="1"/>
  <c r="X101" i="1"/>
  <c r="AC262" i="1"/>
  <c r="U262" i="1"/>
  <c r="Y238" i="1"/>
  <c r="Q238" i="1"/>
  <c r="AC234" i="1"/>
  <c r="U234" i="1"/>
  <c r="Y230" i="1"/>
  <c r="Q230" i="1"/>
  <c r="Z212" i="1"/>
  <c r="Q212" i="1"/>
  <c r="Z211" i="1"/>
  <c r="Q211" i="1"/>
  <c r="V209" i="1"/>
  <c r="T208" i="1"/>
  <c r="AB208" i="1"/>
  <c r="AC204" i="1"/>
  <c r="S204" i="1"/>
  <c r="Z203" i="1"/>
  <c r="P203" i="1"/>
  <c r="AC201" i="1"/>
  <c r="S201" i="1"/>
  <c r="Z200" i="1"/>
  <c r="P200" i="1"/>
  <c r="T185" i="1"/>
  <c r="S184" i="1"/>
  <c r="AH184" i="1" s="1"/>
  <c r="AA184" i="1"/>
  <c r="T184" i="1"/>
  <c r="AB184" i="1"/>
  <c r="U184" i="1"/>
  <c r="AC184" i="1"/>
  <c r="AH183" i="1"/>
  <c r="X182" i="1"/>
  <c r="S177" i="1"/>
  <c r="X176" i="1"/>
  <c r="AH172" i="1"/>
  <c r="AH165" i="1"/>
  <c r="W157" i="1"/>
  <c r="AH142" i="1"/>
  <c r="AH138" i="1"/>
  <c r="R127" i="1"/>
  <c r="AA119" i="1"/>
  <c r="AC270" i="1"/>
  <c r="U270" i="1"/>
  <c r="AC267" i="1"/>
  <c r="U267" i="1"/>
  <c r="AB262" i="1"/>
  <c r="T262" i="1"/>
  <c r="AH262" i="1" s="1"/>
  <c r="AC239" i="1"/>
  <c r="U239" i="1"/>
  <c r="X238" i="1"/>
  <c r="P238" i="1"/>
  <c r="AB234" i="1"/>
  <c r="T234" i="1"/>
  <c r="AC231" i="1"/>
  <c r="U231" i="1"/>
  <c r="X230" i="1"/>
  <c r="P230" i="1"/>
  <c r="Y212" i="1"/>
  <c r="Y211" i="1"/>
  <c r="P211" i="1"/>
  <c r="AH211" i="1" s="1"/>
  <c r="U209" i="1"/>
  <c r="V208" i="1"/>
  <c r="AB204" i="1"/>
  <c r="R204" i="1"/>
  <c r="Y203" i="1"/>
  <c r="AB201" i="1"/>
  <c r="P201" i="1"/>
  <c r="AH201" i="1" s="1"/>
  <c r="Y200" i="1"/>
  <c r="AH199" i="1"/>
  <c r="AH189" i="1"/>
  <c r="S185" i="1"/>
  <c r="X184" i="1"/>
  <c r="W182" i="1"/>
  <c r="O180" i="1"/>
  <c r="W180" i="1"/>
  <c r="P180" i="1"/>
  <c r="X180" i="1"/>
  <c r="Q180" i="1"/>
  <c r="Y180" i="1"/>
  <c r="AC177" i="1"/>
  <c r="W176" i="1"/>
  <c r="V157" i="1"/>
  <c r="U124" i="1"/>
  <c r="AC124" i="1"/>
  <c r="P124" i="1"/>
  <c r="AH124" i="1" s="1"/>
  <c r="X124" i="1"/>
  <c r="Q124" i="1"/>
  <c r="Y124" i="1"/>
  <c r="R124" i="1"/>
  <c r="S124" i="1"/>
  <c r="T124" i="1"/>
  <c r="V124" i="1"/>
  <c r="W124" i="1"/>
  <c r="Z119" i="1"/>
  <c r="W238" i="1"/>
  <c r="O238" i="1"/>
  <c r="S234" i="1"/>
  <c r="AH234" i="1" s="1"/>
  <c r="W230" i="1"/>
  <c r="O230" i="1"/>
  <c r="P212" i="1"/>
  <c r="AH212" i="1" s="1"/>
  <c r="X212" i="1"/>
  <c r="X211" i="1"/>
  <c r="AC209" i="1"/>
  <c r="T209" i="1"/>
  <c r="AA204" i="1"/>
  <c r="S203" i="1"/>
  <c r="AA203" i="1"/>
  <c r="T203" i="1"/>
  <c r="AB203" i="1"/>
  <c r="AH202" i="1"/>
  <c r="AA201" i="1"/>
  <c r="T200" i="1"/>
  <c r="AB200" i="1"/>
  <c r="U200" i="1"/>
  <c r="AC200" i="1"/>
  <c r="AC185" i="1"/>
  <c r="V182" i="1"/>
  <c r="P177" i="1"/>
  <c r="AH177" i="1" s="1"/>
  <c r="X177" i="1"/>
  <c r="Q177" i="1"/>
  <c r="Y177" i="1"/>
  <c r="R177" i="1"/>
  <c r="Z177" i="1"/>
  <c r="V176" i="1"/>
  <c r="AH164" i="1"/>
  <c r="AH159" i="1"/>
  <c r="AH141" i="1"/>
  <c r="AH133" i="1"/>
  <c r="U127" i="1"/>
  <c r="AC127" i="1"/>
  <c r="P127" i="1"/>
  <c r="AH127" i="1" s="1"/>
  <c r="X127" i="1"/>
  <c r="Q127" i="1"/>
  <c r="Y127" i="1"/>
  <c r="S127" i="1"/>
  <c r="T127" i="1"/>
  <c r="V127" i="1"/>
  <c r="W127" i="1"/>
  <c r="Z127" i="1"/>
  <c r="AH121" i="1"/>
  <c r="AH108" i="1"/>
  <c r="AH218" i="1"/>
  <c r="S211" i="1"/>
  <c r="AA211" i="1"/>
  <c r="P204" i="1"/>
  <c r="X204" i="1"/>
  <c r="Q204" i="1"/>
  <c r="Y204" i="1"/>
  <c r="Q201" i="1"/>
  <c r="Y201" i="1"/>
  <c r="R201" i="1"/>
  <c r="Z201" i="1"/>
  <c r="P185" i="1"/>
  <c r="AH185" i="1" s="1"/>
  <c r="X185" i="1"/>
  <c r="Q185" i="1"/>
  <c r="Y185" i="1"/>
  <c r="R185" i="1"/>
  <c r="Z185" i="1"/>
  <c r="U182" i="1"/>
  <c r="R176" i="1"/>
  <c r="AH160" i="1"/>
  <c r="U157" i="1"/>
  <c r="AC157" i="1"/>
  <c r="O157" i="1"/>
  <c r="AH157" i="1" s="1"/>
  <c r="X157" i="1"/>
  <c r="P157" i="1"/>
  <c r="Y157" i="1"/>
  <c r="Q157" i="1"/>
  <c r="Z157" i="1"/>
  <c r="R157" i="1"/>
  <c r="AA157" i="1"/>
  <c r="S157" i="1"/>
  <c r="AB157" i="1"/>
  <c r="X149" i="1"/>
  <c r="AH144" i="1"/>
  <c r="T119" i="1"/>
  <c r="AB119" i="1"/>
  <c r="O119" i="1"/>
  <c r="W119" i="1"/>
  <c r="P119" i="1"/>
  <c r="X119" i="1"/>
  <c r="Q119" i="1"/>
  <c r="AC119" i="1"/>
  <c r="R119" i="1"/>
  <c r="S119" i="1"/>
  <c r="U119" i="1"/>
  <c r="V119" i="1"/>
  <c r="P96" i="1"/>
  <c r="AH96" i="1" s="1"/>
  <c r="X96" i="1"/>
  <c r="Q96" i="1"/>
  <c r="Y96" i="1"/>
  <c r="R96" i="1"/>
  <c r="Z96" i="1"/>
  <c r="S96" i="1"/>
  <c r="AA96" i="1"/>
  <c r="T96" i="1"/>
  <c r="AB96" i="1"/>
  <c r="U96" i="1"/>
  <c r="V96" i="1"/>
  <c r="W96" i="1"/>
  <c r="AC96" i="1"/>
  <c r="AA302" i="1"/>
  <c r="AH302" i="1" s="1"/>
  <c r="Z270" i="1"/>
  <c r="AH270" i="1" s="1"/>
  <c r="Z267" i="1"/>
  <c r="AA264" i="1"/>
  <c r="AH264" i="1" s="1"/>
  <c r="Y262" i="1"/>
  <c r="Z239" i="1"/>
  <c r="AC238" i="1"/>
  <c r="AA236" i="1"/>
  <c r="AH236" i="1" s="1"/>
  <c r="Y234" i="1"/>
  <c r="Z231" i="1"/>
  <c r="AH231" i="1" s="1"/>
  <c r="AC230" i="1"/>
  <c r="AA228" i="1"/>
  <c r="U212" i="1"/>
  <c r="V211" i="1"/>
  <c r="AA209" i="1"/>
  <c r="R209" i="1"/>
  <c r="AA208" i="1"/>
  <c r="R208" i="1"/>
  <c r="AH208" i="1" s="1"/>
  <c r="R206" i="1"/>
  <c r="AH206" i="1" s="1"/>
  <c r="Z206" i="1"/>
  <c r="S206" i="1"/>
  <c r="AA206" i="1"/>
  <c r="W204" i="1"/>
  <c r="V203" i="1"/>
  <c r="W201" i="1"/>
  <c r="V200" i="1"/>
  <c r="AH191" i="1"/>
  <c r="AA185" i="1"/>
  <c r="R184" i="1"/>
  <c r="T182" i="1"/>
  <c r="V180" i="1"/>
  <c r="AH178" i="1"/>
  <c r="W177" i="1"/>
  <c r="Q176" i="1"/>
  <c r="AH176" i="1" s="1"/>
  <c r="AH167" i="1"/>
  <c r="W150" i="1"/>
  <c r="W149" i="1"/>
  <c r="AH136" i="1"/>
  <c r="S155" i="1"/>
  <c r="AA155" i="1"/>
  <c r="U154" i="1"/>
  <c r="AC154" i="1"/>
  <c r="P153" i="1"/>
  <c r="AH153" i="1" s="1"/>
  <c r="X153" i="1"/>
  <c r="X152" i="1"/>
  <c r="U146" i="1"/>
  <c r="AC146" i="1"/>
  <c r="P145" i="1"/>
  <c r="AH145" i="1" s="1"/>
  <c r="X145" i="1"/>
  <c r="T130" i="1"/>
  <c r="AB130" i="1"/>
  <c r="O130" i="1"/>
  <c r="W130" i="1"/>
  <c r="P130" i="1"/>
  <c r="X130" i="1"/>
  <c r="AC118" i="1"/>
  <c r="AH95" i="1"/>
  <c r="S152" i="1"/>
  <c r="AH152" i="1" s="1"/>
  <c r="AA152" i="1"/>
  <c r="AH132" i="1"/>
  <c r="O118" i="1"/>
  <c r="W118" i="1"/>
  <c r="R118" i="1"/>
  <c r="Z118" i="1"/>
  <c r="S118" i="1"/>
  <c r="AA118" i="1"/>
  <c r="U155" i="1"/>
  <c r="T154" i="1"/>
  <c r="U153" i="1"/>
  <c r="V152" i="1"/>
  <c r="T146" i="1"/>
  <c r="U145" i="1"/>
  <c r="P123" i="1"/>
  <c r="X123" i="1"/>
  <c r="S123" i="1"/>
  <c r="AA123" i="1"/>
  <c r="T123" i="1"/>
  <c r="AB123" i="1"/>
  <c r="Q120" i="1"/>
  <c r="Y120" i="1"/>
  <c r="T120" i="1"/>
  <c r="AB120" i="1"/>
  <c r="U120" i="1"/>
  <c r="AC120" i="1"/>
  <c r="Y118" i="1"/>
  <c r="AH111" i="1"/>
  <c r="AH103" i="1"/>
  <c r="AH100" i="1"/>
  <c r="AH94" i="1"/>
  <c r="AC181" i="1"/>
  <c r="U181" i="1"/>
  <c r="AC155" i="1"/>
  <c r="T155" i="1"/>
  <c r="AB154" i="1"/>
  <c r="S154" i="1"/>
  <c r="AC153" i="1"/>
  <c r="T153" i="1"/>
  <c r="U152" i="1"/>
  <c r="AB146" i="1"/>
  <c r="S146" i="1"/>
  <c r="AC145" i="1"/>
  <c r="T145" i="1"/>
  <c r="V130" i="1"/>
  <c r="O126" i="1"/>
  <c r="AH126" i="1" s="1"/>
  <c r="W126" i="1"/>
  <c r="R126" i="1"/>
  <c r="Z126" i="1"/>
  <c r="S126" i="1"/>
  <c r="AA126" i="1"/>
  <c r="Y123" i="1"/>
  <c r="X120" i="1"/>
  <c r="X118" i="1"/>
  <c r="AH113" i="1"/>
  <c r="AH110" i="1"/>
  <c r="AH106" i="1"/>
  <c r="AH102" i="1"/>
  <c r="O99" i="1"/>
  <c r="W99" i="1"/>
  <c r="P99" i="1"/>
  <c r="X99" i="1"/>
  <c r="Q99" i="1"/>
  <c r="Y99" i="1"/>
  <c r="R99" i="1"/>
  <c r="Z99" i="1"/>
  <c r="S99" i="1"/>
  <c r="AA99" i="1"/>
  <c r="AH89" i="1"/>
  <c r="AC205" i="1"/>
  <c r="AH205" i="1" s="1"/>
  <c r="AC186" i="1"/>
  <c r="AH186" i="1" s="1"/>
  <c r="AB181" i="1"/>
  <c r="AH181" i="1" s="1"/>
  <c r="AC178" i="1"/>
  <c r="AC159" i="1"/>
  <c r="R158" i="1"/>
  <c r="Z158" i="1"/>
  <c r="AB155" i="1"/>
  <c r="R155" i="1"/>
  <c r="AH155" i="1" s="1"/>
  <c r="AA154" i="1"/>
  <c r="R154" i="1"/>
  <c r="AH154" i="1" s="1"/>
  <c r="AB153" i="1"/>
  <c r="S153" i="1"/>
  <c r="AC152" i="1"/>
  <c r="T152" i="1"/>
  <c r="AA146" i="1"/>
  <c r="R146" i="1"/>
  <c r="AH146" i="1" s="1"/>
  <c r="AB145" i="1"/>
  <c r="S145" i="1"/>
  <c r="AH140" i="1"/>
  <c r="U130" i="1"/>
  <c r="O129" i="1"/>
  <c r="W129" i="1"/>
  <c r="R129" i="1"/>
  <c r="Z129" i="1"/>
  <c r="S129" i="1"/>
  <c r="AA129" i="1"/>
  <c r="Y126" i="1"/>
  <c r="W123" i="1"/>
  <c r="W120" i="1"/>
  <c r="V118" i="1"/>
  <c r="AH114" i="1"/>
  <c r="AH105" i="1"/>
  <c r="AH97" i="1"/>
  <c r="AH86" i="1"/>
  <c r="AC128" i="1"/>
  <c r="U128" i="1"/>
  <c r="AC125" i="1"/>
  <c r="U125" i="1"/>
  <c r="AC117" i="1"/>
  <c r="U117" i="1"/>
  <c r="AH117" i="1" s="1"/>
  <c r="AC98" i="1"/>
  <c r="U98" i="1"/>
  <c r="S90" i="1"/>
  <c r="O90" i="1"/>
  <c r="W90" i="1"/>
  <c r="AH66" i="1"/>
  <c r="AB98" i="1"/>
  <c r="T98" i="1"/>
  <c r="AC95" i="1"/>
  <c r="U95" i="1"/>
  <c r="V92" i="1"/>
  <c r="T91" i="1"/>
  <c r="AH91" i="1" s="1"/>
  <c r="AB91" i="1"/>
  <c r="X90" i="1"/>
  <c r="AH85" i="1"/>
  <c r="AC100" i="1"/>
  <c r="U100" i="1"/>
  <c r="AA98" i="1"/>
  <c r="S98" i="1"/>
  <c r="AB95" i="1"/>
  <c r="T95" i="1"/>
  <c r="AC92" i="1"/>
  <c r="U92" i="1"/>
  <c r="V91" i="1"/>
  <c r="V90" i="1"/>
  <c r="AH6" i="1"/>
  <c r="Z128" i="1"/>
  <c r="Z125" i="1"/>
  <c r="AA122" i="1"/>
  <c r="AH122" i="1" s="1"/>
  <c r="Z117" i="1"/>
  <c r="AB100" i="1"/>
  <c r="Z98" i="1"/>
  <c r="AC97" i="1"/>
  <c r="AA95" i="1"/>
  <c r="AB92" i="1"/>
  <c r="T92" i="1"/>
  <c r="AH92" i="1" s="1"/>
  <c r="U91" i="1"/>
  <c r="U90" i="1"/>
  <c r="Y73" i="1"/>
  <c r="Q73" i="1"/>
  <c r="AB72" i="1"/>
  <c r="T72" i="1"/>
  <c r="W71" i="1"/>
  <c r="O71" i="1"/>
  <c r="Z70" i="1"/>
  <c r="AC69" i="1"/>
  <c r="U69" i="1"/>
  <c r="AH69" i="1" s="1"/>
  <c r="X68" i="1"/>
  <c r="P68" i="1"/>
  <c r="AA67" i="1"/>
  <c r="S67" i="1"/>
  <c r="Y65" i="1"/>
  <c r="Q65" i="1"/>
  <c r="AB64" i="1"/>
  <c r="T64" i="1"/>
  <c r="W63" i="1"/>
  <c r="O63" i="1"/>
  <c r="Z62" i="1"/>
  <c r="AH62" i="1" s="1"/>
  <c r="X38" i="1"/>
  <c r="P38" i="1"/>
  <c r="AA37" i="1"/>
  <c r="S37" i="1"/>
  <c r="Y35" i="1"/>
  <c r="Q35" i="1"/>
  <c r="W33" i="1"/>
  <c r="O33" i="1"/>
  <c r="AA32" i="1"/>
  <c r="S32" i="1"/>
  <c r="W31" i="1"/>
  <c r="O31" i="1"/>
  <c r="AH31" i="1" s="1"/>
  <c r="W29" i="1"/>
  <c r="O29" i="1"/>
  <c r="AA28" i="1"/>
  <c r="S28" i="1"/>
  <c r="W27" i="1"/>
  <c r="O27" i="1"/>
  <c r="AA26" i="1"/>
  <c r="S26" i="1"/>
  <c r="W25" i="1"/>
  <c r="O25" i="1"/>
  <c r="AA24" i="1"/>
  <c r="S24" i="1"/>
  <c r="W23" i="1"/>
  <c r="O23" i="1"/>
  <c r="AA22" i="1"/>
  <c r="S22" i="1"/>
  <c r="W21" i="1"/>
  <c r="O21" i="1"/>
  <c r="AA20" i="1"/>
  <c r="S20" i="1"/>
  <c r="V1" i="1"/>
  <c r="Z28" i="1"/>
  <c r="R28" i="1"/>
  <c r="Z26" i="1"/>
  <c r="R26" i="1"/>
  <c r="Z24" i="1"/>
  <c r="R24" i="1"/>
  <c r="Z22" i="1"/>
  <c r="R22" i="1"/>
  <c r="Z20" i="1"/>
  <c r="R20" i="1"/>
  <c r="W73" i="1"/>
  <c r="O73" i="1"/>
  <c r="Z72" i="1"/>
  <c r="R72" i="1"/>
  <c r="AC71" i="1"/>
  <c r="U71" i="1"/>
  <c r="Y67" i="1"/>
  <c r="Q67" i="1"/>
  <c r="W65" i="1"/>
  <c r="O65" i="1"/>
  <c r="Z64" i="1"/>
  <c r="R64" i="1"/>
  <c r="AC63" i="1"/>
  <c r="U63" i="1"/>
  <c r="Y37" i="1"/>
  <c r="Q37" i="1"/>
  <c r="W35" i="1"/>
  <c r="O35" i="1"/>
  <c r="AC33" i="1"/>
  <c r="U33" i="1"/>
  <c r="Y32" i="1"/>
  <c r="Q32" i="1"/>
  <c r="AC31" i="1"/>
  <c r="U31" i="1"/>
  <c r="AC29" i="1"/>
  <c r="U29" i="1"/>
  <c r="Y28" i="1"/>
  <c r="Q28" i="1"/>
  <c r="AC27" i="1"/>
  <c r="U27" i="1"/>
  <c r="Y26" i="1"/>
  <c r="Q26" i="1"/>
  <c r="AC25" i="1"/>
  <c r="U25" i="1"/>
  <c r="Y24" i="1"/>
  <c r="Q24" i="1"/>
  <c r="AC23" i="1"/>
  <c r="U23" i="1"/>
  <c r="Y22" i="1"/>
  <c r="Q22" i="1"/>
  <c r="AC21" i="1"/>
  <c r="U21" i="1"/>
  <c r="Y20" i="1"/>
  <c r="Q20" i="1"/>
  <c r="AB1" i="1"/>
  <c r="T1" i="1"/>
  <c r="Y72" i="1"/>
  <c r="Q72" i="1"/>
  <c r="AB71" i="1"/>
  <c r="T71" i="1"/>
  <c r="AC68" i="1"/>
  <c r="U68" i="1"/>
  <c r="X67" i="1"/>
  <c r="P67" i="1"/>
  <c r="Y64" i="1"/>
  <c r="Q64" i="1"/>
  <c r="AB63" i="1"/>
  <c r="T63" i="1"/>
  <c r="AC38" i="1"/>
  <c r="U38" i="1"/>
  <c r="X37" i="1"/>
  <c r="P37" i="1"/>
  <c r="AB33" i="1"/>
  <c r="T33" i="1"/>
  <c r="X32" i="1"/>
  <c r="P32" i="1"/>
  <c r="AB31" i="1"/>
  <c r="T31" i="1"/>
  <c r="AB29" i="1"/>
  <c r="T29" i="1"/>
  <c r="X28" i="1"/>
  <c r="P28" i="1"/>
  <c r="AB27" i="1"/>
  <c r="T27" i="1"/>
  <c r="X26" i="1"/>
  <c r="P26" i="1"/>
  <c r="AB25" i="1"/>
  <c r="T25" i="1"/>
  <c r="X24" i="1"/>
  <c r="P24" i="1"/>
  <c r="AB23" i="1"/>
  <c r="T23" i="1"/>
  <c r="X22" i="1"/>
  <c r="P22" i="1"/>
  <c r="AB21" i="1"/>
  <c r="T21" i="1"/>
  <c r="X20" i="1"/>
  <c r="P20" i="1"/>
  <c r="Z74" i="1"/>
  <c r="AH74" i="1" s="1"/>
  <c r="AC73" i="1"/>
  <c r="U73" i="1"/>
  <c r="X72" i="1"/>
  <c r="P72" i="1"/>
  <c r="AA71" i="1"/>
  <c r="S71" i="1"/>
  <c r="Y69" i="1"/>
  <c r="AB68" i="1"/>
  <c r="T68" i="1"/>
  <c r="W67" i="1"/>
  <c r="O67" i="1"/>
  <c r="Z66" i="1"/>
  <c r="AC65" i="1"/>
  <c r="U65" i="1"/>
  <c r="X64" i="1"/>
  <c r="P64" i="1"/>
  <c r="AA63" i="1"/>
  <c r="S63" i="1"/>
  <c r="AB38" i="1"/>
  <c r="T38" i="1"/>
  <c r="W37" i="1"/>
  <c r="O37" i="1"/>
  <c r="Z36" i="1"/>
  <c r="AH36" i="1" s="1"/>
  <c r="AC35" i="1"/>
  <c r="U35" i="1"/>
  <c r="AA33" i="1"/>
  <c r="S33" i="1"/>
  <c r="W32" i="1"/>
  <c r="O32" i="1"/>
  <c r="AA31" i="1"/>
  <c r="S31" i="1"/>
  <c r="AA29" i="1"/>
  <c r="S29" i="1"/>
  <c r="W28" i="1"/>
  <c r="O28" i="1"/>
  <c r="AA27" i="1"/>
  <c r="S27" i="1"/>
  <c r="W26" i="1"/>
  <c r="O26" i="1"/>
  <c r="AA25" i="1"/>
  <c r="S25" i="1"/>
  <c r="W24" i="1"/>
  <c r="O24" i="1"/>
  <c r="AA23" i="1"/>
  <c r="S23" i="1"/>
  <c r="W22" i="1"/>
  <c r="O22" i="1"/>
  <c r="AA21" i="1"/>
  <c r="S21" i="1"/>
  <c r="W20" i="1"/>
  <c r="O20" i="1"/>
  <c r="Z71" i="1"/>
  <c r="R71" i="1"/>
  <c r="Z63" i="1"/>
  <c r="R63" i="1"/>
  <c r="Z33" i="1"/>
  <c r="R33" i="1"/>
  <c r="Z31" i="1"/>
  <c r="R31" i="1"/>
  <c r="Y71" i="1"/>
  <c r="Q71" i="1"/>
  <c r="AC67" i="1"/>
  <c r="U67" i="1"/>
  <c r="Y63" i="1"/>
  <c r="Q63" i="1"/>
  <c r="Z38" i="1"/>
  <c r="R38" i="1"/>
  <c r="AC37" i="1"/>
  <c r="U37" i="1"/>
  <c r="AA35" i="1"/>
  <c r="S35" i="1"/>
  <c r="Y33" i="1"/>
  <c r="Q33" i="1"/>
  <c r="AC32" i="1"/>
  <c r="U32" i="1"/>
  <c r="Y31" i="1"/>
  <c r="Q31" i="1"/>
  <c r="Y29" i="1"/>
  <c r="Q29" i="1"/>
  <c r="AC28" i="1"/>
  <c r="U28" i="1"/>
  <c r="Y27" i="1"/>
  <c r="Q27" i="1"/>
  <c r="AC26" i="1"/>
  <c r="U26" i="1"/>
  <c r="Y25" i="1"/>
  <c r="Q25" i="1"/>
  <c r="AC24" i="1"/>
  <c r="U24" i="1"/>
  <c r="Y23" i="1"/>
  <c r="Q23" i="1"/>
  <c r="AC22" i="1"/>
  <c r="U22" i="1"/>
  <c r="Y21" i="1"/>
  <c r="Q21" i="1"/>
  <c r="AC20" i="1"/>
  <c r="U20" i="1"/>
  <c r="Z73" i="1"/>
  <c r="AC72" i="1"/>
  <c r="X71" i="1"/>
  <c r="Y68" i="1"/>
  <c r="AB67" i="1"/>
  <c r="Z65" i="1"/>
  <c r="AC64" i="1"/>
  <c r="X63" i="1"/>
  <c r="Y38" i="1"/>
  <c r="AB37" i="1"/>
  <c r="Z35" i="1"/>
  <c r="X33" i="1"/>
  <c r="AB32" i="1"/>
  <c r="X31" i="1"/>
  <c r="X29" i="1"/>
  <c r="AB28" i="1"/>
  <c r="X27" i="1"/>
  <c r="AB26" i="1"/>
  <c r="X25" i="1"/>
  <c r="AB24" i="1"/>
  <c r="X23" i="1"/>
  <c r="AB22" i="1"/>
  <c r="X21" i="1"/>
  <c r="AB20" i="1"/>
  <c r="AH120" i="1" l="1"/>
  <c r="AH119" i="1"/>
  <c r="AH260" i="1"/>
  <c r="AH273" i="1"/>
  <c r="AH294" i="1"/>
  <c r="AH288" i="1"/>
  <c r="AH300" i="1"/>
  <c r="AH420" i="1"/>
  <c r="AH555" i="1"/>
  <c r="AH543" i="1"/>
  <c r="AH609" i="1"/>
  <c r="AH588" i="1"/>
  <c r="AH610" i="1"/>
  <c r="AH676" i="1"/>
  <c r="AH674" i="1"/>
  <c r="AH685" i="1"/>
  <c r="AH675" i="1"/>
  <c r="AH835" i="1"/>
  <c r="AH807" i="1"/>
  <c r="AH735" i="1"/>
  <c r="O232" i="1"/>
  <c r="W232" i="1"/>
  <c r="P232" i="1"/>
  <c r="X232" i="1"/>
  <c r="Q232" i="1"/>
  <c r="Y232" i="1"/>
  <c r="R232" i="1"/>
  <c r="Z232" i="1"/>
  <c r="S232" i="1"/>
  <c r="AA232" i="1"/>
  <c r="T232" i="1"/>
  <c r="AB232" i="1"/>
  <c r="U232" i="1"/>
  <c r="V232" i="1"/>
  <c r="AC232" i="1"/>
  <c r="AH22" i="1"/>
  <c r="AH27" i="1"/>
  <c r="AH150" i="1"/>
  <c r="AH421" i="1"/>
  <c r="AH174" i="1"/>
  <c r="AH517" i="1"/>
  <c r="AH93" i="1"/>
  <c r="AH579" i="1"/>
  <c r="AH826" i="1"/>
  <c r="AH200" i="1"/>
  <c r="AH32" i="1"/>
  <c r="AH129" i="1"/>
  <c r="AH204" i="1"/>
  <c r="AH261" i="1"/>
  <c r="AH268" i="1"/>
  <c r="AH551" i="1"/>
  <c r="AH688" i="1"/>
  <c r="AH725" i="1"/>
  <c r="AH612" i="1"/>
  <c r="AH802" i="1"/>
  <c r="AH23" i="1"/>
  <c r="AH71" i="1"/>
  <c r="AH158" i="1"/>
  <c r="AH72" i="1"/>
  <c r="AH90" i="1"/>
  <c r="V290" i="1"/>
  <c r="Q290" i="1"/>
  <c r="Y290" i="1"/>
  <c r="R290" i="1"/>
  <c r="AB290" i="1"/>
  <c r="S290" i="1"/>
  <c r="AC290" i="1"/>
  <c r="T290" i="1"/>
  <c r="U290" i="1"/>
  <c r="W290" i="1"/>
  <c r="Z290" i="1"/>
  <c r="AA290" i="1"/>
  <c r="O290" i="1"/>
  <c r="P290" i="1"/>
  <c r="X290" i="1"/>
  <c r="AH514" i="1"/>
  <c r="AH266" i="1"/>
  <c r="AH477" i="1"/>
  <c r="AH584" i="1"/>
  <c r="AH585" i="1"/>
  <c r="AH655" i="1"/>
  <c r="AH723" i="1"/>
  <c r="AH740" i="1"/>
  <c r="AH657" i="1"/>
  <c r="AH732" i="1"/>
  <c r="AH801" i="1"/>
  <c r="AH833" i="1"/>
  <c r="AH729" i="1"/>
  <c r="AH763" i="1"/>
  <c r="AH26" i="1"/>
  <c r="AH37" i="1"/>
  <c r="AH38" i="1"/>
  <c r="AH125" i="1"/>
  <c r="AH230" i="1"/>
  <c r="AH99" i="1"/>
  <c r="AH118" i="1"/>
  <c r="AH33" i="1"/>
  <c r="AH98" i="1"/>
  <c r="AH128" i="1"/>
  <c r="AH180" i="1"/>
  <c r="AH203" i="1"/>
  <c r="AH148" i="1"/>
  <c r="AH265" i="1"/>
  <c r="AH488" i="1"/>
  <c r="AH20" i="1"/>
  <c r="AH24" i="1"/>
  <c r="AH28" i="1"/>
  <c r="AH67" i="1"/>
  <c r="AH63" i="1"/>
  <c r="AH68" i="1"/>
  <c r="AH238" i="1"/>
  <c r="S291" i="1"/>
  <c r="AA291" i="1"/>
  <c r="V291" i="1"/>
  <c r="R291" i="1"/>
  <c r="AC291" i="1"/>
  <c r="T291" i="1"/>
  <c r="U291" i="1"/>
  <c r="W291" i="1"/>
  <c r="X291" i="1"/>
  <c r="Z291" i="1"/>
  <c r="AB291" i="1"/>
  <c r="O291" i="1"/>
  <c r="P291" i="1"/>
  <c r="Q291" i="1"/>
  <c r="Y291" i="1"/>
  <c r="AH446" i="1"/>
  <c r="AH445" i="1"/>
  <c r="AH448" i="1"/>
  <c r="AH447" i="1"/>
  <c r="AH269" i="1"/>
  <c r="AH640" i="1"/>
  <c r="AH679" i="1"/>
  <c r="AH691" i="1"/>
  <c r="AH728" i="1"/>
  <c r="AH680" i="1"/>
  <c r="AH759" i="1"/>
  <c r="AH795" i="1"/>
  <c r="AH689" i="1"/>
  <c r="AH737" i="1"/>
  <c r="AH799" i="1"/>
  <c r="AH21" i="1"/>
  <c r="AH25" i="1"/>
  <c r="AH29" i="1"/>
  <c r="AH130" i="1"/>
  <c r="T233" i="1"/>
  <c r="AB233" i="1"/>
  <c r="U233" i="1"/>
  <c r="AC233" i="1"/>
  <c r="V233" i="1"/>
  <c r="O233" i="1"/>
  <c r="AH233" i="1" s="1"/>
  <c r="W233" i="1"/>
  <c r="P233" i="1"/>
  <c r="X233" i="1"/>
  <c r="Q233" i="1"/>
  <c r="Y233" i="1"/>
  <c r="R233" i="1"/>
  <c r="S233" i="1"/>
  <c r="Z233" i="1"/>
  <c r="AA233" i="1"/>
  <c r="AH271" i="1"/>
  <c r="AH297" i="1"/>
  <c r="AH455" i="1"/>
  <c r="AH207" i="1"/>
  <c r="AH296" i="1"/>
  <c r="AH576" i="1"/>
  <c r="AH590" i="1"/>
  <c r="AH582" i="1"/>
  <c r="AH648" i="1"/>
  <c r="AH796" i="1"/>
  <c r="AH804" i="1"/>
  <c r="AH771" i="1"/>
  <c r="AH721" i="1"/>
  <c r="AH64" i="1"/>
  <c r="AH646" i="1"/>
  <c r="AH35" i="1"/>
  <c r="AH65" i="1"/>
  <c r="AH73" i="1"/>
  <c r="AH123" i="1"/>
  <c r="AH298" i="1"/>
  <c r="AH293" i="1"/>
  <c r="AH430" i="1"/>
  <c r="AH240" i="1"/>
  <c r="AH453" i="1"/>
  <c r="AH289" i="1"/>
  <c r="AH295" i="1"/>
  <c r="AH722" i="1"/>
  <c r="AH643" i="1"/>
  <c r="AH682" i="1"/>
  <c r="AH720" i="1"/>
  <c r="AH731" i="1"/>
  <c r="AH793" i="1"/>
  <c r="AH809" i="1"/>
  <c r="AH825" i="1"/>
  <c r="AH644" i="1"/>
  <c r="AH739" i="1"/>
  <c r="AH764" i="1"/>
  <c r="AH734" i="1"/>
  <c r="AH3" i="1" l="1"/>
  <c r="AH232" i="1"/>
  <c r="AH291" i="1"/>
  <c r="AH290" i="1"/>
</calcChain>
</file>

<file path=xl/sharedStrings.xml><?xml version="1.0" encoding="utf-8"?>
<sst xmlns="http://schemas.openxmlformats.org/spreadsheetml/2006/main" count="3713" uniqueCount="874">
  <si>
    <t>Input above this line</t>
  </si>
  <si>
    <t>VNHBC71001030;SI, HI, UI  - Nguyen Thi Minh Ngoc-Dec/25- VND-5389074</t>
  </si>
  <si>
    <t>Nguyen Thi Minh Ngoc</t>
  </si>
  <si>
    <t>Service Center for Foreign Affairs</t>
  </si>
  <si>
    <t>VNBN7100102;SI, HI, UI  - Nguyen Thi Huong-Dec/25- VND-4160000</t>
  </si>
  <si>
    <t>Nguyen Thi Huong</t>
  </si>
  <si>
    <t>VNBN7100102;SI, HI, UI  - Nguyen Dang Hai Sam-Dec/25- VND-4160000</t>
  </si>
  <si>
    <t>Nguyen Dang Hai Sam</t>
  </si>
  <si>
    <t>VNHCM7100102;SI, HI, UI  - Mai Thi Mong Tuyen-Dec/25- VND-4160000</t>
  </si>
  <si>
    <t>Mai Thi Mong Tuyen</t>
  </si>
  <si>
    <t>VNQN7100102;SI, HI, UI  - Pham Thi Nhi Ca-Dec/25- VND-3976000</t>
  </si>
  <si>
    <t>Pham Thi Nhi Ca</t>
  </si>
  <si>
    <t>VNOther7100202;SI, HI, UI  - Nguyen Thi Hai-Dec/25- VND-1600000</t>
  </si>
  <si>
    <t>Nguyen Thi Hai</t>
  </si>
  <si>
    <t>VNLA7100102;SI, HI, UI  - Nguyen Thi Thuy Van-Dec/25- VND-4160000</t>
  </si>
  <si>
    <t>Nguyen Thi Thuy Van</t>
  </si>
  <si>
    <t>VNQN7100102;SI, HI, UI  - Nguyen Thi Thuy Na-Dec/25- VND-3604352</t>
  </si>
  <si>
    <t>Nguyen Thi Thuy Na</t>
  </si>
  <si>
    <t>VNHCM7100102;SI, HI, UI  - Mai Anh Thu-Dec/25- VND-4564352</t>
  </si>
  <si>
    <t>Mai Anh Thu</t>
  </si>
  <si>
    <t>VNHCM7100102;SI, HI, UI  - Nguyen Thi Nhung-Dec/25- VND-4564352</t>
  </si>
  <si>
    <t>Nguyen Thi Nhung</t>
  </si>
  <si>
    <t>VNHD7100102;SI, HI, UI  - Vu Thi Thu Thuy-Dec/25- VND-4069952</t>
  </si>
  <si>
    <t>Vu Thi Thu Thuy</t>
  </si>
  <si>
    <t>VNQN7100102;SI, HI, UI  - Ho Thi Mong Thu-Dec/25- VND-5039552</t>
  </si>
  <si>
    <t>Ho Thi Mong Thu</t>
  </si>
  <si>
    <t>VNDN7100102;SI, HI, UI  - Nguyen Thi Tram Anh-Dec/25- VND-4564352</t>
  </si>
  <si>
    <t>Nguyen Thi Tram Anh</t>
  </si>
  <si>
    <t>VNDN7100102;SI, HI, UI  - Vo Thi Quynh Thi-Dec/25- VND-6516352</t>
  </si>
  <si>
    <t>Vo Thi Quynh Thi</t>
  </si>
  <si>
    <t>VNDN7100102;SI, HI, UI  - Pham Thi Huyen-Dec/25- VND-5064512</t>
  </si>
  <si>
    <t>Pham Thi Huyen</t>
  </si>
  <si>
    <t>VNDN7100102;SI, HI, UI  - Mai Thi Kim Hang-Dec/25- VND-3984832</t>
  </si>
  <si>
    <t>Mai Thi Kim Hang</t>
  </si>
  <si>
    <t>VNOther7100402;SI, HI, UI  - Phan Thi Thao Nguyen-Dec/25- VND-15534950</t>
  </si>
  <si>
    <t>Phan Thi Thao Nguyen</t>
  </si>
  <si>
    <t>VNOther7100207;SI, HI, UI  - Nguyen Thi Thanh Thanh -Dec/25- VND-14094497</t>
  </si>
  <si>
    <t>Nguyen Thi Thanh Thanh</t>
  </si>
  <si>
    <t>VNMOET7100201;SI, HI, UI  - Huynh My Ngoc-Dec/25- VND-15117814</t>
  </si>
  <si>
    <t>Huynh My Ngoc</t>
  </si>
  <si>
    <t>VNMOET7100201;SI, HI, UI  - Bui Thi Huong-Dec/25- VND-15063924</t>
  </si>
  <si>
    <t>Bui Thi Huong</t>
  </si>
  <si>
    <t>VNMOET7100107;SI, HI, UI  - Truong Thi Hai-Dec/25- VND-15117814</t>
  </si>
  <si>
    <t>Truong Thi Hai</t>
  </si>
  <si>
    <t>VNMOET71002010;SI, HI, UI  - Phan Doan Kim Nhung-Dec/25- VND-6400558</t>
  </si>
  <si>
    <t>Phan Doan Kim Nhung</t>
  </si>
  <si>
    <t>VNHBC7100201;SI, HI, UI  - Pham Thi  Dieu Loan-Dec/25- VND-15316796</t>
  </si>
  <si>
    <t>Pham Thi  Dieu Loan</t>
  </si>
  <si>
    <t>VNMOET7100103;SI, HI, UI  - Hoang Thi Kieu Oanh-Dec/25- VND-8879531</t>
  </si>
  <si>
    <t>Hoang Thi Kieu Oanh</t>
  </si>
  <si>
    <t>VNOther7100202;SI, HI, UI  - Nguyen Hong Kim-Dec/25- VND-13970133</t>
  </si>
  <si>
    <t>Nguyen Hong Kim</t>
  </si>
  <si>
    <t>VNOther7100301;SI, HI, UI  - Maggie Huyen Nguyen-Dec/25- VND-15205906</t>
  </si>
  <si>
    <t>Maggie Huyen Nguyen</t>
  </si>
  <si>
    <t>VNHBC7100101;SI, HI, UI  - Tran Thi Que Chi-Dec/25- VND-15483132</t>
  </si>
  <si>
    <t>Tran Thi Que Chi</t>
  </si>
  <si>
    <t>VNOther7100401;SI, HI, UI  - Thuy Thi Bich Thuy Tran-Dec/25- VND-15333896</t>
  </si>
  <si>
    <t>Thuy Thi Bich Thuy Tran</t>
  </si>
  <si>
    <t>VNMOET;PIT NOV 2025</t>
  </si>
  <si>
    <t>MOET staff</t>
  </si>
  <si>
    <t>12/19/2025</t>
  </si>
  <si>
    <t>Vietnam Tax Company</t>
  </si>
  <si>
    <t>VNELC;PIT of Do Kim Dung March 2024</t>
  </si>
  <si>
    <t>Do Kim Dung</t>
  </si>
  <si>
    <t>VNMOET;PIT of Le Thi Thu Huyen March 2024</t>
  </si>
  <si>
    <t>Le Thi Thu Huyen</t>
  </si>
  <si>
    <t>VNBN7100102;SI, HI, UI  - Nguyen Thi Huong-Nov/25- VND-4160000</t>
  </si>
  <si>
    <t>VNBN7100102;SI, HI, UI  - Nguyen Dang Hai Sam-Nov/25- VND-4160000</t>
  </si>
  <si>
    <t>VNHCM7100102;SI, HI, UI  - Mai Thi Mong Tuyen-Nov/25- VND-4160000</t>
  </si>
  <si>
    <t>VNQN7100102;SI, HI, UI  - Pham Thi Nhi Ca-Nov/25- VND-3976000</t>
  </si>
  <si>
    <t>VNOther7100202;SI, HI, UI  - Nguyen Thi Hai-Nov/25- VND-1600000</t>
  </si>
  <si>
    <t>VNLA7100102;SI, HI, UI  - Nguyen Thi Thuy Van-Nov/25- VND-4160000</t>
  </si>
  <si>
    <t>VNLA7100102;SI, HI, UI  - Pham Thi Thanh Loan-Nov/25- VND0</t>
  </si>
  <si>
    <t>Pham Thi Thanh Loan</t>
  </si>
  <si>
    <t>VNQN7100102;SI, HI, UI  - Nguyen Thi Thuy Na-Nov/25- VND-3604352</t>
  </si>
  <si>
    <t>VNMOET7100206;SI, HI, UI  - Le Thi Thu Hanh-Nov/25- VND0</t>
  </si>
  <si>
    <t>Le Thi Thu Hanh</t>
  </si>
  <si>
    <t>VNHCM7100102;SI, HI, UI  - Mai Anh Thu-Nov/25- VND-4564352</t>
  </si>
  <si>
    <t>VNHCM7100102;SI, HI, UI  - Nguyen Thi Nhung-Nov/25- VND-4564352</t>
  </si>
  <si>
    <t>VNHD7100102;SI, HI, UI  - Vu Thi Thu Thuy-Nov/25- VND-4069952</t>
  </si>
  <si>
    <t>VNQN7100102;SI, HI, UI  - Truong Thi Diem Phuong-Nov/25- VND-4069952</t>
  </si>
  <si>
    <t>Truong Thi Diem Phuong</t>
  </si>
  <si>
    <t>VNQN7100102;SI, HI, UI  - Ho Thi Mong Thu-Nov/25- VND-5039552</t>
  </si>
  <si>
    <t>VNDN7100102;SI, HI, UI  - Nguyen Thi Tram Anh-Nov/25- VND-4564352</t>
  </si>
  <si>
    <t>VNDN7100102;SI, HI, UI  - Vo Thi Quynh Thi-Nov/25- VND-6516352</t>
  </si>
  <si>
    <t>VNDN7100102;SI, HI, UI  - Pham Thi Huyen-Nov/25- VND-5064512</t>
  </si>
  <si>
    <t>VNDN7100102;SI, HI, UI  - Mai Thi Kim Hang-Nov/25- VND-3984832</t>
  </si>
  <si>
    <t>VNOther7100402;SI, HI, UI  - Phan Thi Thao Nguyen-Nov/25- VND-15534950</t>
  </si>
  <si>
    <t>VNOther7100207;SI, HI, UI  - Nguyen Thi Thanh Thanh -Nov/25- VND-14094497</t>
  </si>
  <si>
    <t>VNMOET7100201;SI, HI, UI  - Huynh My Ngoc-Nov/25- VND-15117814</t>
  </si>
  <si>
    <t>VNMOET7100201;SI, HI, UI  - Bui Thi Huong-Nov/25- VND-15063924</t>
  </si>
  <si>
    <t>VNMOET7100107;SI, HI, UI  - Truong Thi Hai-Nov/25- VND-15117814</t>
  </si>
  <si>
    <t>VNHBC71001030;SI, HI, UI  - Phan Doan Kim Nhung-Nov/25- VND-6400558</t>
  </si>
  <si>
    <t>VNHBC7100201;SI, HI, UI  - Pham Thi  Dieu Loan-Nov/25- VND-15316796</t>
  </si>
  <si>
    <t>VNMOET7100103;SI, HI, UI  - Hoang Thi Kieu Oanh-Nov/25- VND-8879531</t>
  </si>
  <si>
    <t>VNOther7100202;SI, HI, UI  - Nguyen Hong Kim-Nov/25- VND-13970133</t>
  </si>
  <si>
    <t>VNOther7100301;SI, HI, UI  - Maggie Huyen Nguyen-Nov/25- VND-15205906</t>
  </si>
  <si>
    <t>VNHBC7100101;SI, HI, UI  - Tran Thi Que Chi-Nov/25- VND-15483132</t>
  </si>
  <si>
    <t>VNOther7100401;SI, HI, UI  - Thuy Thi Bich Thuy Tran-Nov/25- VND-15333896</t>
  </si>
  <si>
    <t>-</t>
  </si>
  <si>
    <t>VNBN7100102;PIT (EE) - Nguyen Dang Hai Sam-Oct/25- VND-38893</t>
  </si>
  <si>
    <t>11/19/2025</t>
  </si>
  <si>
    <t>VNBN7100102;PIT (EE) - Mai Thi Mong Tuyen-Oct/25- VND-38893</t>
  </si>
  <si>
    <t>VNQN7100102;PIT (EE) - Pham Thi Nhi Ca-Oct/25- VND-7913438</t>
  </si>
  <si>
    <t>VNOther7100202;PIT (EE) - Nguyen Thi Hai-Oct/25- VND0</t>
  </si>
  <si>
    <t>VNLA7100102;PIT (EE) - Nguyen Thi Thuy Van-Oct/25- VND-131750</t>
  </si>
  <si>
    <t>VNLA7100102;PIT (EE) - Pham Thi Thanh Loan-Oct/25- VND0</t>
  </si>
  <si>
    <t>VNQN7100102;PIT (EE) - Nguyen Thi Thuy Na-Oct/25- VND-7813111</t>
  </si>
  <si>
    <t>VNMOET7100206;PIT (EE) - Le Thi Thu Hanh-Oct/25- VND-17639481</t>
  </si>
  <si>
    <t>VNOther7100213; PIT - Dang Thanh Canh Oct/25 VND-812948</t>
  </si>
  <si>
    <t>Dang Thanh Canh</t>
  </si>
  <si>
    <t>VNHCM7100102;PIT (EE) - Mai Anh Thu-Oct/25- VND-18491</t>
  </si>
  <si>
    <t>VNHCM7100102;PIT (EE) - Nguyen Thi Nhung-Oct/25- VND-188296</t>
  </si>
  <si>
    <t>VNHD7100102;PIT (EE) - Vu Thi Thu Thuy-Oct/25- VND0</t>
  </si>
  <si>
    <t>VNQN7100102;PIT (EE) - Truong Thi Diem Phuong-Oct/25- VND-6556557</t>
  </si>
  <si>
    <t>VNQN7100102;PIT (EE) - Ho Thi Mong Thu-Oct/25- VND-6703620</t>
  </si>
  <si>
    <t>VNDN7100102;PIT (EE) - Nguyen Thi Tram Anh-Oct/25- VND-5506553</t>
  </si>
  <si>
    <t>VNDN7100102;PIT (EE) - Vo Thi Quynh Thi-Oct/25- VND-7180359</t>
  </si>
  <si>
    <t>VNDN7100102;PIT (EE) - Pham Thi Huyen-Oct/25- VND-5791481</t>
  </si>
  <si>
    <t>VNDN7100102;PIT (EE) - Mai Thi Kim Hang-Oct/25- VND-7936421</t>
  </si>
  <si>
    <t>VNLA7100102;PIT (EE) - Bui Thi Hong Hanh-Oct/25- VND-222483</t>
  </si>
  <si>
    <t>Bui Thi Hong Hanh</t>
  </si>
  <si>
    <t>VNOther7100402;PIT (EE) - Phan Thi Thao Nguyen-Oct/25- VND-9476998</t>
  </si>
  <si>
    <t>VNOther7100207;PIT (EE) - Nguyen Thi Thanh Thanh -Oct/25- VND-4170109</t>
  </si>
  <si>
    <t>VNMOET7100201;PIT (EE) - Huynh My Ngoc-Oct/25- VND-5334453</t>
  </si>
  <si>
    <t>VNMOET7100201;PIT (EE) - Bui Thi Huong-Oct/25- VND-4675724</t>
  </si>
  <si>
    <t>VNMOET7100107;PIT (EE) - Truong Thi Hai-Oct/25- VND-5334453</t>
  </si>
  <si>
    <t>VNHBC71001030;PIT (EE) - Phan Doan Kim Nhung-Oct/25- VND-140518</t>
  </si>
  <si>
    <t>VNHBC7100201;PIT (EE) - Pham Thi  Dieu Loan-Oct/25- VND-4578196</t>
  </si>
  <si>
    <t>VNMOET7100103;PIT (EE) - Hoang Thi Kieu Oanh-Oct/25- VND-1389501</t>
  </si>
  <si>
    <t>VNOther7100202;PIT (EE) - Nguyen Hong Kim-Oct/25- VND-2339343</t>
  </si>
  <si>
    <t>VNOther7100301;PIT (EE) - Maggie Huyen Nguyen-Oct/25- VND-5341574</t>
  </si>
  <si>
    <t>VNHBC7100101;PIT (EE) - Tran Thi Que Chi-Oct/25- VND-8825750</t>
  </si>
  <si>
    <t>VNOther7100401;PIT (EE) - Thuy Thi Bich Thuy Tran-Oct/25- VND-6950156</t>
  </si>
  <si>
    <t>VNOther7100201;PIT (EE) - Hien Thi Hien Vo-Oct/25- VND-48390073</t>
  </si>
  <si>
    <t>Hien Thi Hien Vo</t>
  </si>
  <si>
    <t>VNHDTOT7100;Payment for Ho Lam Hong for consulting service in Sept 2025-PIT with holding; VND-875000</t>
  </si>
  <si>
    <t>Ho Lam Hong</t>
  </si>
  <si>
    <t>VNOther</t>
  </si>
  <si>
    <t>VNOther7300;Office cleaning service from Aug to Sept 12, 2025; VND-540000</t>
  </si>
  <si>
    <t>Pham Thi Le Thu</t>
  </si>
  <si>
    <t>VNBN7100102;SI, HI, UI  - Nguyen Dang Hai Sam-Oct/25- VND-4160000</t>
  </si>
  <si>
    <t>10/31/2025</t>
  </si>
  <si>
    <t>VNBN7100102;SI, HI, UI  - Mai Thi Mong Tuyen-Oct/25- VND-4160000</t>
  </si>
  <si>
    <t>VNQN7100102;SI, HI, UI  - Pham Thi Nhi Ca-Oct/25- VND-3976000</t>
  </si>
  <si>
    <t>VNOther7100202;SI, HI, UI  - Nguyen Thi Hai-Oct/25- VND-1600000</t>
  </si>
  <si>
    <t>VNLA7100102;SI, HI, UI  - Nguyen Thi Thuy Van-Oct/25- VND-4160000</t>
  </si>
  <si>
    <t>VNLA7100102;SI, HI, UI  - Pham Thi Thanh Loan-Oct/25- VND0</t>
  </si>
  <si>
    <t>VNQN7100102;SI, HI, UI  - Nguyen Thi Thuy Na-Oct/25- VND-3604352</t>
  </si>
  <si>
    <t>VNMOET7100206;SI, HI, UI  - Le Thi Thu Hanh-Oct/25- VND0</t>
  </si>
  <si>
    <t>VNQN7100102;SI, HI, UI  - Tran Thi Ngoc Duyen-Oct/25- VND0</t>
  </si>
  <si>
    <t>Tran Thi Ngoc Duyen</t>
  </si>
  <si>
    <t>VNBN7100102;SI, HI, UI  - Le Thi Ut-Oct/25- VND0</t>
  </si>
  <si>
    <t>Le Thi Ut</t>
  </si>
  <si>
    <t>VNHCM7100102;SI, HI, UI  - Mai Anh Thu-Oct/25- VND-4564352</t>
  </si>
  <si>
    <t>VNBG7100102;SI, HI, UI  - Dinh Thi Thuy Duong-Oct/25- VND0</t>
  </si>
  <si>
    <t>Dinh Thi Thuy Duong</t>
  </si>
  <si>
    <t>VNHCM7100102;SI, HI, UI  - Nguyen Thi Nhung-Oct/25- VND-4564352</t>
  </si>
  <si>
    <t>VNHD7100102;SI, HI, UI  - Vu Thi Thu Thuy-Oct/25- VND-4069952</t>
  </si>
  <si>
    <t>VNQN7100102;SI, HI, UI  - Truong Thi Diem Phuong-Oct/25- VND-4069952</t>
  </si>
  <si>
    <t>VNQN7100102;SI, HI, UI  - Ho Thi Mong Thu-Oct/25- VND-5039552</t>
  </si>
  <si>
    <t>VNDN7100102;SI, HI, UI  - Nguyen Thi Tram Anh-Oct/25- VND-4564352</t>
  </si>
  <si>
    <t>VNDN7100102;SI, HI, UI  - Vo Thi Quynh Thi-Oct/25- VND-6516352</t>
  </si>
  <si>
    <t>VNDN7100102;SI, HI, UI  - Pham Thi Huyen-Oct/25- VND-5064512</t>
  </si>
  <si>
    <t>VNDN7100102;SI, HI, UI  - Mai Thi Kim Hang-Oct/25- VND-3984832</t>
  </si>
  <si>
    <t>VNLA7100102;SI, HI, UI  - Bui Thi Hong Hanh-Oct/25- VND0</t>
  </si>
  <si>
    <t>VNOther7100402;SI, HI, UI  - Phan Thi Thao Nguyen-Oct/25- VND-15534950</t>
  </si>
  <si>
    <t>VNOther7100207;SI, HI, UI  - Nguyen Thi Thanh Thanh -Oct/25- VND-14094497</t>
  </si>
  <si>
    <t>VNMOET7100201;SI, HI, UI  - Huynh My Ngoc-Oct/25- VND-15117814</t>
  </si>
  <si>
    <t>VNMOET7100201;SI, HI, UI  - Bui Thi Huong-Oct/25- VND-15063924</t>
  </si>
  <si>
    <t>VNMOET7100107;SI, HI, UI  - Truong Thi Hai-Oct/25- VND-15117814</t>
  </si>
  <si>
    <t>VNHBC71001030;SI, HI, UI  - Phan Doan Kim Nhung-Oct/25- VND-6400558</t>
  </si>
  <si>
    <t>VNELC7100204;SI, HI, UI  - Alice Do Kim Dung-Oct/25- VND0</t>
  </si>
  <si>
    <t>Alice Do Kim Dung</t>
  </si>
  <si>
    <t>VNHBC7100201;SI, HI, UI  - Pham Thi  Dieu Loan-Oct/25- VND-15316796</t>
  </si>
  <si>
    <t>VNMOET7100103;SI, HI, UI  - Hoang Thi Kieu Oanh-Oct/25- VND-8879531</t>
  </si>
  <si>
    <t>VNOther7100202;SI, HI, UI  - Nguyen Hong Kim-Oct/25- VND-13970133</t>
  </si>
  <si>
    <t>VNOther7100301;SI, HI, UI  - Maggie Huyen Nguyen-Oct/25- VND-15205906</t>
  </si>
  <si>
    <t>VNHBC7100101;SI, HI, UI  - Tran Thi Que Chi-Oct/25- VND-15483132</t>
  </si>
  <si>
    <t>VNOther7100401;SI, HI, UI  - Thuy Thi Bich Thuy Tran-Oct/25- VND-15333896</t>
  </si>
  <si>
    <t>VNOther7100201;SI, HI, UI  - Hien Thi Hien Vo-Oct/25- VND0</t>
  </si>
  <si>
    <t>VNMOET</t>
  </si>
  <si>
    <t>consultant</t>
  </si>
  <si>
    <t>Mạc Thùy Linh</t>
  </si>
  <si>
    <t>10/20/2025</t>
  </si>
  <si>
    <t>Nguyễn Thị Mỹ Hạnh</t>
  </si>
  <si>
    <t>Hồ Thị Tường Vân</t>
  </si>
  <si>
    <t xml:space="preserve">Hồ Lam Hồng </t>
  </si>
  <si>
    <t xml:space="preserve">Vũ Huyền Trinh </t>
  </si>
  <si>
    <t xml:space="preserve">Uông Thị Mai Trang </t>
  </si>
  <si>
    <t xml:space="preserve">Nguyễn Minh Huyền </t>
  </si>
  <si>
    <t>Hoàng Thị Dinh</t>
  </si>
  <si>
    <t>Nguyễn Thanh Đề</t>
  </si>
  <si>
    <t>Nguyễn Thị Kim Chi</t>
  </si>
  <si>
    <t>Lê Nguyên Vũ</t>
  </si>
  <si>
    <t>VNHD</t>
  </si>
  <si>
    <t>VNQN7100102;PIT (EE) - Pham Thi Nhi Ca-Sep/25- VND-106019</t>
  </si>
  <si>
    <t>VNOther7100202;PIT (EE) - Nguyen Thi Hai-Sep/25- VND0</t>
  </si>
  <si>
    <t>VNLA7100102;PIT (EE) - Nguyen Thi Thuy Van-Sep/25- VND-131750</t>
  </si>
  <si>
    <t>VNLA7100102;PIT (EE) - Pham Thi Thanh Loan-Sep/25- VND0</t>
  </si>
  <si>
    <t>VNQN7100102;PIT (EE) - Nguyen Thi Thuy Na-Sep/25- VND-54046</t>
  </si>
  <si>
    <t>VNMOET7100206;PIT (EE) - Le Thi Thu Hanh-Sep/25- VND-17647581</t>
  </si>
  <si>
    <t>VNQN7100102;PIT (EE) - Tran Thi Ngoc Duyen-Sep/25- VND0</t>
  </si>
  <si>
    <t>VNBN7100102;PIT (EE) - Le Thi Ut-Sep/25- VND0</t>
  </si>
  <si>
    <t>VNOther7100213; PIT - Dang Thanh Canh Sep/25 VND-813226</t>
  </si>
  <si>
    <t>VNHCM7100102;PIT (EE) - Mai Anh Thu-Sep/25- VND-188296</t>
  </si>
  <si>
    <t>VNBG7100102;PIT (EE) - Dinh Thi Thuy Duong-Sep/25- VND0</t>
  </si>
  <si>
    <t>VNHCM7100102;PIT (EE) - Nguyen Thi Nhung-Sep/25- VND-188296</t>
  </si>
  <si>
    <t>VNHD7100102;PIT (EE) - Vu Thi Thu Thuy-Sep/25- VND0</t>
  </si>
  <si>
    <t>VNQN7100102;PIT (EE) - Truong Thi Diem Phuong-Sep/25- VND0</t>
  </si>
  <si>
    <t>VNQN7100102;PIT (EE) - Ho Thi Mong Thu-Sep/25- VND0</t>
  </si>
  <si>
    <t>VNDN7100102;PIT (EE) - Nguyen Thi Tram Anh-Sep/25- VND0</t>
  </si>
  <si>
    <t>VNDN7100102;PIT (EE) - Vo Thi Quynh Thi-Sep/25- VND-63771</t>
  </si>
  <si>
    <t>VNDN7100102;PIT (EE) - Pham Thi Huyen-Sep/25- VND0</t>
  </si>
  <si>
    <t>VNDN7100102;PIT (EE) - Mai Thi Kim Hang-Sep/25- VND-127254</t>
  </si>
  <si>
    <t>VNLA7100102;PIT (EE) - Bui Thi Hong Hanh-Sep/25- VND-6153</t>
  </si>
  <si>
    <t>VNOther7100402;PIT (EE) - Phan Thi Thao Nguyen-Sep/25- VND-9483489</t>
  </si>
  <si>
    <t>VNOther7100207;PIT (EE) - Nguyen Thi Thanh Thanh -Sep/25- VND-4173169</t>
  </si>
  <si>
    <t>VNMOET7100201;PIT (EE) - Huynh My Ngoc-Sep/25- VND-5339133</t>
  </si>
  <si>
    <t>VNMOET7100201;PIT (EE) - Bui Thi Huong-Sep/25- VND-4679281</t>
  </si>
  <si>
    <t>VNMOET7100107;PIT (EE) - Truong Thi Hai-Sep/25- VND-5339133</t>
  </si>
  <si>
    <t>VNHBC71001030;PIT (EE) - Phan Doan Kim Nhung-Sep/25- VND-140866</t>
  </si>
  <si>
    <t>VNELC7100204;PIT (EE) - Alice Do Kim Dung-Sep/25- VND0</t>
  </si>
  <si>
    <t>VNHBC7100201;PIT (EE) - Pham Thi  Dieu Loan-Sep/25- VND-4582631</t>
  </si>
  <si>
    <t>VNMOET7100103;PIT (EE) - Hoang Thi Kieu Oanh-Sep/25- VND-1390947</t>
  </si>
  <si>
    <t>VNOther7100202;PIT (EE) - Nguyen Hong Kim-Sep/25- VND-2342376</t>
  </si>
  <si>
    <t>VNOther7100301;PIT (EE) - Maggie Huyen Nguyen-Sep/25- VND-5346637</t>
  </si>
  <si>
    <t>VNHBC7100101;PIT (EE) - Tran Thi Que Chi-Sep/25- VND-8832016</t>
  </si>
  <si>
    <t>VNOther7100401;PIT (EE) - Thuy Thi Bich Thuy Tran-Sep/25- VND-6955775</t>
  </si>
  <si>
    <t>VNOther7100201;PIT (EE) - Hien Thi Hien Vo-Sep/25- VND-48410586</t>
  </si>
  <si>
    <t>VNQN7100102;SI, HI, UI  - Pham Thi Nhi Ca-Sep/25- VND-3976000</t>
  </si>
  <si>
    <t>09/30/2025</t>
  </si>
  <si>
    <t>VNOther7100202;SI, HI, UI  - Nguyen Thi Hai-Sep/25- VND-1600000</t>
  </si>
  <si>
    <t>VNLA7100102;SI, HI, UI  - Nguyen Thi Thuy Van-Sep/25- VND-4160000</t>
  </si>
  <si>
    <t>VNLA7100102;SI, HI, UI  - Pham Thi Thanh Loan-Sep/25- VND0</t>
  </si>
  <si>
    <t>VNQN7100102;SI, HI, UI  - Nguyen Thi Thuy Na-Sep/25- VND-3604352</t>
  </si>
  <si>
    <t>VNMOET7100206;SI, HI, UI  - Le Thi Thu Hanh-Sep/25- VND0</t>
  </si>
  <si>
    <t>VNQN7100102;SI, HI, UI  - Tran Thi Ngoc Duyen-Sep/25- VND0</t>
  </si>
  <si>
    <t>VNBN7100102;SI, HI, UI  - Le Thi Ut-Sep/25- VND0</t>
  </si>
  <si>
    <t>VNHCM7100102;SI, HI, UI  - Mai Anh Thu-Sep/25- VND-4564352</t>
  </si>
  <si>
    <t>VNBG7100102;SI, HI, UI  - Dinh Thi Thuy Duong-Sep/25- VND0</t>
  </si>
  <si>
    <t>VNHCM7100102;SI, HI, UI  - Nguyen Thi Nhung-Sep/25- VND-4564352</t>
  </si>
  <si>
    <t>VNHD7100102;SI, HI, UI  - Vu Thi Thu Thuy-Sep/25- VND-4069952</t>
  </si>
  <si>
    <t>VNQN7100102;SI, HI, UI  - Truong Thi Diem Phuong-Sep/25- VND-4069952</t>
  </si>
  <si>
    <t>VNQN7100102;SI, HI, UI  - Ho Thi Mong Thu-Sep/25- VND0</t>
  </si>
  <si>
    <t>VNDN7100102;SI, HI, UI  - Nguyen Thi Tram Anh-Sep/25- VND-4564352</t>
  </si>
  <si>
    <t>VNDN7100102;SI, HI, UI  - Vo Thi Quynh Thi-Sep/25- VND-6516352</t>
  </si>
  <si>
    <t>VNDN7100102;SI, HI, UI  - Pham Thi Huyen-Sep/25- VND-5064512</t>
  </si>
  <si>
    <t>VNDN7100102;SI, HI, UI  - Mai Thi Kim Hang-Sep/25- VND-3984832</t>
  </si>
  <si>
    <t>VNLA7100102;SI, HI, UI  - Bui Thi Hong Hanh-Sep/25- VND-4308352</t>
  </si>
  <si>
    <t>VNOther7100402;SI, HI, UI  - Phan Thi Thao Nguyen-Sep/25- VND-15534950</t>
  </si>
  <si>
    <t>VNOther7100207;SI, HI, UI  - Nguyen Thi Thanh Thanh -Sep/25- VND-14094497</t>
  </si>
  <si>
    <t>VNMOET7100201;SI, HI, UI  - Huynh My Ngoc-Sep/25- VND-15117814</t>
  </si>
  <si>
    <t>VNMOET7100201;SI, HI, UI  - Bui Thi Huong-Sep/25- VND-15063924</t>
  </si>
  <si>
    <t>VNMOET7100107;SI, HI, UI  - Truong Thi Hai-Sep/25- VND-15117814</t>
  </si>
  <si>
    <t>VNHBC71001030;SI, HI, UI  - Phan Doan Kim Nhung-Sep/25- VND-6400558</t>
  </si>
  <si>
    <t>VNELC7100204;SI, HI, UI  - Alice Do Kim Dung-Sep/25- VND0</t>
  </si>
  <si>
    <t>VNHBC7100201;SI, HI, UI  - Pham Thi  Dieu Loan-Sep/25- VND-15316796</t>
  </si>
  <si>
    <t>VNMOET7100103;SI, HI, UI  - Hoang Thi Kieu Oanh-Sep/25- VND-8879531</t>
  </si>
  <si>
    <t>VNOther7100202;SI, HI, UI  - Nguyen Hong Kim-Sep/25- VND-13970133</t>
  </si>
  <si>
    <t>VNOther7100301;SI, HI, UI  - Maggie Huyen Nguyen-Sep/25- VND-15205906</t>
  </si>
  <si>
    <t>VNHBC7100101;SI, HI, UI  - Tran Thi Que Chi-Sep/25- VND-15483132</t>
  </si>
  <si>
    <t>VNOther7100401;SI, HI, UI  - Thuy Thi Bich Thuy Tran-Sep/25- VND-15333896</t>
  </si>
  <si>
    <t>VNOther7100201;SI, HI, UI  - Hien Thi Hien Vo-Sep/25- VND0</t>
  </si>
  <si>
    <t>09/13/2025</t>
  </si>
  <si>
    <t>VNQN7100102;PIT (EE) - Pham Thi Nhi Ca-Aug/25- VND-110019</t>
  </si>
  <si>
    <t>VNQN7100102;PIT (EE) - Nguyen Thi Thuy Na-Aug/25- VND-100546</t>
  </si>
  <si>
    <t>VNMOET7100206;PIT (EE) - Le Thi Thu Hanh-Aug/25- VND-17523381</t>
  </si>
  <si>
    <t>VNQN7100102;PIT (EE) - Tran Thi Ngoc Duyen-Aug/25- VND0</t>
  </si>
  <si>
    <t>VNBN7100102;PIT (EE) - Le Thi Ut-Aug/25- VND0</t>
  </si>
  <si>
    <t>VNOther7100213; PIT - Dang Thanh Canh Aug/25 VND-808962</t>
  </si>
  <si>
    <t>VNQN7100102;PIT (EE) - Mai Anh Thu-Aug/25- VND-188296</t>
  </si>
  <si>
    <t>VNBG7100102;PIT (EE) - Dinh Thi Thuy Duong-Aug/25- VND0</t>
  </si>
  <si>
    <t>VNHCM7100102;PIT (EE) - Nguyen Thi Nhung-Aug/25- VND-188296</t>
  </si>
  <si>
    <t>VNHD7100102;PIT (EE) - Vu Thi Thu Thuy-Aug/25- VND0</t>
  </si>
  <si>
    <t>VNQN7100102;PIT (EE) - Truong Thi Diem Phuong-Aug/25- VND0</t>
  </si>
  <si>
    <t>VNQN7100102;PIT (EE) - Ho Thi Mong Thu-Aug/25- VND0</t>
  </si>
  <si>
    <t>VNDN7100102;PIT (EE) - Nguyen Thi Tram Anh-Aug/25- VND0</t>
  </si>
  <si>
    <t>VNDN7100102;PIT (EE) - Vo Thi Quynh Thi-Aug/25- VND-99771</t>
  </si>
  <si>
    <t>VNDN7100102;PIT (EE) - Pham Thi Huyen-Aug/25- VND0</t>
  </si>
  <si>
    <t>VNDN7100102;PIT (EE) - Mai Thi Kim Hang-Aug/25- VND-169754</t>
  </si>
  <si>
    <t>VNLA7100102;PIT (EE) - Bui Thi Hong Hanh-Aug/25- VND-152496</t>
  </si>
  <si>
    <t>VNOther7100402;PIT (EE) - Phan Thi Thao Nguyen-Aug/25- VND-32374298</t>
  </si>
  <si>
    <t>VNOther7100207;PIT (EE) - Nguyen Thi Thanh Thanh -Aug/25- VND-14737946</t>
  </si>
  <si>
    <t>VNMOET7100201;PIT (EE) - Huynh My Ngoc-Aug/25- VND-5262948</t>
  </si>
  <si>
    <t>VNMOET7100201;PIT (EE) - Bui Thi Huong-Aug/25- VND-4621380</t>
  </si>
  <si>
    <t>VNMOET7100107;PIT (EE) - Truong Thi Hai-Aug/25- VND-5262948</t>
  </si>
  <si>
    <t>VNHBC71001030;PIT (EE) - Phan Doan Kim Nhung-Aug/25- VND-132090</t>
  </si>
  <si>
    <t>VNELC7100204;PIT (EE) - Alice Do Kim Dung-Aug/25- VND0</t>
  </si>
  <si>
    <t>VNHBC7100201;PIT (EE) - Pham Thi  Dieu Loan-Aug/25- VND-4510431</t>
  </si>
  <si>
    <t>VNMOET7100103;PIT (EE) - Hoang Thi Kieu Oanh-Aug/25- VND-1354423</t>
  </si>
  <si>
    <t>VNOther7100202;PIT (EE) - Nguyen Hong Kim-Aug/25- VND-2265757</t>
  </si>
  <si>
    <t>VNOther7100301;PIT (EE) - Maggie Huyen Nguyen-Aug/25- VND-5264225</t>
  </si>
  <si>
    <t>VNHBC7100101;PIT (EE) - Tran Thi Que Chi-Aug/25- VND-8730008</t>
  </si>
  <si>
    <t>VNOther7100401;PIT (EE) - Thuy Thi Bich Thuy Tran-Aug/25- VND-20049119</t>
  </si>
  <si>
    <t>VNOther7100201;PIT (EE) - Hien Thi Hien Vo-Aug/25- VND-48096056</t>
  </si>
  <si>
    <t>VNQN7100102;SI, HI, UI  - Pham Thi Nhi Ca-Aug/25- VND-3976000</t>
  </si>
  <si>
    <t>08/29/2025</t>
  </si>
  <si>
    <t>VNQN7100102;SI, HI, UI  - Nguyen Thi Thuy Na-Aug/25- VND-3604352</t>
  </si>
  <si>
    <t>VNMOET7100206;SI, HI, UI  - Le Thi Thu Hanh-Aug/25- VND0</t>
  </si>
  <si>
    <t>VNQN7100102;SI, HI, UI  - Tran Thi Ngoc Duyen-Aug/25- VND0</t>
  </si>
  <si>
    <t>VNBN7100102;SI, HI, UI  - Le Thi Ut-Aug/25- VND0</t>
  </si>
  <si>
    <t>VNQN7100102;SI, HI, UI  - Mai Anh Thu-Aug/25- VND-4564352</t>
  </si>
  <si>
    <t>VNBG7100102;SI, HI, UI  - Dinh Thi Thuy Duong-Aug/25- VND0</t>
  </si>
  <si>
    <t>VNHCM7100102;SI, HI, UI  - Nguyen Thi Nhung-Aug/25- VND-4564352</t>
  </si>
  <si>
    <t>VNHD7100102;SI, HI, UI  - Vu Thi Thu Thuy-Aug/25- VND-4069952</t>
  </si>
  <si>
    <t>VNQN7100102;SI, HI, UI  - Truong Thi Diem Phuong-Aug/25- VND-4069952</t>
  </si>
  <si>
    <t>VNQN7100102;SI, HI, UI  - Ho Thi Mong Thu-Aug/25- VND0</t>
  </si>
  <si>
    <t>VNDN7100102;SI, HI, UI  - Nguyen Thi Tram Anh-Aug/25- VND-4564352</t>
  </si>
  <si>
    <t>VNDN7100102;SI, HI, UI  - Vo Thi Quynh Thi-Aug/25- VND-6516352</t>
  </si>
  <si>
    <t>VNDN7100102;SI, HI, UI  - Pham Thi Huyen-Aug/25- VND-5064512</t>
  </si>
  <si>
    <t>VNDN7100102;SI, HI, UI  - Mai Thi Kim Hang-Aug/25- VND-3984832</t>
  </si>
  <si>
    <t>VNLA7100102;SI, HI, UI  - Bui Thi Hong Hanh-Aug/25- VND-4308352</t>
  </si>
  <si>
    <t>VNOther7100402;SI, HI, UI  - Phan Thi Thao Nguyen-Aug/25- VND-15584054</t>
  </si>
  <si>
    <t>VNOther7100207;SI, HI, UI  - Nguyen Thi Thanh Thanh -Aug/25- VND-14557442</t>
  </si>
  <si>
    <t>VNMOET7100201;SI, HI, UI  - Huynh My Ngoc-Aug/25- VND-15153216</t>
  </si>
  <si>
    <t>VNMOET7100201;SI, HI, UI  - Bui Thi Huong-Aug/25- VND-15097556</t>
  </si>
  <si>
    <t>VNMOET7100107;SI, HI, UI  - Truong Thi Hai-Aug/25- VND-15153216</t>
  </si>
  <si>
    <t>VNHBC71001030;SI, HI, UI  - Phan Doan Kim Nhung-Aug/25- VND-6610787</t>
  </si>
  <si>
    <t>VNELC7100204;SI, HI, UI  - Alice Do Kim Dung-Aug/25- VND0</t>
  </si>
  <si>
    <t>VNHBC7100201;SI, HI, UI  - Pham Thi  Dieu Loan-Aug/25- VND-15358734</t>
  </si>
  <si>
    <t>VNMOET7100103;SI, HI, UI  - Hoang Thi Kieu Oanh-Aug/25- VND-9171184</t>
  </si>
  <si>
    <t>VNOther7100202;SI, HI, UI  - Nguyen Hong Kim-Aug/25- VND-14428993</t>
  </si>
  <si>
    <t>VNOther7100301;SI, HI, UI  - Maggie Huyen Nguyen-Aug/25- VND-15244202</t>
  </si>
  <si>
    <t>VNHBC7100101;SI, HI, UI  - Tran Thi Que Chi-Aug/25- VND-15530534</t>
  </si>
  <si>
    <t>VNOther7100401;SI, HI, UI  - Thuy Thi Bich Thuy Tran-Aug/25- VND-15376396</t>
  </si>
  <si>
    <t>VNOther7100201;SI, HI, UI  - Hien Thi Hien Vo-Aug/25- VND0</t>
  </si>
  <si>
    <t>VNQN7100102;PIT (EE) - Pham Thi Nhi Ca-Jul/25- VND-134519</t>
  </si>
  <si>
    <t>VNQN7100102;PIT (EE) - Nguyen Thi Thuy Na-Jul/25- VND-81546</t>
  </si>
  <si>
    <t>VNMOET7100206;PIT (EE) - Le Thi Thu Hanh-Jul/25- VND-17443722</t>
  </si>
  <si>
    <t>VNQN7100102;PIT (EE) - Tran Thi Ngoc Duyen-Jul/25- VND0</t>
  </si>
  <si>
    <t>VNBN7100102;PIT (EE) - Le Thi Ut-Jul/25- VND-118361</t>
  </si>
  <si>
    <t>VNOther7100213; PIT - Dang Thanh Canh Jul/25 VND-806490</t>
  </si>
  <si>
    <t>VNQN7100102;PIT (EE) - Mai Anh Thu-Jul/25- VND-689892</t>
  </si>
  <si>
    <t>VNBG7100102;PIT (EE) - Dinh Thi Thuy Duong-Jul/25- VND0</t>
  </si>
  <si>
    <t>VNHCM7100102;PIT (EE) - Nguyen Thi Nhung-Jul/25- VND-188296</t>
  </si>
  <si>
    <t>VNHD7100102;PIT (EE) - Vu Thi Thu Thuy-Jul/25- VND0</t>
  </si>
  <si>
    <t>VNQN7100102;PIT (EE) - Truong Thi Diem Phuong-Jul/25- VND-155657</t>
  </si>
  <si>
    <t>VNQN7100102;PIT (EE) - Ho Thi Mong Thu-Jul/25- VND0</t>
  </si>
  <si>
    <t>VNDN7100102;PIT (EE) - Nguyen Thi Tram Anh-Jul/25- VND0</t>
  </si>
  <si>
    <t>VNDN7100102;PIT (EE) - Vo Thi Quynh Thi-Jul/25- VND-64271</t>
  </si>
  <si>
    <t>VNDN7100102;PIT (EE) - Pham Thi Huyen-Jul/25- VND0</t>
  </si>
  <si>
    <t>VNDN7100102;PIT (EE) - Mai Thi Kim Hang-Jul/25- VND-138254</t>
  </si>
  <si>
    <t>VNLA7100102;PIT (EE) - Bui Thi Hong Hanh-Jul/25- VND-152496</t>
  </si>
  <si>
    <t>VNOther7100402;PIT (EE) - Phan Thi Thao Nguyen-Jul/25- VND-9332394</t>
  </si>
  <si>
    <t>VNOther7100207;PIT (EE) - Nguyen Thi Thanh Thanh -Jul/25- VND-4129429</t>
  </si>
  <si>
    <t xml:space="preserve">Nguyen Thi Thanh Thanh </t>
  </si>
  <si>
    <t>VNMOET7100201;PIT (EE) - Huynh My Ngoc-Jul/25- VND-5230199</t>
  </si>
  <si>
    <t>VNMOET7100201;PIT (EE) - Bui Thi Huong-Jul/25- VND-4596491</t>
  </si>
  <si>
    <t>VNMOET7100107;PIT (EE) - Truong Thi Hai-Jul/25- VND-5230199</t>
  </si>
  <si>
    <t>VNHBC71001030;PIT (EE) - Phan Doan Kim Nhung-Jul/25- VND-135900</t>
  </si>
  <si>
    <t>VNELC7100204;PIT (EE) - Alice Do Kim Dung-Jul/25- VND0</t>
  </si>
  <si>
    <t>VNHBC7100201;PIT (EE) - Pham Thi  Dieu Loan-Jul/25- VND-4479394</t>
  </si>
  <si>
    <t>VNMOET7100103;PIT (EE) - Hoang Thi Kieu Oanh-Jul/25- VND-1370280</t>
  </si>
  <si>
    <t>VNOther7100202;PIT (EE) - Nguyen Hong Kim-Jul/25- VND-2299023</t>
  </si>
  <si>
    <t>VNOther7100301;PIT (EE) - Maggie Huyen Nguyen-Jul/25- VND-5228799</t>
  </si>
  <si>
    <t>VNHBC7100101;PIT (EE) - Tran Thi Que Chi-Jul/25- VND-8686159</t>
  </si>
  <si>
    <t>VNOther7100401;PIT (EE) - Thuy Thi Bich Thuy Tran-Jul/25- VND-6825001</t>
  </si>
  <si>
    <t>VNOther7100201;PIT (EE) - Hien Thi Hien Vo-Jul/25- VND-47913720</t>
  </si>
  <si>
    <t>bank</t>
  </si>
  <si>
    <t>VCB</t>
  </si>
  <si>
    <t>Nguyen Van Luyen</t>
  </si>
  <si>
    <t>VNQN7100102;PIT (EE) - Pham Thi Nhi Ca-Jun/25- VND0</t>
  </si>
  <si>
    <t>VNQN7100102;PIT (EE) - Nguyen Thi Thuy Na-Jun/25- VND-54046</t>
  </si>
  <si>
    <t>VNMOET7100206;PIT (EE) - Le Thi Thu Hanh-Jun/25- VND-17403078</t>
  </si>
  <si>
    <t>VNQN7100102;PIT (EE) - Tran Thi Ngoc Duyen-Jun/25- VND-186473</t>
  </si>
  <si>
    <t>VNBN7100102;PIT (EE) - Le Thi Ut-Jun/25- VND-113546</t>
  </si>
  <si>
    <t>VNOther7100213; PIT - Dang Thanh Canh Jun/25 VND-805316</t>
  </si>
  <si>
    <t>VNHCM7100102;PIT (EE) - Mai Anh Thu-Jun/25- VND-218796</t>
  </si>
  <si>
    <t>VNBG7100102;PIT (EE) - Dinh Thi Thuy Duong-Jun/25- VND0</t>
  </si>
  <si>
    <t>VNHCM7100102;PIT (EE) - Nguyen Thi Nhung-Jun/25- VND-188296</t>
  </si>
  <si>
    <t>VNHD7100102;PIT (EE) - Vu Thi Thu Thuy-Jun/25- VND0</t>
  </si>
  <si>
    <t>VNQN7100102;PIT (EE) - Truong Thi Diem Phuong-Jun/25- VND-168657</t>
  </si>
  <si>
    <t>VNQN7100102;PIT (EE) - Ho Thi Mong Thu-Jun/25- VND0</t>
  </si>
  <si>
    <t>VNDN7100102;PIT (EE) - Nguyen Thi Tram Anh-Jun/25- VND0</t>
  </si>
  <si>
    <t>VNDN7100102;PIT (EE) - Vo Thi Quynh Thi-Jun/25- VND-74771</t>
  </si>
  <si>
    <t>VNDN7100102;PIT (EE) - Pham Thi Huyen-Jun/25- VND0</t>
  </si>
  <si>
    <t>VNDN7100102;PIT (EE) - Mai Thi Kim Hang-Jun/25- VND-145754</t>
  </si>
  <si>
    <t>VNLA7100102;PIT (EE) - Bui Thi Hong Hanh-Jun/25- VND-152496</t>
  </si>
  <si>
    <t>VNOther7100402;PIT (EE) - Phan Thi Thao Nguyen-Jun/25- VND-9310151</t>
  </si>
  <si>
    <t>VNOther7100207;PIT (EE) - Nguyen Thi Thanh Thanh -Jun/25- VND-4142071</t>
  </si>
  <si>
    <t>VNMOET7100201;PIT (EE) - Huynh My Ngoc-Jun/25- VND-5214162</t>
  </si>
  <si>
    <t>VNMOET7100201;PIT (EE) - Bui Thi Huong-Jun/25- VND-4584303</t>
  </si>
  <si>
    <t>VNMOET7100107;PIT (EE) - Truong Thi Hai-Jun/25- VND-5214162</t>
  </si>
  <si>
    <t>VNHBC71001030;PIT (EE) - Phan Doan Kim Nhung-Jun/25- VND-137335</t>
  </si>
  <si>
    <t>VNELC7100204;PIT (EE) - Alice Do Kim Dung-Jun/25- VND0</t>
  </si>
  <si>
    <t>VNHBC7100201;PIT (EE) - Pham Thi  Dieu Loan-Jun/25- VND-4464196</t>
  </si>
  <si>
    <t>VNMOET7100103;PIT (EE) - Hoang Thi Kieu Oanh-Jun/25- VND-1376253</t>
  </si>
  <si>
    <t>VNOther7100202;PIT (EE) - Nguyen Hong Kim-Jun/25- VND-2311552</t>
  </si>
  <si>
    <t>VNOther7100301;PIT (EE) - Maggie Huyen Nguyen-Jun/25- VND-5211451</t>
  </si>
  <si>
    <t>VNHBC7100101;PIT (EE) - Tran Thi Que Chi-Jun/25- VND-8664686</t>
  </si>
  <si>
    <t>VNOther7100401;PIT (EE) - Thuy Thi Bich Thuy Tran-Jun/25- VND-6805749</t>
  </si>
  <si>
    <t>VNOther7100201;PIT (EE) - Hien Thi Hien Vo-Jun/25- VND-47827110</t>
  </si>
  <si>
    <t>06/20/2025</t>
  </si>
  <si>
    <t>VNDN</t>
  </si>
  <si>
    <t>Nguyen Tien Dung</t>
  </si>
  <si>
    <t>VNQN7100102;PIT (EE) - Nguyen Thi Thuy Na-May/25- VND-120546</t>
  </si>
  <si>
    <t>VNMOET7100206;PIT (EE) - Le Thi Thu Hanh-May/25- VND-17297778</t>
  </si>
  <si>
    <t>VNQN7100102;PIT (EE) - Tran Thi Ngoc Duyen-May/25- VND0</t>
  </si>
  <si>
    <t>VNBN7100102;PIT (EE) - Le Thi Ut-May/25- VND-114546</t>
  </si>
  <si>
    <t>VNOther7100213; PIT - Dang Thanh Canh May/25 VND-801701</t>
  </si>
  <si>
    <t>VNQN7100102;PIT (EE) - Mai Anh Thu-May/25- VND-831391</t>
  </si>
  <si>
    <t>VNBG7100102;PIT (EE) - Dinh Thi Thuy Duong-May/25- VND0</t>
  </si>
  <si>
    <t>VNHCM7100102;PIT (EE) - Nguyen Thi Nhung-May/25- VND-188296</t>
  </si>
  <si>
    <t>VNHD7100102;PIT (EE) - Vu Thi Thu Thuy-May/25- VND0</t>
  </si>
  <si>
    <t>VNQN7100102;PIT (EE) - Truong Thi Diem Phuong-May/25- VND-194657</t>
  </si>
  <si>
    <t>VNQN7100102;PIT (EE) - Ho Thi Mong Thu-May/25- VND0</t>
  </si>
  <si>
    <t>VNDN7100102;PIT (EE) - Nguyen Thi Tram Anh-May/25- VND0</t>
  </si>
  <si>
    <t>VNDN7100102;PIT (EE) - Vo Thi Quynh Thi-May/25- VND-113271</t>
  </si>
  <si>
    <t>VNDN7100102;PIT (EE) - Pham Thi Huyen-May/25- VND0</t>
  </si>
  <si>
    <t>VNDN7100102;PIT (EE) - Mai Thi Kim Hang-May/25- VND-150754</t>
  </si>
  <si>
    <t>VNLA7100102;PIT (EE) - Bui Thi Hong Hanh-May/25- VND-152496</t>
  </si>
  <si>
    <t>VNOther7100402;PIT (EE) - Phan Thi Thao Nguyen-May/25- VND-9225765</t>
  </si>
  <si>
    <t>VNOther7100207;PIT (EE) - Nguyen Thi Thanh Thanh -May/25- VND-4102291</t>
  </si>
  <si>
    <t>VNMOET7100201;PIT (EE) - Huynh My Ngoc-May/25- VND-5153322</t>
  </si>
  <si>
    <t>VNMOET7100201;PIT (EE) - Bui Thi Huong-May/25- VND-4538064</t>
  </si>
  <si>
    <t>VNMOET7100107;PIT (EE) - Truong Thi Hai-May/25- VND-5153322</t>
  </si>
  <si>
    <t>VNHBC71001030;PIT (EE) - Phan Doan Kim Nhung-May/25- VND-132819</t>
  </si>
  <si>
    <t>VNHBC7100201;PIT (EE) - Pham Thi  Dieu Loan-May/25- VND-4406539</t>
  </si>
  <si>
    <t>VNMOET7100103;PIT (EE) - Hoang Thi Kieu Oanh-May/25- VND-1357457</t>
  </si>
  <si>
    <t>VNOther7100202;PIT (EE) - Nguyen Hong Kim-May/25- VND-2272123</t>
  </si>
  <si>
    <t>VNOther7100301;PIT (EE) - Maggie Huyen Nguyen-May/25- VND-5145639</t>
  </si>
  <si>
    <t>VNHBC7100101;PIT (EE) - Tran Thi Que Chi-May/25- VND-8583225</t>
  </si>
  <si>
    <t>VNOther7100401;PIT (EE) - Thuy Thi Bich Thuy Tran-May/25- VND-6732711</t>
  </si>
  <si>
    <t>VNOther7100201;PIT (EE) - Hien Thi Hien Vo-May/25- VND-47560444</t>
  </si>
  <si>
    <t>VNQN7100102;SI, HI, UI  - Pham Thi Nhi Ca-Jul/25- VND-3976000</t>
  </si>
  <si>
    <t>VNQN7100102;SI, HI, UI  - Nguyen Thi Thuy Na-Jul/25- VND-3604352</t>
  </si>
  <si>
    <t>VNMOET7100206;SI, HI, UI  - Le Thi Thu Hanh-Jul/25- VND0</t>
  </si>
  <si>
    <t>VNQN7100102;SI, HI, UI  - Tran Thi Ngoc Duyen-Jul/25- VND0</t>
  </si>
  <si>
    <t>VNBN7100102;SI, HI, UI  - Le Thi Ut-Jul/25- VND0</t>
  </si>
  <si>
    <t>VNHCM7100102;SI, HI, UI  - Mai Anh Thu-Jul/25- VND-4564352</t>
  </si>
  <si>
    <t>VNBG7100102;SI, HI, UI  - Dinh Thi Thuy Duong-Jul/25- VND0</t>
  </si>
  <si>
    <t>VNHCM7100102;SI, HI, UI  - Nguyen Thi Nhung-Jul/25- VND-4564352</t>
  </si>
  <si>
    <t>VNHD7100102;SI, HI, UI  - Vu Thi Thu Thuy-Jul/25- VND-4069952</t>
  </si>
  <si>
    <t>VNQN7100102;SI, HI, UI  - Truong Thi Diem Phuong-Jul/25- VND-4069952</t>
  </si>
  <si>
    <t>VNQN7100102;SI, HI, UI  - Ho Thi Mong Thu-Jul/25- VND0</t>
  </si>
  <si>
    <t>VNDN7100102;SI, HI, UI  - Nguyen Thi Tram Anh-Jul/25- VND-4564352</t>
  </si>
  <si>
    <t>VNDN7100102;SI, HI, UI  - Vo Thi Quynh Thi-Jul/25- VND-6516352</t>
  </si>
  <si>
    <t>VNDN7100102;SI, HI, UI  - Pham Thi Huyen-Jul/25- VND-5064512</t>
  </si>
  <si>
    <t>VNDN7100102;SI, HI, UI  - Mai Thi Kim Hang-Jul/25- VND-3984832</t>
  </si>
  <si>
    <t>VNLA7100102;SI, HI, UI  - Bui Thi Hong Hanh-Jul/25- VND-4308352</t>
  </si>
  <si>
    <t>VNOther7100402;SI, HI, UI  - Phan Thi Thao Nguyen-Jul/25- VND-15485846</t>
  </si>
  <si>
    <t>VNOther7100207;SI, HI, UI  - Nguyen Thi Thanh Thanh -Jul/25- VND-13631552</t>
  </si>
  <si>
    <t>VNMOET7100201;SI, HI, UI  - Huynh My Ngoc-Jul/25- VND-15082412</t>
  </si>
  <si>
    <t>VNMOET7100201;SI, HI, UI  - Bui Thi Huong-Jul/25- VND-15030292</t>
  </si>
  <si>
    <t>VNMOET7100107;SI, HI, UI  - Truong Thi Hai-Jul/25- VND-15082412</t>
  </si>
  <si>
    <t>VNHBC71001030;SI, HI, UI  - Phan Doan Kim Nhung-Jul/25- VND-6190329</t>
  </si>
  <si>
    <t>VNELC7100204;SI, HI, UI  - Alice Do Kim Dung-Jul/25- VND0</t>
  </si>
  <si>
    <t>VNHBC7100201;SI, HI, UI  - Pham Thi  Dieu Loan-Jul/25- VND-15274858</t>
  </si>
  <si>
    <t>VNMOET7100103;SI, HI, UI  - Hoang Thi Kieu Oanh-Jul/25- VND-8587878</t>
  </si>
  <si>
    <t>VNOther7100202;SI, HI, UI  - Nguyen Hong Kim-Jul/25- VND-13511273</t>
  </si>
  <si>
    <t>VNOther7100301;SI, HI, UI  - Maggie Huyen Nguyen-Jul/25- VND-15167610</t>
  </si>
  <si>
    <t>VNHBC7100101;SI, HI, UI  - Tran Thi Que Chi-Jul/25- VND-15435730</t>
  </si>
  <si>
    <t>VNOther7100401;SI, HI, UI  - Thuy Thi Bich Thuy Tran-Jul/25- VND-15291396</t>
  </si>
  <si>
    <t>VNOther7100201;SI, HI, UI  - Hien Thi Hien Vo-Jul/25- VND0</t>
  </si>
  <si>
    <t>VNQN7100102;SI, HI, UI  - Pham Thi Nhi Ca-Jun/25- VND-3976000</t>
  </si>
  <si>
    <t>VNQN7100102;SI, HI, UI  - Nguyen Thi Thuy Na-Jun/25- VND-3604352</t>
  </si>
  <si>
    <t>VNMOET7100206;SI, HI, UI  - Le Thi Thu Hanh-Jun/25- VND0</t>
  </si>
  <si>
    <t>VNQN7100102;SI, HI, UI  - Tran Thi Ngoc Duyen-Jun/25- VND-3924352</t>
  </si>
  <si>
    <t>VNBN7100102;SI, HI, UI  - Le Thi Ut-Jun/25- VND-4244352</t>
  </si>
  <si>
    <t>VNQN7100102;SI, HI, UI  - Mai Anh Thu-Jun/25- VND-4564352</t>
  </si>
  <si>
    <t>VNBG7100102;SI, HI, UI  - Dinh Thi Thuy Duong-Jun/25- VND0</t>
  </si>
  <si>
    <t>VNHCM7100102;SI, HI, UI  - Nguyen Thi Nhung-Jun/25- VND-4564352</t>
  </si>
  <si>
    <t>VNHD7100102;SI, HI, UI  - Vu Thi Thu Thuy-Jun/25- VND-4069952</t>
  </si>
  <si>
    <t>VNQN7100102;SI, HI, UI  - Truong Thi Diem Phuong-Jun/25- VND-4069952</t>
  </si>
  <si>
    <t>VNQN7100102;SI, HI, UI  - Ho Thi Mong Thu-Jun/25- VND0</t>
  </si>
  <si>
    <t>VNDN7100102;SI, HI, UI  - Nguyen Thi Tram Anh-Jun/25- VND-4564352</t>
  </si>
  <si>
    <t>VNDN7100102;SI, HI, UI  - Vo Thi Quynh Thi-Jun/25- VND-6516352</t>
  </si>
  <si>
    <t>VNDN7100102;SI, HI, UI  - Pham Thi Huyen-Jun/25- VND-5064512</t>
  </si>
  <si>
    <t>VNDN7100102;SI, HI, UI  - Mai Thi Kim Hang-Jun/25- VND-3984832</t>
  </si>
  <si>
    <t>VNLA7100102;SI, HI, UI  - Bui Thi Hong Hanh-Jun/25- VND-4308352</t>
  </si>
  <si>
    <t>VNOther7100402;SI, HI, UI  - Phan Thi Thao Nguyen-Jun/25- VND-15444534</t>
  </si>
  <si>
    <t>VNOther7100207;SI, HI, UI  - Nguyen Thi Thanh Thanh -Jun/25- VND-13242048</t>
  </si>
  <si>
    <t>VNMOET7100201;SI, HI, UI  - Huynh My Ngoc-Jun/25- VND-15052628</t>
  </si>
  <si>
    <t>VNMOET7100201;SI, HI, UI  - Bui Thi Huong-Jun/25- VND-15001996</t>
  </si>
  <si>
    <t>VNMOET7100107;SI, HI, UI  - Truong Thi Hai-Jun/25- VND-15052628</t>
  </si>
  <si>
    <t>VNHBC71001030;SI, HI, UI  - Phan Doan Kim Nhung-Jun/25- VND-6013447</t>
  </si>
  <si>
    <t>VNELC7100204;SI, HI, UI  - Alice Do Kim Dung-Jun/25- VND0</t>
  </si>
  <si>
    <t>VNHBC7100201;SI, HI, UI  - Pham Thi  Dieu Loan-Jun/25- VND-15239574</t>
  </si>
  <si>
    <t>VNMOET7100103;SI, HI, UI  - Hoang Thi Kieu Oanh-Jun/25- VND-8342490</t>
  </si>
  <si>
    <t>VNOther7100202;SI, HI, UI  - Nguyen Hong Kim-Jun/25- VND-13125207</t>
  </si>
  <si>
    <t>VNOther7100301;SI, HI, UI  - Maggie Huyen Nguyen-Jun/25- VND-15135390</t>
  </si>
  <si>
    <t>VNHBC7100101;SI, HI, UI  - Tran Thi Que Chi-Jun/25- VND-15395850</t>
  </si>
  <si>
    <t>VNOther7100401;SI, HI, UI  - Thuy Thi Bich Thuy Tran-Jun/25- VND-15255640</t>
  </si>
  <si>
    <t>VNOther7100201;SI, HI, UI  - Hien Thi Hien Vo-Jun/25- VND0</t>
  </si>
  <si>
    <t xml:space="preserve"> Salary - Dang Thanh Canh Jul/25 VND8064900</t>
  </si>
  <si>
    <t>07/31/2025</t>
  </si>
  <si>
    <t>Salary - Huynh My Ngoc-Jul/25- VND54288000</t>
  </si>
  <si>
    <t>Salary - Bui Thi Huong-Jul/25- VND51573600</t>
  </si>
  <si>
    <t>0% Salary - Truong Thi Hai-Jul/25- VND-44098295</t>
  </si>
  <si>
    <t>VNHBC</t>
  </si>
  <si>
    <t>0% Salary - Phan Doan Kim Nhung-Jul/25- VND-17989798</t>
  </si>
  <si>
    <t>Salary - Pham Thi  Dieu Loan-Jul/25- VND64310400</t>
  </si>
  <si>
    <t>Salary - Hoang Thi Kieu Oanh-Jul/25- VND27953100</t>
  </si>
  <si>
    <t>0% Salary - Nguyen Hong Kim-Jul/25- VND-37253791</t>
  </si>
  <si>
    <t>0% Salary - Maggie Huyen Nguyen-Jul/25- VND-48494096</t>
  </si>
  <si>
    <t>Salary - Tran Thi Que Chi-Jul/25- VND72688500</t>
  </si>
  <si>
    <t>0% Salary - Thuy Thi Bich Thuy Tran-Jul/25- VND-53282701</t>
  </si>
  <si>
    <t>0% Salary - Hien Thi Hien Vo-Jul/25- VND-132533180</t>
  </si>
  <si>
    <t xml:space="preserve"> Salary - Dang Thanh Canh Jun/25 VND8053158</t>
  </si>
  <si>
    <t>06/30/2025</t>
  </si>
  <si>
    <t>0% Salary - Phan Thi Thao Nguyen-Jun/25- VND-60738152</t>
  </si>
  <si>
    <t>0% Salary - Nguyen Thi Thanh Thanh -Jun/25- VND-35825982</t>
  </si>
  <si>
    <t>Salary - Pham Thi  Dieu Loan-Jun/25- VND64216768</t>
  </si>
  <si>
    <t>0% Salary - Truong Thi Hai-Jun/25- VND-44050184</t>
  </si>
  <si>
    <t>Salary - Huynh My Ngoc-Jun/25- VND54208960</t>
  </si>
  <si>
    <t>0% Salary - Phan Doan Kim Nhung-Jun/25- VND-18017067</t>
  </si>
  <si>
    <t>Salary - Bui Thi Huong-Jun/25- VND51498512</t>
  </si>
  <si>
    <t>Salary - Hoang Thi Kieu Oanh-Jun/25- VND27912402</t>
  </si>
  <si>
    <t>0% Salary - Nguyen Hong Kim-Jun/25- VND-37303909</t>
  </si>
  <si>
    <t>0% Salary - Maggie Huyen Nguyen-Jun/25- VND-48442054</t>
  </si>
  <si>
    <t>Salary - Tran Thi Que Chi-Jun/25- VND72582670</t>
  </si>
  <si>
    <t>0% Salary - Thuy Thi Bich Thuy Tran-Jun/25- VND-53224945</t>
  </si>
  <si>
    <t>0% Salary - Hien Thi Hien Vo-Jun/25- VND-132372334</t>
  </si>
  <si>
    <t>0% Salary - Nguyen Thi Thanh Thanh -May/25- VND-35666862</t>
  </si>
  <si>
    <t>05/30/2025</t>
  </si>
  <si>
    <t>0% Salary - Phan Thi Thao Nguyen-May/25- VND-60484993</t>
  </si>
  <si>
    <t>Salary - Pham Thi  Dieu Loan-May/25- VND63928480</t>
  </si>
  <si>
    <t>Salary Apr 2025 - Phan Thi Thao Nguyen</t>
  </si>
  <si>
    <t>04/28/2025</t>
  </si>
  <si>
    <t>Salary Apr 2025 - Nguyen Thi Thanh Thanh</t>
  </si>
  <si>
    <t>Salary Apr 2025 - Pham Thi  Dieu Loan</t>
  </si>
  <si>
    <t xml:space="preserve"> Salary - Nguyen Thi Thanh Thanh -Mar/25- VND-34980062</t>
  </si>
  <si>
    <t>03/31/2025</t>
  </si>
  <si>
    <t xml:space="preserve"> Salary - Phan Thi Thao Nguyen-Mar/25- VND-59392300</t>
  </si>
  <si>
    <t>Salary - Pham Thi  Dieu Loan-Mar/25- VND62684160</t>
  </si>
  <si>
    <t>Salary - Phan Thi Thao Nguyen-Feb/25</t>
  </si>
  <si>
    <t>02/28/2025</t>
  </si>
  <si>
    <t>Salary - Nguyen Thi Thanh Thanh -Feb/25</t>
  </si>
  <si>
    <t>Salary - Pham Thi  Dieu Loan-Feb/25</t>
  </si>
  <si>
    <t>0% Salary - Nguyen Thi Thanh Thanh -Jan/25- VND-34450699</t>
  </si>
  <si>
    <t>01/24/2025</t>
  </si>
  <si>
    <t>0% Salary - Phan Thi Thao Nguyen-Jan/25- VND-56495450</t>
  </si>
  <si>
    <t>Salary - Pham Thi  Dieu Loan-Jan/25- VND59319623</t>
  </si>
  <si>
    <t xml:space="preserve"> Salary - Dang Thanh Canh May/25 VND8017005</t>
  </si>
  <si>
    <t>Salary Apr 2025 - Dang Thanh Canh</t>
  </si>
  <si>
    <t xml:space="preserve"> Salary - Dang Thanh Canh Mar/25 VND7860960</t>
  </si>
  <si>
    <t xml:space="preserve"> Salary - Dang Thanh Canh Feb/25</t>
  </si>
  <si>
    <t xml:space="preserve"> Salary - Dang Thanh Canh Jan/25 VND7512900</t>
  </si>
  <si>
    <t>0% Salary - Nguyen Hong Kim-May/25- VND-37146193</t>
  </si>
  <si>
    <t>Salary Apr 2025 - Nguyen Hong Kim</t>
  </si>
  <si>
    <t xml:space="preserve"> Salary - Nguyen Hong Kim-Mar/25- VND-36465453</t>
  </si>
  <si>
    <t>Salary - Nguyen Hong Kim-Feb/25</t>
  </si>
  <si>
    <t>0% Salary - Nguyen Hong Kim-Jan/25- VND-34709716</t>
  </si>
  <si>
    <t>0% Salary - Maggie Huyen Nguyen-May/25- VND-48244616</t>
  </si>
  <si>
    <t>Salary Apr 2025 - Maggie Huyen Nguyen</t>
  </si>
  <si>
    <t xml:space="preserve"> Salary - Maggie Huyen Nguyen-Mar/25- VND-47392429</t>
  </si>
  <si>
    <t xml:space="preserve"> Salary - Maggie Huyen Nguyen-Feb/25</t>
  </si>
  <si>
    <t>0% Salary - Maggie Huyen Nguyen-Jan/25- VND-44990737</t>
  </si>
  <si>
    <t>0% Salary - Thuy Thi Bich Thuy Tran-May/25- VND-53005834</t>
  </si>
  <si>
    <t>Salary Apr 2025 - Thuy Thi Bich Thuy Tran</t>
  </si>
  <si>
    <t xml:space="preserve"> Salary - Thuy Thi Bich Thuy Tran-Mar/25- VND-52060095</t>
  </si>
  <si>
    <t>Salary - Thuy Thi Bich Thuy Tran-Feb/25</t>
  </si>
  <si>
    <t>0% Salary - Thuy Thi Bich Thuy Tran-Jan/25- VND-51342164</t>
  </si>
  <si>
    <t>0% Salary - Phan Doan Kim Nhung-May/25- VND-17931259</t>
  </si>
  <si>
    <t>Salary Apr 2025 - Phan Doan Kim Nhung</t>
  </si>
  <si>
    <t xml:space="preserve"> Salary - Phan Doan Kim Nhung-Mar/25- VND-17560892</t>
  </si>
  <si>
    <t>Salary - Phan Doan Kim Nhung-Feb/25</t>
  </si>
  <si>
    <t>0% Salary - Phan Doan Kim Nhung-Jan/25- VND-16644407</t>
  </si>
  <si>
    <t>Salary - Hoang Thi Kieu Oanh-May/25- VND27787095</t>
  </si>
  <si>
    <t>Salary Apr 2025 - Hoang Thi Kieu Oanh</t>
  </si>
  <si>
    <t>Salary - Hoang Thi Kieu Oanh-Mar/25- VND27246240</t>
  </si>
  <si>
    <t>Salary - Hoang Thi Kieu Oanh-Feb/25</t>
  </si>
  <si>
    <t>Salary - Hoang Thi Kieu Oanh-Jan/25- VND25791210</t>
  </si>
  <si>
    <t>Salary - Bui Thi Huong-May/25- VND51267320</t>
  </si>
  <si>
    <t>Salary Apr 2025 - Bui Thi Huong</t>
  </si>
  <si>
    <t>Salary - Bui Thi Huong-Mar/25- VND50269440</t>
  </si>
  <si>
    <t>Salary - Bui Thi Huong-Feb/25</t>
  </si>
  <si>
    <t>Salary - Bui Thi Huong-Jan/25- VND47570825</t>
  </si>
  <si>
    <t>Salary - Huynh My Ngoc-May/25- VND53965600</t>
  </si>
  <si>
    <t>Salary Apr 2025 - Huynh My Ngoc</t>
  </si>
  <si>
    <t>Salary - Huynh My Ngoc-Mar/25- VND52915200</t>
  </si>
  <si>
    <t>Salary - Huynh My Ngoc-Feb/25</t>
  </si>
  <si>
    <t>Salary - Huynh My Ngoc-Jan/25- VND50074091</t>
  </si>
  <si>
    <t>0% Salary - Truong Thi Hai-May/25- VND-43867664</t>
  </si>
  <si>
    <t>Salary Apr 2025 - Truong Thi Hai</t>
  </si>
  <si>
    <t xml:space="preserve"> Salary - Truong Thi Hai-Mar/25- VND-43079864</t>
  </si>
  <si>
    <t>Salary - Truong Thi Hai-Feb/25</t>
  </si>
  <si>
    <t>0% Salary - Truong Thi Hai-Jan/25- VND-40873519</t>
  </si>
  <si>
    <t>0% Salary - Hien Thi Hien Vo-May/25- VND-131877096</t>
  </si>
  <si>
    <t>Salary Apr 2025 - Hien Thi Hien Vo</t>
  </si>
  <si>
    <t xml:space="preserve"> Salary - Hien Thi Hien Vo-Mar/25- VND-129739532</t>
  </si>
  <si>
    <t xml:space="preserve"> Salary - Hien Thi Hien Vo-Feb/25</t>
  </si>
  <si>
    <t>0% Salary - Hien Thi Hien Vo-Jan/25- VND-115130737</t>
  </si>
  <si>
    <t>Salary - Tran Thi Que Chi-May/25- VND72256825</t>
  </si>
  <si>
    <t>Salary Apr 2025 - Tran Thi Que Chi</t>
  </si>
  <si>
    <t>Salary - Tran Thi Que Chi-Mar/25- VND70850400</t>
  </si>
  <si>
    <t>Salary - Tran Thi Que Chi-Feb/25</t>
  </si>
  <si>
    <t>Salary - Tran Thi Que Chi-Jan/25- VND67049204</t>
  </si>
  <si>
    <t>Interest for late tax payment; VND1992</t>
  </si>
  <si>
    <t xml:space="preserve">Penalty </t>
  </si>
  <si>
    <t>VNQN</t>
  </si>
  <si>
    <t>VNDN7100102;PIT (EE) - Nguyen Thi Thuy Na-Apr/25- VND-81546</t>
  </si>
  <si>
    <t>VNMOET7100206;PIT (EE) - Le Thi Thu Hanh-Apr/25- VND-17104278</t>
  </si>
  <si>
    <t>VNQN7100102;PIT (EE) - Tran Thi Ngoc Duyen-Apr/25- VND0</t>
  </si>
  <si>
    <t>VNBN7100102;PIT (EE) - Le Thi Ut-Apr/25- VND-115046</t>
  </si>
  <si>
    <t>VNOther7100213; PIT - Dang Thanh Canh Apr/25 VND-795057</t>
  </si>
  <si>
    <t>VNQN7100102;PIT (EE) - Mai Anh Thu-Apr/25- VND-722774</t>
  </si>
  <si>
    <t>VNBG7100102;PIT (EE) - Dinh Thi Thuy Duong-Apr/25- VND0</t>
  </si>
  <si>
    <t>VNHCM7100102;PIT (EE) - Nguyen Thi Nhung-Apr/25- VND-188296</t>
  </si>
  <si>
    <t>VNHD7100102;PIT (EE) - Vu Thi Thu Thuy-Apr/25- VND0</t>
  </si>
  <si>
    <t>VNQN7100102;PIT (EE) - Truong Thi Diem Phuong-Apr/25- VND-217157</t>
  </si>
  <si>
    <t>VNQN7100102;PIT (EE) - Ho Thi Mong Thu-Apr/25- VND0</t>
  </si>
  <si>
    <t>VNDN7100102;PIT (EE) - Nguyen Thi Tram Anh-Apr/25- VND0</t>
  </si>
  <si>
    <t>VNDN7100102;PIT (EE) - Vo Thi Quynh Thi-Apr/25- VND-80271</t>
  </si>
  <si>
    <t>VNDN7100102;PIT (EE) - Pham Thi Huyen-Apr/25- VND0</t>
  </si>
  <si>
    <t>VNDN7100102;PIT (EE) - Mai Thi Kim Hang-Apr/25- VND-161754</t>
  </si>
  <si>
    <t>VNLA7100102;PIT (EE) - Bui Thi Hong Hanh-Apr/25- VND-152496</t>
  </si>
  <si>
    <t>VNOther7100402;PIT (EE) - Phan Thi Thao Nguyen-Apr/25- VND-9070696</t>
  </si>
  <si>
    <t>VNOther7100207;PIT (EE) - Nguyen Thi Thanh Thanh -Apr/25- VND-4029191</t>
  </si>
  <si>
    <t>VNMOET7100201;PIT (EE) - Huynh My Ngoc-Apr/25- VND-5041522</t>
  </si>
  <si>
    <t>VNMOET7100201;PIT (EE) - Bui Thi Huong-Apr/25- VND-4453096</t>
  </si>
  <si>
    <t>VNMOET7100107;PIT (EE) - Truong Thi Hai-Apr/25- VND-5041522</t>
  </si>
  <si>
    <t>VNHBC71001030;PIT (EE) - Phan Doan Kim Nhung-Apr/25- VND-124520</t>
  </si>
  <si>
    <t>VNHBC7100201;PIT (EE) - Pham Thi  Dieu Loan-Apr/25- VND-4300587</t>
  </si>
  <si>
    <t>VNMOET7100103;PIT (EE) - Hoang Thi Kieu Oanh-Apr/25- VND-1322918</t>
  </si>
  <si>
    <t>VNOther7100202;PIT (EE) - Nguyen Hong Kim-Apr/25- VND-2199668</t>
  </si>
  <si>
    <t>VNOther7100301;PIT (EE) - Maggie Huyen Nguyen-Apr/25- VND-5024701</t>
  </si>
  <si>
    <t>VNHBC7100101;PIT (EE) - Tran Thi Que Chi-Apr/25- VND-8433531</t>
  </si>
  <si>
    <t>VNOther7100401;PIT (EE) - Thuy Thi Bich Thuy Tran-Apr/25- VND-6598498</t>
  </si>
  <si>
    <t>VNOther7100201;PIT (EE) - Hien Thi Hien Vo-Apr/25- VND-47070416</t>
  </si>
  <si>
    <t>VNQN7100102;SI, HI, UI  - Nguyen Thi Thuy Na-May/25- VND-3604352</t>
  </si>
  <si>
    <t>VNMOET7100206;SI, HI, UI  - Le Thi Thu Hanh-May/25- VND0</t>
  </si>
  <si>
    <t>VNQN7100102;SI, HI, UI  - Tran Thi Ngoc Duyen-May/25- VND-3924352</t>
  </si>
  <si>
    <t>VNBN7100102;SI, HI, UI  - Le Thi Ut-May/25- VND-4244352</t>
  </si>
  <si>
    <t>VNQN7100102;SI, HI, UI  - Mai Anh Thu-May/25- VND-4564352</t>
  </si>
  <si>
    <t>VNBG7100102;SI, HI, UI  - Dinh Thi Thuy Duong-May/25- VND0</t>
  </si>
  <si>
    <t>VNHCM7100102;SI, HI, UI  - Nguyen Thi Nhung-May/25- VND-4564352</t>
  </si>
  <si>
    <t>VNHD7100102;SI, HI, UI  - Vu Thi Thu Thuy-May/25- VND-4069952</t>
  </si>
  <si>
    <t>VNQN7100102;SI, HI, UI  - Truong Thi Diem Phuong-May/25- VND-4069952</t>
  </si>
  <si>
    <t>VNQN7100102;SI, HI, UI  - Ho Thi Mong Thu-May/25- VND0</t>
  </si>
  <si>
    <t>VNDN7100102;SI, HI, UI  - Nguyen Thi Tram Anh-May/25- VND-4564352</t>
  </si>
  <si>
    <t>VNDN7100102;SI, HI, UI  - Vo Thi Quynh Thi-May/25- VND-6516352</t>
  </si>
  <si>
    <t>VNDN7100102;SI, HI, UI  - Pham Thi Huyen-May/25- VND-5064512</t>
  </si>
  <si>
    <t>VNDN7100102;SI, HI, UI  - Mai Thi Kim Hang-May/25- VND-3984832</t>
  </si>
  <si>
    <t>VNLA7100102;SI, HI, UI  - Bui Thi Hong Hanh-May/25- VND-4308352</t>
  </si>
  <si>
    <t>VNOther7100402;SI, HI, UI  - Phan Thi Thao Nguyen-May/25- VND-15444534</t>
  </si>
  <si>
    <t>VNOther7100207;SI, HI, UI  - Nguyen Thi Thanh Thanh -May/25- VND-13242048</t>
  </si>
  <si>
    <t>VNMOET7100201;SI, HI, UI  - Huynh My Ngoc-May/25- VND-15052628</t>
  </si>
  <si>
    <t>VNMOET7100201;SI, HI, UI  - Bui Thi Huong-May/25- VND-15001996</t>
  </si>
  <si>
    <t>VNMOET7100107;SI, HI, UI  - Truong Thi Hai-May/25- VND-15052628</t>
  </si>
  <si>
    <t>VNHBC71001030;SI, HI, UI  - Phan Doan Kim Nhung-May/25- VND-6013447</t>
  </si>
  <si>
    <t>VNELC7100204;SI, HI, UI  - Alice Do Kim Dung-May/25- VND0</t>
  </si>
  <si>
    <t>VNHBC7100201;SI, HI, UI  - Pham Thi  Dieu Loan-May/25- VND-15239574</t>
  </si>
  <si>
    <t>VNMOET7100103;SI, HI, UI  - Hoang Thi Kieu Oanh-May/25- VND-8342490</t>
  </si>
  <si>
    <t>VNOther7100202;SI, HI, UI  - Nguyen Hong Kim-May/25- VND-13125207</t>
  </si>
  <si>
    <t>VNOther7100301;SI, HI, UI  - Maggie Huyen Nguyen-May/25- VND-15135390</t>
  </si>
  <si>
    <t>VNHBC7100101;SI, HI, UI  - Tran Thi Que Chi-May/25- VND-15395850</t>
  </si>
  <si>
    <t>VNOther7100401;SI, HI, UI  - Thuy Thi Bich Thuy Tran-May/25- VND-15255640</t>
  </si>
  <si>
    <t>VNOther7100201;SI, HI, UI  - Hien Thi Hien Vo-May/25- VND0</t>
  </si>
  <si>
    <t>Interest for late tax payment; VND3905496</t>
  </si>
  <si>
    <t>04/23/2025</t>
  </si>
  <si>
    <t>VNHDTOT7100101;PIT 10% withholding - Payment for consulting fee in Feb 2025 for TOT1 Hai Duong ; VND-1113636</t>
  </si>
  <si>
    <t>ELC</t>
  </si>
  <si>
    <t xml:space="preserve">VNELC;PIT 10% withholding - Payment for consultant </t>
  </si>
  <si>
    <t>Nguyen Thi Luyen</t>
  </si>
  <si>
    <t>VNHDTOT7100101;PIT 10% withholding - Payment for consultant of Hai Duong TOT1; VND-2545455</t>
  </si>
  <si>
    <t>VNDN7100102;SI, HI, UI  - Nguyen Thi Thuy Na-Apr/25- VND-3604352</t>
  </si>
  <si>
    <t>VNMOET7100206;SI, HI, UI  - Le Thi Thu Hanh-Apr/25- VND0</t>
  </si>
  <si>
    <t>VNQN7100102;SI, HI, UI  - Tran Thi Ngoc Duyen-Apr/25- VND-3924352</t>
  </si>
  <si>
    <t>VNBN7100102;SI, HI, UI  - Le Thi Ut-Apr/25- VND-4244352</t>
  </si>
  <si>
    <t>VNQN7100102;SI, HI, UI  - Mai Anh Thu-Apr/25- VND-4564352</t>
  </si>
  <si>
    <t>VNHCM7100102;SI, HI, UI  - Nguyen Thi Nhung-Apr/25- VND-4564352</t>
  </si>
  <si>
    <t>VNHD7100102;SI, HI, UI  - Vu Thi Thu Thuy-Apr/25- VND-4069952</t>
  </si>
  <si>
    <t>VNQN7100102;SI, HI, UI  - Truong Thi Diem Phuong-Apr/25- VND-4069952</t>
  </si>
  <si>
    <t>VNQN7100102;SI, HI, UI  - Ho Thi Mong Thu-Apr/25- VND0</t>
  </si>
  <si>
    <t>VNDN7100102;SI, HI, UI  - Nguyen Thi Tram Anh-Apr/25- VND-4564352</t>
  </si>
  <si>
    <t>VNDN7100102;SI, HI, UI  - Vo Thi Quynh Thi-Apr/25- VND-6516352</t>
  </si>
  <si>
    <t>VNDN7100102;SI, HI, UI  - Pham Thi Huyen-Apr/25- VND-5064512</t>
  </si>
  <si>
    <t>VNDN7100102;SI, HI, UI  - Mai Thi Kim Hang-Apr/25- VND-3984832</t>
  </si>
  <si>
    <t>VNLA7100102;SI, HI, UI  - Bui Thi Hong Hanh-Apr/25- VND-4308352</t>
  </si>
  <si>
    <t>VNOther7100402;SI, HI, UI  - Phan Thi Thao Nguyen-Apr/25- VND-15444534</t>
  </si>
  <si>
    <t>VNOther7100207;SI, HI, UI  - Nguyen Thi Thanh Thanh -Apr/25- VND-13242048</t>
  </si>
  <si>
    <t>VNMOET7100201;SI, HI, UI  - Huynh My Ngoc-Apr/25- VND-15052628</t>
  </si>
  <si>
    <t>VNMOET7100201;SI, HI, UI  - Bui Thi Huong-Apr/25- VND-15001996</t>
  </si>
  <si>
    <t>VNMOET7100107;SI, HI, UI  - Truong Thi Hai-Apr/25- VND-15052628</t>
  </si>
  <si>
    <t>VNHBC71001030;SI, HI, UI  - Phan Doan Kim Nhung-Apr/25- VND-6013447</t>
  </si>
  <si>
    <t>VNHBC7100201;SI, HI, UI  - Pham Thi  Dieu Loan-Apr/25- VND-15239574</t>
  </si>
  <si>
    <t>VNMOET7100103;SI, HI, UI  - Hoang Thi Kieu Oanh-Apr/25- VND-8342490</t>
  </si>
  <si>
    <t>VNOther7100202;SI, HI, UI  - Nguyen Hong Kim-Apr/25- VND-13125207</t>
  </si>
  <si>
    <t>VNOther7100301;SI, HI, UI  - Maggie Huyen Nguyen-Apr/25- VND-15135390</t>
  </si>
  <si>
    <t>VNHBC7100101;SI, HI, UI  - Tran Thi Que Chi-Apr/25- VND-15395850</t>
  </si>
  <si>
    <t>VNOther7100401;SI, HI, UI  - Thuy Thi Bich Thuy Tran-Apr/25- VND-15255640</t>
  </si>
  <si>
    <t>VNDN7100102;SI, HI, UI  - Nguyen Thi Thuy Na-Mar/25- VND-3604352</t>
  </si>
  <si>
    <t>04/01/2025</t>
  </si>
  <si>
    <t>VNMOET7100206;SI, HI, UI  - Le Thi Thu Hanh-Mar/25- VND0</t>
  </si>
  <si>
    <t>VNQN7100102;SI, HI, UI  - Tran Thi Ngoc Duyen-Mar/25- VND-3924352</t>
  </si>
  <si>
    <t>VNBN7100102;SI, HI, UI  - Le Thi Ut-Mar/25- VND-4244352</t>
  </si>
  <si>
    <t>VNQN7100102;SI, HI, UI  - Mai Anh Thu-Mar/25- VND-4564352</t>
  </si>
  <si>
    <t>VNHCM7100102;SI, HI, UI  - Nguyen Thi Nhung-Mar/25- VND-4564352</t>
  </si>
  <si>
    <t>VNHD7100102;SI, HI, UI  - Vu Thi Thu Thuy-Mar/25- VND-4069952</t>
  </si>
  <si>
    <t>VNQN7100102;SI, HI, UI  - Truong Thi Diem Phuong-Mar/25- VND-4069952</t>
  </si>
  <si>
    <t>VNQN7100102;SI, HI, UI  - Ho Thi Mong Thu-Mar/25- VND-5039552</t>
  </si>
  <si>
    <t>VNDN7100102;SI, HI, UI  - Nguyen Thi Tram Anh-Mar/25- VND-4564352</t>
  </si>
  <si>
    <t>VNDN7100102;SI, HI, UI  - Vo Thi Quynh Thi-Mar/25- VND-6516352</t>
  </si>
  <si>
    <t>VNDN7100102;SI, HI, UI  - Pham Thi Huyen-Mar/25- VND-5064512</t>
  </si>
  <si>
    <t>VNDN7100102;SI, HI, UI  - Mai Thi Kim Hang-Mar/25- VND-3984832</t>
  </si>
  <si>
    <t>VNLA7100102;SI, HI, UI  - Bui Thi Hong Hanh-Mar/25- VND-4308352</t>
  </si>
  <si>
    <t>VNOther7100402;SI, HI, UI  - Phan Thi Thao Nguyen-Mar/25- VND-15444534</t>
  </si>
  <si>
    <t>VNOther7100207;SI, HI, UI  - Nguyen Thi Thanh Thanh -Mar/25- VND-13242048</t>
  </si>
  <si>
    <t>VNMOET7100201;SI, HI, UI  - Huynh My Ngoc-Mar/25- VND-15052628</t>
  </si>
  <si>
    <t>VNMOET7100201;SI, HI, UI  - Bui Thi Huong-Mar/25- VND-15001996</t>
  </si>
  <si>
    <t>VNMOET7100107;SI, HI, UI  - Truong Thi Hai-Mar/25- VND-15052628</t>
  </si>
  <si>
    <t>VNHBC71001030;SI, HI, UI  - Phan Doan Kim Nhung-Mar/25- VND-6013447</t>
  </si>
  <si>
    <t>VNHBC7100201;SI, HI, UI  - Pham Thi  Dieu Loan-Mar/25- VND-15239574</t>
  </si>
  <si>
    <t>VNMOET7100103;SI, HI, UI  - Hoang Thi Kieu Oanh-Mar/25- VND-8342490</t>
  </si>
  <si>
    <t>VNOther7100202;SI, HI, UI  - Nguyen Hong Kim-Mar/25- VND-13125207</t>
  </si>
  <si>
    <t>VNOther7100301;SI, HI, UI  - Maggie Huyen Nguyen-Mar/25- VND-15135390</t>
  </si>
  <si>
    <t>VNHBC7100101;SI, HI, UI  - Tran Thi Que Chi-Mar/25- VND-15395850</t>
  </si>
  <si>
    <t>VNOther7100401;SI, HI, UI  - Thuy Thi Bich Thuy Tran-Mar/25- VND-15255640</t>
  </si>
  <si>
    <t>VNOther7100201;SI, HI, UI  - Hien Thi Hien Vo-Mar/25- VND0</t>
  </si>
  <si>
    <t>VNDN7100102;PIT (EE) - Nguyen Thi Thuy Na-Jan/25- VND-10969</t>
  </si>
  <si>
    <t>03/19/2025</t>
  </si>
  <si>
    <t>VNMOET7100206;PIT (EE) - Le Thi Thu Hanh-Jan/25- VND-16726278</t>
  </si>
  <si>
    <t>VNQN7100102;PIT (EE) - Tran Thi Ngoc Duyen-Jan/25- VND0</t>
  </si>
  <si>
    <t>VNBN7100102;PIT (EE) - Le Thi Ut-Jan/25- VND-129046</t>
  </si>
  <si>
    <t>VNOther7100213; PIT - Dang Thanh Canh Jan/25 VND-804858</t>
  </si>
  <si>
    <t>VNQN7100102;PIT (EE) - Mai Anh Thu-Jan/25- VND-1284678</t>
  </si>
  <si>
    <t>VNBG7100102;PIT (EE) - Dinh Thi Thuy Duong-Jan/25- VND0</t>
  </si>
  <si>
    <t>VNHCM7100102;PIT (EE) - Nguyen Thi Nhung-Jan/25- VND-188296</t>
  </si>
  <si>
    <t>VNHD7100102;PIT (EE) - Vu Thi Thu Thuy-Jan/25- VND0</t>
  </si>
  <si>
    <t>VNQN7100102;PIT (EE) - Truong Thi Diem Phuong-Jan/25- VND-129657</t>
  </si>
  <si>
    <t>VNQN7100102;PIT (EE) - Ho Thi Mong Thu-Jan/25- VND-339500</t>
  </si>
  <si>
    <t>VNDN7100102;PIT (EE) - Nguyen Thi Tram Anh-Jan/25- VND0</t>
  </si>
  <si>
    <t>VNDN7100102;PIT (EE) - Vo Thi Quynh Thi-Jan/25- VND-118771</t>
  </si>
  <si>
    <t>VNDN7100102;PIT (EE) - Pham Thi Huyen-Jan/25- VND0</t>
  </si>
  <si>
    <t>VNDN7100102;PIT (EE) - Mai Thi Kim Hang-Jan/25- VND-170754</t>
  </si>
  <si>
    <t>VNLA7100102;PIT (EE) - Bui Thi Hong Hanh-Jan/25- VND-152496</t>
  </si>
  <si>
    <t>VNOther7100402;PIT (EE) - Phan Thi Thao Nguyen-Jan/25- VND-9463368</t>
  </si>
  <si>
    <t>VNOther7100207;PIT (EE) - Nguyen Thi Thanh Thanh -Jan/25- VND-3886391</t>
  </si>
  <si>
    <t>VNMOET7100201;PIT (EE) - Huynh My Ngoc-Jan/25- VND-5324453</t>
  </si>
  <si>
    <t>VNMOET7100201;PIT (EE) - Bui Thi Huong-Jan/25- VND-4657671</t>
  </si>
  <si>
    <t>VNMOET7100107;PIT (EE) - Truong Thi Hai-Jan/25- VND-5324453</t>
  </si>
  <si>
    <t>VNHBC71001030;PIT (EE) - Phan Doan Kim Nhung-Jan/25- VND-141722</t>
  </si>
  <si>
    <t>VNHBC7100201;PIT (EE) - Pham Thi  Dieu Loan-Jan/25- VND-4569876</t>
  </si>
  <si>
    <t>VNMOET7100103;PIT (EE) - Hoang Thi Kieu Oanh-Jan/25- VND-1395382</t>
  </si>
  <si>
    <t>VNOther7100202;PIT (EE) - Nguyen Hong Kim-Jan/25- VND-2352247</t>
  </si>
  <si>
    <t>VNOther7100301;PIT (EE) - Maggie Huyen Nguyen-Jan/25- VND-5333649</t>
  </si>
  <si>
    <t>VNHBC7100101;PIT (EE) - Tran Thi Que Chi-Jan/25- VND-8811637</t>
  </si>
  <si>
    <t>VNOther7100401;PIT (EE) - Thuy Thi Bich Thuy Tran-Jan/25- VND-6336313</t>
  </si>
  <si>
    <t>VNOther7100201;PIT (EE) - Hien Thi Hien Vo-Jan/25- VND-53196586</t>
  </si>
  <si>
    <t>VNDN7100102;SI, HI, UI  - Nguyen Thi Thuy Na-Jan/25- VND-3604352</t>
  </si>
  <si>
    <t>VNMOET7100206;SI, HI, UI  - Le Thi Thu Hanh-Jan/25- VND0</t>
  </si>
  <si>
    <t>VNQN7100102;SI, HI, UI  - Tran Thi Ngoc Duyen-Jan/25- VND-3924352</t>
  </si>
  <si>
    <t>VNBN7100102;SI, HI, UI  - Le Thi Ut-Jan/25- VND-4244352</t>
  </si>
  <si>
    <t>VNQN7100102;SI, HI, UI  - Mai Anh Thu-Jan/25- VND-4564352</t>
  </si>
  <si>
    <t>VNBG7100102;SI, HI, UI  - Dinh Thi Thuy Duong-Jan/25- VND0</t>
  </si>
  <si>
    <t>VNHCM7100102;SI, HI, UI  - Nguyen Thi Nhung-Jan/25- VND-4564352</t>
  </si>
  <si>
    <t>VNHD7100102;SI, HI, UI  - Vu Thi Thu Thuy-Jan/25- VND-4069952</t>
  </si>
  <si>
    <t>VNQN7100102;SI, HI, UI  - Truong Thi Diem Phuong-Jan/25- VND-4069952</t>
  </si>
  <si>
    <t>VNQN7100102;SI, HI, UI  - Ho Thi Mong Thu-Jan/25- VND-5039552</t>
  </si>
  <si>
    <t>VNDN7100102;SI, HI, UI  - Nguyen Thi Tram Anh-Jan/25- VND-4564352</t>
  </si>
  <si>
    <t>VNDN7100102;SI, HI, UI  - Vo Thi Quynh Thi-Jan/25- VND-6516352</t>
  </si>
  <si>
    <t>VNDN7100102;SI, HI, UI  - Pham Thi Huyen-Jan/25- VND-5064512</t>
  </si>
  <si>
    <t>VNDN7100102;SI, HI, UI  - Mai Thi Kim Hang-Jan/25- VND-3984832</t>
  </si>
  <si>
    <t>VNLA7100102;SI, HI, UI  - Bui Thi Hong Hanh-Jan/25- VND-4308352</t>
  </si>
  <si>
    <t>VNOther7100402;SI, HI, UI  - Phan Thi Thao Nguyen-Jan/25- VND-15498574</t>
  </si>
  <si>
    <t>VNOther7100207;SI, HI, UI  - Nguyen Thi Thanh Thanh -Jan/25- VND-13242048</t>
  </si>
  <si>
    <t>VNMOET7100201;SI, HI, UI  - Huynh My Ngoc-Jan/25- VND-15091576</t>
  </si>
  <si>
    <t>VNMOET7100201;SI, HI, UI  - Bui Thi Huong-Jan/25- VND-15204056</t>
  </si>
  <si>
    <t>VNMOET7100107;SI, HI, UI  - Truong Thi Hai-Jan/25- VND-15091576</t>
  </si>
  <si>
    <t>VNHBC71001030;SI, HI, UI  - Phan Doan Kim Nhung-Jan/25- VND-6242223</t>
  </si>
  <si>
    <t>VNHBC7100201;SI, HI, UI  - Pham Thi  Dieu Loan-Jan/25- VND-15285824</t>
  </si>
  <si>
    <t>VNMOET7100103;SI, HI, UI  - Hoang Thi Kieu Oanh-Jan/25- VND-8661855</t>
  </si>
  <si>
    <t>VNOther7100202;SI, HI, UI  - Nguyen Hong Kim-Jan/25- VND-13628640</t>
  </si>
  <si>
    <t>VNOther7100301;SI, HI, UI  - Maggie Huyen Nguyen-Jan/25- VND-15177746</t>
  </si>
  <si>
    <t>VNHBC7100101;SI, HI, UI  - Tran Thi Que Chi-Jan/25- VND-15447942</t>
  </si>
  <si>
    <t>VNOther7100401;SI, HI, UI  - Thuy Thi Bich Thuy Tran-Jan/25- VND-15255640</t>
  </si>
  <si>
    <t>VNOther7100201;SI, HI, UI  - Hien Thi Hien Vo-Jan/25- VND0</t>
  </si>
  <si>
    <t>VNDN7100102;PIT (EE) - Nguyen Thi Thuy Na-Jan/25- VND0</t>
  </si>
  <si>
    <t>02/19/2025</t>
  </si>
  <si>
    <t>VNMOET7100206;PIT (EE) - Le Thi Thu Hanh-Jan/25- VND-16429278</t>
  </si>
  <si>
    <t>VNBN7100102;PIT (EE) - Le Thi Ut-Jan/25- VND-98546</t>
  </si>
  <si>
    <t>VNOther7100213; PIT - Dang Thanh Canh Jan/25 VND-749400</t>
  </si>
  <si>
    <t>VNQN7100102;PIT (EE) - Mai Anh Thu-Jan/25- VND-233796</t>
  </si>
  <si>
    <t>VNQN7100102;PIT (EE) - Truong Thi Diem Phuong-Jan/25- VND0</t>
  </si>
  <si>
    <t>VNQN7100102;PIT (EE) - Ho Thi Mong Thu-Jan/25- VND-416500</t>
  </si>
  <si>
    <t>VNDN7100102;PIT (EE) - Vo Thi Quynh Thi-Jan/25- VND-108271</t>
  </si>
  <si>
    <t>VNDN7100102;PIT (EE) - Mai Thi Kim Hang-Jan/25- VND-143754</t>
  </si>
  <si>
    <t>VNOther7100402;PIT (EE) - Phan Thi Thao Nguyen-Jan/25- VND-7843318</t>
  </si>
  <si>
    <t>VNOther7100207;PIT (EE) - Nguyen Thi Thanh Thanh -Jan/25- VND-3774191</t>
  </si>
  <si>
    <t>VNMOET7100201;PIT (EE) - Huynh My Ngoc-Jan/25- VND-4275432</t>
  </si>
  <si>
    <t>VNMOET7100201;PIT (EE) - Bui Thi Huong-Jan/25- VND-3791154</t>
  </si>
  <si>
    <t>VNMOET7100107;PIT (EE) - Truong Thi Hai-Jan/25- VND-4275432</t>
  </si>
  <si>
    <t>VNHBC71001030;PIT (EE) - Phan Doan Kim Nhung-Jan/25- VND-62640</t>
  </si>
  <si>
    <t>VNHBC7100201;PIT (EE) - Pham Thi  Dieu Loan-Jan/25- VND-3460992</t>
  </si>
  <si>
    <t>VNMOET7100103;PIT (EE) - Hoang Thi Kieu Oanh-Jan/25- VND-1064522</t>
  </si>
  <si>
    <t>VNOther7100202;PIT (EE) - Nguyen Hong Kim-Jan/25- VND-1730298</t>
  </si>
  <si>
    <t>VNOther7100301;PIT (EE) - Maggie Huyen Nguyen-Jan/25- VND-4201845</t>
  </si>
  <si>
    <t>VNHBC7100101;PIT (EE) - Tran Thi Que Chi-Jan/25- VND-7249640</t>
  </si>
  <si>
    <t>VNOther7100401;PIT (EE) - Thuy Thi Bich Thuy Tran-Jan/25- VND-6130310</t>
  </si>
  <si>
    <t>VNOther7100201;PIT (EE) - Hien Thi Hien Vo-Jan/25- VND-38369938</t>
  </si>
  <si>
    <t>VNDN7100102;SI, HI, UI  - Nguyen Thi Thuy Na-Jan/25- VND-3200000</t>
  </si>
  <si>
    <t>30 Bank VN:Vietnam (VND)</t>
  </si>
  <si>
    <t>8408202406120104</t>
  </si>
  <si>
    <t>Cheque Expense</t>
  </si>
  <si>
    <t>JV48</t>
  </si>
  <si>
    <t>VNOther7100402;SI, HI, UI  - Phan Thi Thao Nguyen-Jan/25- VND-15390494</t>
  </si>
  <si>
    <t>VNMOET7100201;SI, HI, UI  - Huynh My Ngoc-Jan/25- VND-15013680</t>
  </si>
  <si>
    <t>VNMOET7100201;SI, HI, UI  - Bui Thi Huong-Jan/25- VND-14799936</t>
  </si>
  <si>
    <t>VNMOET7100107;SI, HI, UI  - Truong Thi Hai-Jan/25- VND-15013680</t>
  </si>
  <si>
    <t>VNHBC71001030;SI, HI, UI  - Phan Doan Kim Nhung-Jan/25- VND-5784671</t>
  </si>
  <si>
    <t>VNHBC7100201;SI, HI, UI  - Pham Thi  Dieu Loan-Jan/25- VND-15193324</t>
  </si>
  <si>
    <t>VNMOET7100103;SI, HI, UI  - Hoang Thi Kieu Oanh-Jan/25- VND-8023125</t>
  </si>
  <si>
    <t>VNOther7100202;SI, HI, UI  - Nguyen Hong Kim-Jan/25- VND-12621774</t>
  </si>
  <si>
    <t>VNOther7100301;SI, HI, UI  - Maggie Huyen Nguyen-Jan/25- VND-15093034</t>
  </si>
  <si>
    <t>VNHBC7100101;SI, HI, UI  - Tran Thi Que Chi-Jan/25- VND-15343758</t>
  </si>
  <si>
    <t>VNELC</t>
  </si>
  <si>
    <t>Service Center for Foreign AffairsDEC 2023 Total184175568</t>
  </si>
  <si>
    <t>VNMOET;Appraisal training material cost by MOET  - Vũ Huyền Trinh - PIT; VND-1900000</t>
  </si>
  <si>
    <t>VU HUYEN TRINH</t>
  </si>
  <si>
    <t>01/20/2025</t>
  </si>
  <si>
    <t>VNMOET;Appraisal training material cost by MOET - Nguyễn Thị Thu Hiền - PIT; VND-900000</t>
  </si>
  <si>
    <t>Nguyen Thi Thu Hien</t>
  </si>
  <si>
    <t>VNMOET;Appraisal training material cost by MOET  - Nguyễn Thị Hảo - PIT; VND-900000</t>
  </si>
  <si>
    <t>Nguyen Thi Hao</t>
  </si>
  <si>
    <t>VNMOET;Appraisal training material cost by MOET - Nguyễn Minh Huyền - PIT; VND-1300000</t>
  </si>
  <si>
    <t>Nguyen Minh Huyen</t>
  </si>
  <si>
    <t>VNMOET;Appraisal training material cost by MOET - Nguyễn Bá Minh -PIT; VND-2300000</t>
  </si>
  <si>
    <t>Nguyen Ba Minh</t>
  </si>
  <si>
    <t>VNMOET;Appraisal training material cost by MOET - Đỗ Thị Linh - PIT; VND-900000</t>
  </si>
  <si>
    <t>Do Thi Linh</t>
  </si>
  <si>
    <t>VNMOET;Appraisal training material cost by MOET  - Bùi Thị Lâm - PIT; VND-900000</t>
  </si>
  <si>
    <t>Bui Thi Lam</t>
  </si>
  <si>
    <t>PIT 10% - Drawing course for the excellent teacher of the school year 2023-2024 - Le Thi Ha</t>
  </si>
  <si>
    <t>Tu Anh Duong</t>
  </si>
  <si>
    <t>Dec PIT settlement ; VND176010664</t>
  </si>
  <si>
    <t>VNHCM7100102;PIT (EE) - Nguyen Minh Tam-Dec/24- VND-616250</t>
  </si>
  <si>
    <t>Nguyen Minh Tam</t>
  </si>
  <si>
    <t>VNQNg7100102;PIT (EE) - Nguyen Minh Hanh-Dec/24- VND-504749</t>
  </si>
  <si>
    <t>Nguyen Minh Hanh</t>
  </si>
  <si>
    <t>VNQNg7100102;PIT (EE) - Pham Thi Nhi Ca-Dec/24- VND-178338</t>
  </si>
  <si>
    <t>VNHD7100102;PIT (EE) - Nguyen Thi Thuy-Dec/24- VND-100400</t>
  </si>
  <si>
    <t>Nguyen Thi Thuy</t>
  </si>
  <si>
    <t>VNDN7100102;PIT (EE) - Nguyen Thi Thuy Na-Dec/24- VND0</t>
  </si>
  <si>
    <t>Yes</t>
  </si>
  <si>
    <t>VNMOET7100206;PIT (EE) - Le Thi Thu Hanh-Dec/24- VND-11996130</t>
  </si>
  <si>
    <t>VNQN7100102;PIT (EE) - Tran Thi Ngoc Duyen-Dec/24- VND-73346</t>
  </si>
  <si>
    <t>VNBN7100102;PIT (EE) - Le Thi Ut-Dec/24- VND-163416</t>
  </si>
  <si>
    <t>VNOther7100213; PIT - Dang Thanh Canh Dec/24 VND-756900</t>
  </si>
  <si>
    <t>VNQN7100102;PIT (EE) - Mai Anh Thu-Dec/24- VND-2926909</t>
  </si>
  <si>
    <t>VNBG7100102;PIT (EE) - Dinh Thi Thuy Duong-Dec/24- VND-475745</t>
  </si>
  <si>
    <t>VNHCM7100102;PIT (EE) - Nguyen Thi Nhung-Dec/24- VND-646245</t>
  </si>
  <si>
    <t>VNHD7100102;PIT (EE) - Vu Thi Thu Thuy-Dec/24- VND-187141</t>
  </si>
  <si>
    <t>VNQN7100102;PIT (EE) - Ho Thi Mong Thu-Dec/24- VND-2378815</t>
  </si>
  <si>
    <t>VNDN7100102;PIT (EE) - Nguyen Thi Tram Anh-Dec/24- VND-201625</t>
  </si>
  <si>
    <t>VNDN7100102;PIT (EE) - Vo Thi Quynh Thi-Dec/24- VND-2094200</t>
  </si>
  <si>
    <t>VNDN7100102;PIT (EE) - Pham Thi Huyen-Dec/24- VND-1015633</t>
  </si>
  <si>
    <t>VNDN7100102;PIT (EE) - Mai Thi Kim Hang-Dec/24- VND-1255223</t>
  </si>
  <si>
    <t>VNLA7100102;PIT (EE) - Bui Thi Hong Hanh-Dec/24- VND-1729500</t>
  </si>
  <si>
    <t>VNOther7100402;PIT (EE) - Phan Thi Thao Nguyen-Dec/24- VND-8017318</t>
  </si>
  <si>
    <t>VNOther7100207;PIT (EE) - Nguyen Thi Thanh Thanh -Dec/24- VND-3862404</t>
  </si>
  <si>
    <t>VNMOET7100201;PIT (EE) - Huynh My Ngoc-Dec/24- VND-4375792</t>
  </si>
  <si>
    <t>VNMOET7100201;PIT (EE) - Bui Thi Huong-Dec/24- VND-3889745</t>
  </si>
  <si>
    <t>VNMOET7100107;PIT (EE) - Truong Thi Hai-Dec/24- VND-3495792</t>
  </si>
  <si>
    <t>VNHBC71001030;PIT (EE) - Phan Doan Kim Nhung-Dec/24- VND-72274</t>
  </si>
  <si>
    <t>VNHBC7100201;PIT (EE) - Pham Thi  Dieu Loan-Dec/24- VND-3579868</t>
  </si>
  <si>
    <t>VNMOET7100103;PIT (EE) - Hoang Thi Kieu Oanh-Dec/24- VND-1104607</t>
  </si>
  <si>
    <t>VNOther7100202;PIT (EE) - Nguyen Hong Kim-Dec/24- VND-1793359</t>
  </si>
  <si>
    <t>VNOther7100301;PIT (EE) - Maggie Huyen Nguyen-Dec/24- VND-4310384</t>
  </si>
  <si>
    <t>VNHBC7100101;PIT (EE) - Tran Thi Que Chi-Dec/24- VND-7417618</t>
  </si>
  <si>
    <t>VNOther7100401;PIT (EE) - Thuy Thi Bich Thuy Tran-Dec/24- VND-8022440</t>
  </si>
  <si>
    <t>VNOther7100201;PIT (EE) - Hien Thi Hien Vo-Dec/24- VND-89312943</t>
  </si>
  <si>
    <t>JV15</t>
  </si>
  <si>
    <t>Edu</t>
  </si>
  <si>
    <t>Org</t>
  </si>
  <si>
    <t>Oper</t>
  </si>
  <si>
    <t>Location C&amp;G</t>
  </si>
  <si>
    <t>Location</t>
  </si>
  <si>
    <t>Month</t>
  </si>
  <si>
    <t>Payeee</t>
  </si>
  <si>
    <t>copy from AP1500 (PIT) - QBO</t>
  </si>
  <si>
    <t>PIT + SI, HI, UI payment</t>
  </si>
  <si>
    <t>OneSky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</si>
</sst>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1"/>
    <xf numFmtId="164" fontId="0" fillId="0" borderId="0" xfId="2" applyNumberFormat="1" applyFont="1"/>
    <xf numFmtId="43" fontId="0" fillId="0" borderId="0" xfId="2" applyFont="1"/>
    <xf numFmtId="164" fontId="0" fillId="0" borderId="0" xfId="2" applyNumberFormat="1" applyFont="1" applyAlignment="1"/>
    <xf numFmtId="0" fontId="1" fillId="2" borderId="0" xfId="1" applyFill="1"/>
    <xf numFmtId="164" fontId="0" fillId="2" borderId="0" xfId="2" applyNumberFormat="1" applyFont="1" applyFill="1"/>
    <xf numFmtId="43" fontId="0" fillId="2" borderId="0" xfId="2" applyFont="1" applyFill="1"/>
    <xf numFmtId="164" fontId="0" fillId="0" borderId="0" xfId="2" applyNumberFormat="1" applyFont="1" applyBorder="1" applyAlignment="1"/>
    <xf numFmtId="164" fontId="0" fillId="0" borderId="1" xfId="2" applyNumberFormat="1" applyFont="1" applyBorder="1" applyAlignment="1"/>
    <xf numFmtId="164" fontId="0" fillId="0" borderId="2" xfId="2" applyNumberFormat="1" applyFont="1" applyBorder="1" applyAlignment="1"/>
    <xf numFmtId="0" fontId="2" fillId="0" borderId="0" xfId="1" applyFont="1"/>
    <xf numFmtId="0" fontId="2" fillId="0" borderId="0" xfId="1" applyFont="1" applyAlignment="1">
      <alignment horizontal="center"/>
    </xf>
    <xf numFmtId="164" fontId="2" fillId="0" borderId="0" xfId="2" applyNumberFormat="1" applyFont="1" applyFill="1" applyBorder="1"/>
    <xf numFmtId="14" fontId="2" fillId="0" borderId="0" xfId="1" applyNumberFormat="1" applyFont="1"/>
    <xf numFmtId="164" fontId="2" fillId="3" borderId="0" xfId="2" applyNumberFormat="1" applyFont="1" applyFill="1"/>
    <xf numFmtId="164" fontId="2" fillId="3" borderId="0" xfId="2" applyNumberFormat="1" applyFont="1" applyFill="1" applyBorder="1"/>
    <xf numFmtId="164" fontId="2" fillId="3" borderId="1" xfId="2" applyNumberFormat="1" applyFont="1" applyFill="1" applyBorder="1"/>
    <xf numFmtId="164" fontId="2" fillId="3" borderId="2" xfId="2" applyNumberFormat="1" applyFont="1" applyFill="1" applyBorder="1"/>
    <xf numFmtId="164" fontId="0" fillId="0" borderId="0" xfId="2" applyNumberFormat="1" applyFont="1" applyBorder="1"/>
    <xf numFmtId="164" fontId="0" fillId="0" borderId="1" xfId="2" applyNumberFormat="1" applyFont="1" applyBorder="1"/>
    <xf numFmtId="164" fontId="0" fillId="0" borderId="2" xfId="2" applyNumberFormat="1" applyFont="1" applyBorder="1"/>
    <xf numFmtId="14" fontId="2" fillId="0" borderId="3" xfId="1" applyNumberFormat="1" applyFont="1" applyBorder="1"/>
    <xf numFmtId="0" fontId="2" fillId="0" borderId="3" xfId="1" applyFont="1" applyBorder="1"/>
    <xf numFmtId="164" fontId="2" fillId="0" borderId="0" xfId="1" applyNumberFormat="1" applyFont="1" applyAlignment="1">
      <alignment horizontal="center"/>
    </xf>
    <xf numFmtId="0" fontId="1" fillId="4" borderId="0" xfId="1" applyFill="1"/>
    <xf numFmtId="164" fontId="0" fillId="4" borderId="0" xfId="2" applyNumberFormat="1" applyFont="1" applyFill="1"/>
    <xf numFmtId="164" fontId="0" fillId="4" borderId="0" xfId="2" applyNumberFormat="1" applyFont="1" applyFill="1" applyBorder="1"/>
    <xf numFmtId="164" fontId="0" fillId="4" borderId="1" xfId="2" applyNumberFormat="1" applyFont="1" applyFill="1" applyBorder="1"/>
    <xf numFmtId="164" fontId="0" fillId="4" borderId="2" xfId="2" applyNumberFormat="1" applyFont="1" applyFill="1" applyBorder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164" fontId="2" fillId="4" borderId="0" xfId="2" applyNumberFormat="1" applyFont="1" applyFill="1" applyBorder="1"/>
    <xf numFmtId="14" fontId="2" fillId="4" borderId="0" xfId="1" applyNumberFormat="1" applyFont="1" applyFill="1"/>
    <xf numFmtId="0" fontId="2" fillId="0" borderId="3" xfId="1" applyFont="1" applyBorder="1" applyAlignment="1">
      <alignment wrapText="1"/>
    </xf>
    <xf numFmtId="164" fontId="2" fillId="0" borderId="0" xfId="2" applyNumberFormat="1" applyFont="1" applyFill="1" applyBorder="1" applyAlignment="1"/>
    <xf numFmtId="164" fontId="2" fillId="3" borderId="0" xfId="2" applyNumberFormat="1" applyFont="1" applyFill="1" applyAlignment="1"/>
    <xf numFmtId="164" fontId="2" fillId="3" borderId="0" xfId="2" applyNumberFormat="1" applyFont="1" applyFill="1" applyBorder="1" applyAlignment="1"/>
    <xf numFmtId="164" fontId="2" fillId="3" borderId="1" xfId="2" applyNumberFormat="1" applyFont="1" applyFill="1" applyBorder="1" applyAlignment="1"/>
    <xf numFmtId="164" fontId="2" fillId="3" borderId="2" xfId="2" applyNumberFormat="1" applyFont="1" applyFill="1" applyBorder="1" applyAlignment="1"/>
    <xf numFmtId="0" fontId="2" fillId="0" borderId="0" xfId="1" applyFont="1" applyAlignment="1">
      <alignment wrapText="1"/>
    </xf>
    <xf numFmtId="164" fontId="3" fillId="5" borderId="4" xfId="2" applyNumberFormat="1" applyFont="1" applyFill="1" applyBorder="1" applyAlignment="1" applyProtection="1">
      <alignment horizontal="right" vertical="center"/>
    </xf>
    <xf numFmtId="164" fontId="0" fillId="0" borderId="0" xfId="2" applyNumberFormat="1" applyFont="1" applyFill="1" applyBorder="1"/>
    <xf numFmtId="14" fontId="4" fillId="0" borderId="0" xfId="1" applyNumberFormat="1" applyFont="1"/>
    <xf numFmtId="14" fontId="4" fillId="2" borderId="0" xfId="1" applyNumberFormat="1" applyFont="1" applyFill="1"/>
    <xf numFmtId="14" fontId="4" fillId="6" borderId="0" xfId="1" applyNumberFormat="1" applyFont="1" applyFill="1"/>
    <xf numFmtId="0" fontId="0" fillId="0" borderId="0" xfId="2" applyNumberFormat="1" applyFont="1" applyFill="1" applyBorder="1"/>
    <xf numFmtId="164" fontId="2" fillId="0" borderId="5" xfId="2" applyNumberFormat="1" applyFont="1" applyFill="1" applyBorder="1"/>
    <xf numFmtId="0" fontId="2" fillId="0" borderId="5" xfId="1" applyFont="1" applyBorder="1" applyAlignment="1">
      <alignment wrapText="1"/>
    </xf>
    <xf numFmtId="0" fontId="2" fillId="0" borderId="5" xfId="1" applyFont="1" applyBorder="1"/>
    <xf numFmtId="0" fontId="2" fillId="3" borderId="5" xfId="1" applyFont="1" applyFill="1" applyBorder="1" applyAlignment="1">
      <alignment wrapText="1"/>
    </xf>
    <xf numFmtId="0" fontId="2" fillId="3" borderId="5" xfId="1" applyFont="1" applyFill="1" applyBorder="1"/>
    <xf numFmtId="0" fontId="2" fillId="0" borderId="6" xfId="1" applyFont="1" applyBorder="1" applyAlignment="1">
      <alignment vertical="center" wrapText="1"/>
    </xf>
    <xf numFmtId="0" fontId="2" fillId="0" borderId="1" xfId="1" applyFont="1" applyBorder="1" applyAlignment="1">
      <alignment horizont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horizontal="center"/>
    </xf>
    <xf numFmtId="0" fontId="2" fillId="3" borderId="7" xfId="1" applyFont="1" applyFill="1" applyBorder="1" applyAlignment="1">
      <alignment wrapText="1"/>
    </xf>
    <xf numFmtId="0" fontId="2" fillId="3" borderId="6" xfId="1" applyFont="1" applyFill="1" applyBorder="1"/>
    <xf numFmtId="0" fontId="2" fillId="3" borderId="6" xfId="1" applyFont="1" applyFill="1" applyBorder="1" applyAlignment="1">
      <alignment horizontal="center"/>
    </xf>
    <xf numFmtId="0" fontId="2" fillId="0" borderId="7" xfId="1" applyFont="1" applyBorder="1" applyAlignment="1">
      <alignment wrapText="1"/>
    </xf>
    <xf numFmtId="0" fontId="2" fillId="0" borderId="6" xfId="1" applyFont="1" applyBorder="1"/>
    <xf numFmtId="0" fontId="2" fillId="0" borderId="8" xfId="1" applyFont="1" applyBorder="1"/>
    <xf numFmtId="164" fontId="2" fillId="0" borderId="8" xfId="2" applyNumberFormat="1" applyFont="1" applyFill="1" applyBorder="1"/>
    <xf numFmtId="0" fontId="2" fillId="3" borderId="7" xfId="1" applyFont="1" applyFill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3" borderId="6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horizontal="center"/>
    </xf>
    <xf numFmtId="0" fontId="2" fillId="3" borderId="7" xfId="1" applyFont="1" applyFill="1" applyBorder="1" applyAlignment="1">
      <alignment vertical="center" wrapText="1"/>
    </xf>
    <xf numFmtId="14" fontId="2" fillId="0" borderId="1" xfId="1" applyNumberFormat="1" applyFont="1" applyBorder="1" applyAlignment="1">
      <alignment horizontal="center"/>
    </xf>
    <xf numFmtId="0" fontId="1" fillId="0" borderId="4" xfId="1" applyBorder="1"/>
    <xf numFmtId="164" fontId="0" fillId="0" borderId="4" xfId="2" applyNumberFormat="1" applyFont="1" applyFill="1" applyBorder="1"/>
    <xf numFmtId="0" fontId="1" fillId="0" borderId="4" xfId="1" applyBorder="1" applyAlignment="1">
      <alignment horizontal="left"/>
    </xf>
    <xf numFmtId="164" fontId="0" fillId="2" borderId="4" xfId="2" applyNumberFormat="1" applyFont="1" applyFill="1" applyBorder="1"/>
    <xf numFmtId="43" fontId="2" fillId="3" borderId="0" xfId="2" applyFont="1" applyFill="1"/>
    <xf numFmtId="43" fontId="2" fillId="3" borderId="0" xfId="2" applyFont="1" applyFill="1" applyBorder="1"/>
    <xf numFmtId="43" fontId="2" fillId="3" borderId="1" xfId="2" applyFont="1" applyFill="1" applyBorder="1"/>
    <xf numFmtId="43" fontId="2" fillId="3" borderId="2" xfId="2" applyFont="1" applyFill="1" applyBorder="1"/>
    <xf numFmtId="0" fontId="5" fillId="0" borderId="0" xfId="1" applyFont="1"/>
    <xf numFmtId="0" fontId="5" fillId="0" borderId="1" xfId="1" applyFont="1" applyBorder="1"/>
    <xf numFmtId="0" fontId="5" fillId="0" borderId="2" xfId="1" applyFont="1" applyBorder="1"/>
    <xf numFmtId="164" fontId="5" fillId="0" borderId="0" xfId="2" applyNumberFormat="1" applyFont="1"/>
    <xf numFmtId="164" fontId="5" fillId="0" borderId="0" xfId="2" applyNumberFormat="1" applyFont="1" applyBorder="1"/>
    <xf numFmtId="43" fontId="5" fillId="0" borderId="0" xfId="2" applyFont="1" applyBorder="1"/>
    <xf numFmtId="164" fontId="5" fillId="0" borderId="4" xfId="2" applyNumberFormat="1" applyFont="1" applyBorder="1"/>
    <xf numFmtId="0" fontId="5" fillId="0" borderId="4" xfId="1" applyFont="1" applyBorder="1"/>
    <xf numFmtId="164" fontId="1" fillId="0" borderId="0" xfId="1" applyNumberFormat="1"/>
    <xf numFmtId="0" fontId="1" fillId="0" borderId="1" xfId="1" applyBorder="1"/>
    <xf numFmtId="0" fontId="1" fillId="0" borderId="2" xfId="1" applyBorder="1"/>
    <xf numFmtId="43" fontId="2" fillId="0" borderId="0" xfId="2" applyFont="1" applyFill="1"/>
    <xf numFmtId="164" fontId="2" fillId="0" borderId="0" xfId="2" applyNumberFormat="1" applyFont="1" applyFill="1"/>
    <xf numFmtId="164" fontId="0" fillId="0" borderId="0" xfId="2" applyNumberFormat="1" applyFont="1" applyFill="1"/>
    <xf numFmtId="43" fontId="0" fillId="0" borderId="0" xfId="2" applyFont="1" applyFill="1"/>
  </cellXfs>
  <cellStyles count="3">
    <cellStyle name="Comma 2" xfId="2" xr:uid="{36E4998D-974B-CA44-AD7B-C8BFD1C068E3}"/>
    <cellStyle name="Normal" xfId="0" builtinId="0"/>
    <cellStyle name="Normal 2" xfId="1" xr:uid="{1FBB4892-A540-0B4A-BD45-9E8EC9458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Relationship Id="rId1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%20%20(1).xlsx" TargetMode="External"/><Relationship Id="rId1" Type="http://schemas.openxmlformats.org/officeDocument/2006/relationships/externalLinkPath" Target="/Users/kyle/Downloads/Dec%202025_Raw%20data_AI%20working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otes"/>
      <sheetName val="Summary"/>
      <sheetName val="cost allocation"/>
      <sheetName val="C&amp;G Ledger_allocation"/>
      <sheetName val="Summary_k phan bo"/>
      <sheetName val="Jan 25"/>
      <sheetName val="Advance Ledger 2024"/>
      <sheetName val="PIT+SI payment"/>
      <sheetName val="salary allocation"/>
      <sheetName val="C&amp;G Ledger_k Phan bo"/>
      <sheetName val="salary allocation-v2"/>
      <sheetName val="C&amp;G Oct25"/>
      <sheetName val="C&amp;G Sep25"/>
      <sheetName val="C&amp;G Aug25"/>
      <sheetName val="C&amp;G_Jan25"/>
      <sheetName val="C&amp;G_Feb25"/>
      <sheetName val="C&amp;G_Mar25"/>
      <sheetName val="C&amp;G Apr25"/>
      <sheetName val="C&amp;G May25"/>
      <sheetName val="C&amp;G Jun25"/>
      <sheetName val="Advance Ledger 2025"/>
      <sheetName val="Allocation rate"/>
      <sheetName val="Tổng hợp"/>
      <sheetName val="Lũy kế_ DN"/>
      <sheetName val="Báo cáo PACCOM"/>
      <sheetName val="Fund_sacombank"/>
      <sheetName val="Child #"/>
      <sheetName val="Commitment"/>
      <sheetName val="Sheet3"/>
    </sheetNames>
    <sheetDataSet>
      <sheetData sheetId="0"/>
      <sheetData sheetId="1"/>
      <sheetData sheetId="2"/>
      <sheetData sheetId="3"/>
      <sheetData sheetId="4">
        <row r="4">
          <cell r="AP4">
            <v>0</v>
          </cell>
        </row>
        <row r="7">
          <cell r="AP7" t="str">
            <v>ELC</v>
          </cell>
          <cell r="AQ7" t="str">
            <v>VNELC</v>
          </cell>
          <cell r="AR7" t="str">
            <v>VNOther</v>
          </cell>
          <cell r="AS7" t="str">
            <v>VNHBC</v>
          </cell>
          <cell r="AT7" t="str">
            <v>VNDN</v>
          </cell>
          <cell r="AU7" t="str">
            <v>VNQN</v>
          </cell>
          <cell r="AV7" t="str">
            <v>VNHD</v>
          </cell>
          <cell r="AW7" t="str">
            <v>VNQNg</v>
          </cell>
          <cell r="AX7" t="str">
            <v>VNMOET</v>
          </cell>
          <cell r="AY7" t="str">
            <v>VNLA</v>
          </cell>
          <cell r="AZ7" t="str">
            <v>VNHCM</v>
          </cell>
          <cell r="BA7" t="str">
            <v>VNBD</v>
          </cell>
          <cell r="BB7" t="str">
            <v>VNBN</v>
          </cell>
          <cell r="BC7" t="str">
            <v>VNBG</v>
          </cell>
          <cell r="BD7" t="str">
            <v>Cao Bang Relief</v>
          </cell>
        </row>
        <row r="9">
          <cell r="B9" t="str">
            <v>Transaction Date</v>
          </cell>
          <cell r="C9" t="str">
            <v>Deposit Voucher
Phiếu nộp tiền</v>
          </cell>
          <cell r="D9" t="str">
            <v>Journal Voucher
Ủy nhiệm chi</v>
          </cell>
          <cell r="E9" t="str">
            <v xml:space="preserve">Làm việc với ICC team:
 - Update changes của các project trên google drive
 - Add tên khóa học, tỉnh trên các diễn giải khi thanh toán
 - </v>
          </cell>
          <cell r="F9" t="str">
            <v>No.</v>
          </cell>
          <cell r="G9" t="str">
            <v>Posting</v>
          </cell>
          <cell r="H9" t="str">
            <v>Name</v>
          </cell>
          <cell r="J9" t="str">
            <v>Memo/Description</v>
          </cell>
          <cell r="K9" t="str">
            <v>Bank Account</v>
          </cell>
          <cell r="L9" t="str">
            <v>Amount</v>
          </cell>
          <cell r="AP9" t="str">
            <v>ELC Operation</v>
          </cell>
          <cell r="AQ9" t="str">
            <v>ELC training</v>
          </cell>
          <cell r="AR9" t="str">
            <v>In support</v>
          </cell>
          <cell r="AS9" t="str">
            <v>General VN</v>
          </cell>
          <cell r="AT9" t="str">
            <v>DN ICC</v>
          </cell>
          <cell r="AU9" t="str">
            <v>QN ICC</v>
          </cell>
          <cell r="AV9" t="str">
            <v>HD ICC</v>
          </cell>
          <cell r="AW9" t="str">
            <v>QNg ICC</v>
          </cell>
          <cell r="AX9" t="str">
            <v>MOET</v>
          </cell>
          <cell r="AY9" t="str">
            <v>MOET LA</v>
          </cell>
          <cell r="AZ9" t="str">
            <v>MOET HCM</v>
          </cell>
          <cell r="BA9" t="str">
            <v>MOET BD</v>
          </cell>
          <cell r="BB9" t="str">
            <v>MOET BN</v>
          </cell>
          <cell r="BC9" t="str">
            <v>MOET BG</v>
          </cell>
          <cell r="BD9" t="str">
            <v>Cao Bang Relief</v>
          </cell>
        </row>
      </sheetData>
      <sheetData sheetId="5"/>
      <sheetData sheetId="6"/>
      <sheetData sheetId="7"/>
      <sheetData sheetId="8"/>
      <sheetData sheetId="9">
        <row r="3">
          <cell r="E3" t="str">
            <v>VNELC</v>
          </cell>
          <cell r="F3" t="str">
            <v>VNDN</v>
          </cell>
          <cell r="G3" t="str">
            <v>VNQN</v>
          </cell>
          <cell r="H3" t="str">
            <v>VNHD</v>
          </cell>
          <cell r="I3" t="str">
            <v>VNQNg</v>
          </cell>
          <cell r="J3" t="str">
            <v>VNMOET</v>
          </cell>
        </row>
        <row r="6">
          <cell r="D6" t="str">
            <v>Hien Thi Hien Vo</v>
          </cell>
          <cell r="E6">
            <v>0.5</v>
          </cell>
          <cell r="F6">
            <v>0.1</v>
          </cell>
          <cell r="G6">
            <v>0.1</v>
          </cell>
          <cell r="H6">
            <v>0.1</v>
          </cell>
          <cell r="J6">
            <v>0.2</v>
          </cell>
        </row>
        <row r="7">
          <cell r="D7" t="str">
            <v>Sophie Nguyen Thi Bao Nhung</v>
          </cell>
          <cell r="E7">
            <v>0</v>
          </cell>
          <cell r="F7">
            <v>0.2</v>
          </cell>
          <cell r="G7">
            <v>0.2</v>
          </cell>
          <cell r="H7">
            <v>0.2</v>
          </cell>
          <cell r="J7">
            <v>0.4</v>
          </cell>
        </row>
        <row r="8">
          <cell r="D8" t="str">
            <v>Truong Thi Hai</v>
          </cell>
          <cell r="E8">
            <v>0</v>
          </cell>
          <cell r="F8">
            <v>0.2</v>
          </cell>
          <cell r="G8">
            <v>0.2</v>
          </cell>
          <cell r="H8">
            <v>0.2</v>
          </cell>
          <cell r="J8">
            <v>0.4</v>
          </cell>
        </row>
        <row r="9">
          <cell r="D9" t="str">
            <v>Huynh My Ngoc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J9">
            <v>1</v>
          </cell>
        </row>
        <row r="10">
          <cell r="D10" t="str">
            <v>Bui Thi Huong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J10">
            <v>1</v>
          </cell>
        </row>
        <row r="11">
          <cell r="D11" t="str">
            <v>Hoang Thi Kieu Oanh</v>
          </cell>
          <cell r="E11">
            <v>0</v>
          </cell>
          <cell r="F11">
            <v>0.2</v>
          </cell>
          <cell r="G11">
            <v>0.2</v>
          </cell>
          <cell r="H11">
            <v>0.2</v>
          </cell>
          <cell r="J11">
            <v>0.4</v>
          </cell>
        </row>
        <row r="12">
          <cell r="D12" t="str">
            <v>Phan Doan Kim Nhung</v>
          </cell>
          <cell r="E12">
            <v>0</v>
          </cell>
          <cell r="F12">
            <v>0.2</v>
          </cell>
          <cell r="G12">
            <v>0.2</v>
          </cell>
          <cell r="H12">
            <v>0.2</v>
          </cell>
          <cell r="J12">
            <v>0.4</v>
          </cell>
        </row>
        <row r="13">
          <cell r="D13" t="str">
            <v>Le Thi Thu Huyen</v>
          </cell>
          <cell r="E13">
            <v>0</v>
          </cell>
          <cell r="F13">
            <v>0.2</v>
          </cell>
          <cell r="G13">
            <v>0.2</v>
          </cell>
          <cell r="H13">
            <v>0.2</v>
          </cell>
          <cell r="J13">
            <v>0.4</v>
          </cell>
        </row>
        <row r="14">
          <cell r="D14" t="str">
            <v>Thuy Thi Bich Thuy Tran</v>
          </cell>
          <cell r="E14">
            <v>0.5</v>
          </cell>
          <cell r="F14">
            <v>0.1</v>
          </cell>
          <cell r="G14">
            <v>0.1</v>
          </cell>
          <cell r="H14">
            <v>0.1</v>
          </cell>
          <cell r="J14">
            <v>0.2</v>
          </cell>
        </row>
        <row r="15">
          <cell r="D15" t="str">
            <v>Maggie Huyen Nguyen</v>
          </cell>
          <cell r="E15">
            <v>0.15</v>
          </cell>
          <cell r="F15">
            <v>0.16999999999999998</v>
          </cell>
          <cell r="G15">
            <v>0.16999999999999998</v>
          </cell>
          <cell r="H15">
            <v>0.16999999999999998</v>
          </cell>
          <cell r="J15">
            <v>0.33999999999999997</v>
          </cell>
        </row>
        <row r="16">
          <cell r="D16" t="str">
            <v>Nguyen Hong Kim</v>
          </cell>
          <cell r="E16">
            <v>0.5</v>
          </cell>
          <cell r="F16">
            <v>0.1</v>
          </cell>
          <cell r="G16">
            <v>0.1</v>
          </cell>
          <cell r="H16">
            <v>0.1</v>
          </cell>
          <cell r="J16">
            <v>0.2</v>
          </cell>
        </row>
        <row r="17">
          <cell r="D17" t="str">
            <v>Dang Thanh Canh</v>
          </cell>
          <cell r="E17">
            <v>0.15</v>
          </cell>
          <cell r="F17">
            <v>0.16999999999999998</v>
          </cell>
          <cell r="G17">
            <v>0.16999999999999998</v>
          </cell>
          <cell r="H17">
            <v>0.16999999999999998</v>
          </cell>
          <cell r="J17">
            <v>0.33999999999999997</v>
          </cell>
        </row>
        <row r="18">
          <cell r="D18" t="str">
            <v>Nguyen Thi Thanh Thanh</v>
          </cell>
          <cell r="E18">
            <v>0.15</v>
          </cell>
          <cell r="F18">
            <v>0.16999999999999998</v>
          </cell>
          <cell r="G18">
            <v>0.16999999999999998</v>
          </cell>
          <cell r="H18">
            <v>0.16999999999999998</v>
          </cell>
          <cell r="J18">
            <v>0.33999999999999997</v>
          </cell>
        </row>
        <row r="19">
          <cell r="D19" t="str">
            <v>Phan Thi Thao Nguyen</v>
          </cell>
          <cell r="E19">
            <v>0.15</v>
          </cell>
          <cell r="F19">
            <v>0.16999999999999998</v>
          </cell>
          <cell r="G19">
            <v>0.16999999999999998</v>
          </cell>
          <cell r="H19">
            <v>0.16999999999999998</v>
          </cell>
          <cell r="J19">
            <v>0.33999999999999997</v>
          </cell>
        </row>
        <row r="20">
          <cell r="D20" t="str">
            <v>Tran Thi Que Chi</v>
          </cell>
          <cell r="E20">
            <v>0</v>
          </cell>
          <cell r="F20">
            <v>0.2</v>
          </cell>
          <cell r="G20">
            <v>0.2</v>
          </cell>
          <cell r="H20">
            <v>0.2</v>
          </cell>
          <cell r="J20">
            <v>0.4</v>
          </cell>
        </row>
        <row r="21">
          <cell r="D21" t="str">
            <v>Pham Thi  Dieu Loan</v>
          </cell>
          <cell r="E21">
            <v>0</v>
          </cell>
          <cell r="F21">
            <v>0.2</v>
          </cell>
          <cell r="G21">
            <v>0.2</v>
          </cell>
          <cell r="H21">
            <v>0.2</v>
          </cell>
          <cell r="J21">
            <v>0.4</v>
          </cell>
        </row>
        <row r="22">
          <cell r="D22" t="str">
            <v>Alice Do Kim Dung</v>
          </cell>
          <cell r="E22">
            <v>1</v>
          </cell>
        </row>
      </sheetData>
      <sheetData sheetId="10"/>
      <sheetData sheetId="11">
        <row r="3">
          <cell r="E3" t="str">
            <v>VNELC</v>
          </cell>
          <cell r="F3" t="str">
            <v>VNDN</v>
          </cell>
          <cell r="G3" t="str">
            <v>VNQN</v>
          </cell>
          <cell r="H3" t="str">
            <v>VNHD</v>
          </cell>
          <cell r="I3" t="str">
            <v>VNQNg</v>
          </cell>
          <cell r="J3" t="str">
            <v>VNMOET</v>
          </cell>
        </row>
        <row r="6">
          <cell r="D6" t="str">
            <v>Hien Thi Hien Vo</v>
          </cell>
          <cell r="E6">
            <v>0</v>
          </cell>
          <cell r="F6">
            <v>0.1</v>
          </cell>
          <cell r="G6">
            <v>0.1</v>
          </cell>
          <cell r="H6">
            <v>0.1</v>
          </cell>
          <cell r="J6">
            <v>0.7</v>
          </cell>
        </row>
        <row r="7">
          <cell r="D7" t="str">
            <v>Sophie Nguyen Thi Bao Nhung</v>
          </cell>
          <cell r="E7">
            <v>0</v>
          </cell>
          <cell r="F7">
            <v>0.2</v>
          </cell>
          <cell r="G7">
            <v>0.2</v>
          </cell>
          <cell r="H7">
            <v>0.2</v>
          </cell>
          <cell r="J7">
            <v>0.4</v>
          </cell>
        </row>
        <row r="8">
          <cell r="D8" t="str">
            <v>Truong Thi Hai</v>
          </cell>
          <cell r="E8">
            <v>0</v>
          </cell>
          <cell r="F8">
            <v>0.2</v>
          </cell>
          <cell r="G8">
            <v>0.2</v>
          </cell>
          <cell r="H8">
            <v>0.2</v>
          </cell>
          <cell r="J8">
            <v>0.4</v>
          </cell>
        </row>
        <row r="9">
          <cell r="D9" t="str">
            <v>Huynh My Ngoc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J9">
            <v>1</v>
          </cell>
        </row>
        <row r="10">
          <cell r="D10" t="str">
            <v>Bui Thi Huong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J10">
            <v>1</v>
          </cell>
        </row>
        <row r="11">
          <cell r="D11" t="str">
            <v>Hoang Thi Kieu Oanh</v>
          </cell>
          <cell r="E11">
            <v>0</v>
          </cell>
          <cell r="F11">
            <v>0.2</v>
          </cell>
          <cell r="G11">
            <v>0.2</v>
          </cell>
          <cell r="H11">
            <v>0.2</v>
          </cell>
          <cell r="J11">
            <v>0.4</v>
          </cell>
        </row>
        <row r="12">
          <cell r="D12" t="str">
            <v>Phan Doan Kim Nhung</v>
          </cell>
          <cell r="E12">
            <v>0</v>
          </cell>
          <cell r="F12">
            <v>0.2</v>
          </cell>
          <cell r="G12">
            <v>0.2</v>
          </cell>
          <cell r="H12">
            <v>0.2</v>
          </cell>
          <cell r="J12">
            <v>0.4</v>
          </cell>
        </row>
        <row r="13">
          <cell r="D13" t="str">
            <v>Le Thi Thu Huyen</v>
          </cell>
          <cell r="E13">
            <v>0</v>
          </cell>
          <cell r="F13">
            <v>0.2</v>
          </cell>
          <cell r="G13">
            <v>0.2</v>
          </cell>
          <cell r="H13">
            <v>0.2</v>
          </cell>
          <cell r="J13">
            <v>0.4</v>
          </cell>
        </row>
        <row r="14">
          <cell r="D14" t="str">
            <v>Thuy Thi Bich Thuy Tran</v>
          </cell>
          <cell r="E14">
            <v>0.5</v>
          </cell>
          <cell r="F14">
            <v>0.1</v>
          </cell>
          <cell r="G14">
            <v>0.1</v>
          </cell>
          <cell r="H14">
            <v>0.1</v>
          </cell>
          <cell r="J14">
            <v>0.2</v>
          </cell>
        </row>
        <row r="15">
          <cell r="D15" t="str">
            <v>Maggie Huyen Nguyen</v>
          </cell>
          <cell r="E15">
            <v>0</v>
          </cell>
          <cell r="F15">
            <v>0.16999999999999998</v>
          </cell>
          <cell r="G15">
            <v>0.16999999999999998</v>
          </cell>
          <cell r="H15">
            <v>0.16999999999999998</v>
          </cell>
          <cell r="J15">
            <v>0.49</v>
          </cell>
        </row>
        <row r="16">
          <cell r="D16" t="str">
            <v>Nguyen Hong Kim</v>
          </cell>
          <cell r="E16">
            <v>0</v>
          </cell>
          <cell r="F16">
            <v>0.1</v>
          </cell>
          <cell r="G16">
            <v>0.1</v>
          </cell>
          <cell r="H16">
            <v>0.1</v>
          </cell>
          <cell r="J16">
            <v>0.7</v>
          </cell>
        </row>
        <row r="17">
          <cell r="D17" t="str">
            <v>Dang Thanh Canh</v>
          </cell>
          <cell r="E17">
            <v>0</v>
          </cell>
          <cell r="F17">
            <v>0.16999999999999998</v>
          </cell>
          <cell r="G17">
            <v>0.16999999999999998</v>
          </cell>
          <cell r="H17">
            <v>0.16999999999999998</v>
          </cell>
          <cell r="J17">
            <v>0.49</v>
          </cell>
        </row>
        <row r="18">
          <cell r="D18" t="str">
            <v>Nguyen Thi Thanh Thanh</v>
          </cell>
          <cell r="E18">
            <v>0</v>
          </cell>
          <cell r="F18">
            <v>0.16999999999999998</v>
          </cell>
          <cell r="G18">
            <v>0.16999999999999998</v>
          </cell>
          <cell r="H18">
            <v>0.16999999999999998</v>
          </cell>
          <cell r="J18">
            <v>0.49</v>
          </cell>
        </row>
        <row r="19">
          <cell r="D19" t="str">
            <v>Phan Thi Thao Nguyen</v>
          </cell>
          <cell r="E19">
            <v>0</v>
          </cell>
          <cell r="F19">
            <v>0.16999999999999998</v>
          </cell>
          <cell r="G19">
            <v>0.16999999999999998</v>
          </cell>
          <cell r="H19">
            <v>0.16999999999999998</v>
          </cell>
          <cell r="J19">
            <v>0.49</v>
          </cell>
        </row>
        <row r="20">
          <cell r="D20" t="str">
            <v>Tran Thi Que Chi</v>
          </cell>
          <cell r="E20">
            <v>0</v>
          </cell>
          <cell r="F20">
            <v>0.2</v>
          </cell>
          <cell r="G20">
            <v>0.2</v>
          </cell>
          <cell r="H20">
            <v>0.2</v>
          </cell>
          <cell r="J20">
            <v>0.4</v>
          </cell>
        </row>
        <row r="21">
          <cell r="D21" t="str">
            <v>Pham Thi  Dieu Loan</v>
          </cell>
          <cell r="E21">
            <v>0</v>
          </cell>
          <cell r="F21">
            <v>0.2</v>
          </cell>
          <cell r="G21">
            <v>0.2</v>
          </cell>
          <cell r="H21">
            <v>0.2</v>
          </cell>
          <cell r="J21">
            <v>0.4</v>
          </cell>
        </row>
        <row r="22">
          <cell r="D22" t="str">
            <v>Alice Do Kim Dung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FABE-3538-DE4E-AE47-509FECE5D96C}">
  <sheetPr>
    <pageSetUpPr fitToPage="1"/>
  </sheetPr>
  <dimension ref="A1:AI859"/>
  <sheetViews>
    <sheetView tabSelected="1" zoomScale="85" zoomScaleNormal="85" workbookViewId="0">
      <pane xSplit="8" ySplit="4" topLeftCell="I739" activePane="bottomRight" state="frozen"/>
      <selection pane="topRight" activeCell="I36" sqref="I36"/>
      <selection pane="bottomLeft" activeCell="I36" sqref="I36"/>
      <selection pane="bottomRight" activeCell="I832" sqref="I832"/>
    </sheetView>
  </sheetViews>
  <sheetFormatPr baseColWidth="10" defaultColWidth="9" defaultRowHeight="16" x14ac:dyDescent="0.2"/>
  <cols>
    <col min="1" max="1" width="21.5" style="1" customWidth="1"/>
    <col min="2" max="2" width="10.83203125" style="1" customWidth="1"/>
    <col min="3" max="4" width="7.83203125" style="1" hidden="1" customWidth="1"/>
    <col min="5" max="5" width="7.6640625" style="1" hidden="1" customWidth="1"/>
    <col min="6" max="6" width="11" style="1" hidden="1" customWidth="1"/>
    <col min="7" max="7" width="6.33203125" style="1" hidden="1" customWidth="1"/>
    <col min="8" max="8" width="24.6640625" style="1" bestFit="1" customWidth="1"/>
    <col min="9" max="9" width="69.6640625" style="1" customWidth="1"/>
    <col min="10" max="10" width="7.6640625" style="1" customWidth="1"/>
    <col min="11" max="11" width="15.1640625" style="2" customWidth="1"/>
    <col min="12" max="12" width="15.1640625" style="3" customWidth="1"/>
    <col min="13" max="13" width="15.1640625" style="2" customWidth="1"/>
    <col min="14" max="14" width="6.5" style="2" customWidth="1"/>
    <col min="15" max="15" width="11.1640625" style="2" customWidth="1"/>
    <col min="16" max="16" width="13.6640625" style="2" customWidth="1"/>
    <col min="17" max="17" width="16.33203125" style="2" customWidth="1"/>
    <col min="18" max="20" width="12.83203125" style="2" customWidth="1"/>
    <col min="21" max="21" width="14.83203125" style="2" customWidth="1"/>
    <col min="22" max="22" width="12.83203125" style="2" customWidth="1"/>
    <col min="23" max="23" width="16.1640625" style="2" customWidth="1"/>
    <col min="24" max="28" width="11.1640625" style="2" customWidth="1"/>
    <col min="29" max="29" width="20.5" style="1" customWidth="1"/>
    <col min="30" max="30" width="3.1640625" style="1" customWidth="1"/>
    <col min="31" max="31" width="10.6640625" style="1" customWidth="1"/>
    <col min="32" max="32" width="13.1640625" style="1" customWidth="1"/>
    <col min="33" max="33" width="16.6640625" style="1" customWidth="1"/>
    <col min="34" max="34" width="11" style="1" bestFit="1" customWidth="1"/>
    <col min="35" max="43" width="7.6640625" style="1" customWidth="1"/>
    <col min="44" max="16384" width="9" style="1"/>
  </cols>
  <sheetData>
    <row r="1" spans="1:35" x14ac:dyDescent="0.2">
      <c r="A1" s="1" t="s">
        <v>873</v>
      </c>
      <c r="H1" s="2"/>
      <c r="K1" s="2">
        <v>1</v>
      </c>
      <c r="O1" s="15">
        <f>-$K1*IFERROR(INDEX('[1]salary allocation'!$E$6:$J$22,MATCH($H1,'[1]salary allocation'!$D$6:$D$22,0),MATCH(O$3,'[1]salary allocation'!$E$3:$J$3,0)),0)</f>
        <v>0</v>
      </c>
      <c r="P1" s="15">
        <f>-$K1*IFERROR(INDEX('[1]salary allocation'!$E$6:$J$22,MATCH($H1,'[1]salary allocation'!$D$6:$D$22,0),MATCH(P$3,'[1]salary allocation'!$E$3:$J$3,0)),0)</f>
        <v>0</v>
      </c>
      <c r="Q1" s="15">
        <f>-$K1*IFERROR(INDEX('[1]salary allocation'!$E$6:$J$22,MATCH($H1,'[1]salary allocation'!$D$6:$D$22,0),MATCH(Q$3,'[1]salary allocation'!$E$3:$J$3,0)),0)</f>
        <v>0</v>
      </c>
      <c r="R1" s="15">
        <f>-$K1*IFERROR(INDEX('[1]salary allocation'!$E$6:$J$22,MATCH($H1,'[1]salary allocation'!$D$6:$D$22,0),MATCH(R$3,'[1]salary allocation'!$E$3:$J$3,0)),0)</f>
        <v>0</v>
      </c>
      <c r="S1" s="15">
        <f>-$K1*IFERROR(INDEX('[1]salary allocation'!$E$6:$J$22,MATCH($H1,'[1]salary allocation'!$D$6:$D$22,0),MATCH(S$3,'[1]salary allocation'!$E$3:$J$3,0)),0)</f>
        <v>0</v>
      </c>
      <c r="T1" s="15">
        <f>-$K1*IFERROR(INDEX('[1]salary allocation'!$E$6:$J$22,MATCH($H1,'[1]salary allocation'!$D$6:$D$22,0),MATCH(T$3,'[1]salary allocation'!$E$3:$J$3,0)),0)</f>
        <v>0</v>
      </c>
      <c r="U1" s="15">
        <f>-$K1*IFERROR(INDEX('[1]salary allocation'!$E$6:$J$22,MATCH($H1,'[1]salary allocation'!$D$6:$D$22,0),MATCH(U$3,'[1]salary allocation'!$E$3:$J$3,0)),0)</f>
        <v>0</v>
      </c>
      <c r="V1" s="15">
        <f>-$K1*IFERROR(INDEX('[1]salary allocation'!$E$6:$J$22,MATCH($H1,'[1]salary allocation'!$D$6:$D$22,0),MATCH(V$3,'[1]salary allocation'!$E$3:$J$3,0)),0)</f>
        <v>0</v>
      </c>
      <c r="W1" s="15">
        <f>-$K1*IFERROR(INDEX('[1]salary allocation'!$E$6:$J$22,MATCH($H1,'[1]salary allocation'!$D$6:$D$22,0),MATCH(W$3,'[1]salary allocation'!$E$3:$J$3,0)),0)</f>
        <v>0</v>
      </c>
      <c r="X1" s="15">
        <f>-$K1*IFERROR(INDEX('[1]salary allocation'!$E$6:$J$22,MATCH($H1,'[1]salary allocation'!$D$6:$D$22,0),MATCH(X$3,'[1]salary allocation'!$E$3:$J$3,0)),0)</f>
        <v>0</v>
      </c>
      <c r="Y1" s="15">
        <f>-$K1*IFERROR(INDEX('[1]salary allocation'!$E$6:$J$22,MATCH($H1,'[1]salary allocation'!$D$6:$D$22,0),MATCH(Y$3,'[1]salary allocation'!$E$3:$J$3,0)),0)</f>
        <v>0</v>
      </c>
      <c r="Z1" s="15">
        <f>-$K1*IFERROR(INDEX('[1]salary allocation'!$E$6:$J$22,MATCH($H1,'[1]salary allocation'!$D$6:$D$22,0),MATCH(Z$3,'[1]salary allocation'!$E$3:$J$3,0)),0)</f>
        <v>0</v>
      </c>
      <c r="AA1" s="15">
        <f>-$K1*IFERROR(INDEX('[1]salary allocation'!$E$6:$J$22,MATCH($H1,'[1]salary allocation'!$D$6:$D$22,0),MATCH(AA$3,'[1]salary allocation'!$E$3:$J$3,0)),0)</f>
        <v>0</v>
      </c>
      <c r="AB1" s="15">
        <f>-$K1*IFERROR(INDEX('[1]salary allocation'!$E$6:$J$22,MATCH($H1,'[1]salary allocation'!$D$6:$D$22,0),MATCH(AB$3,'[1]salary allocation'!$E$3:$J$3,0)),0)</f>
        <v>0</v>
      </c>
      <c r="AC1" s="73">
        <f>-$K1*IFERROR(INDEX('[1]salary allocation'!$E$6:$J$22,MATCH($H1,'[1]salary allocation'!$D$6:$D$22,0),MATCH(AC$3,'[1]salary allocation'!$E$3:$J$3,0)),0)</f>
        <v>0</v>
      </c>
      <c r="AD1" s="73"/>
      <c r="AE1" s="73"/>
      <c r="AF1" s="73"/>
      <c r="AG1" s="73"/>
    </row>
    <row r="2" spans="1:35" x14ac:dyDescent="0.2">
      <c r="A2" s="1" t="s">
        <v>872</v>
      </c>
      <c r="H2" s="90"/>
      <c r="K2" s="90"/>
      <c r="L2" s="91"/>
      <c r="M2" s="90"/>
      <c r="N2" s="90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8"/>
      <c r="AD2" s="88"/>
      <c r="AE2" s="88"/>
      <c r="AF2" s="88"/>
      <c r="AG2" s="88"/>
    </row>
    <row r="3" spans="1:35" x14ac:dyDescent="0.2">
      <c r="I3" s="1" t="s">
        <v>871</v>
      </c>
      <c r="O3" s="2" t="str">
        <f>'[1]C&amp;G Ledger_allocation'!AP7</f>
        <v>ELC</v>
      </c>
      <c r="P3" s="2" t="str">
        <f>'[1]C&amp;G Ledger_allocation'!AQ7</f>
        <v>VNELC</v>
      </c>
      <c r="Q3" s="2" t="str">
        <f>'[1]C&amp;G Ledger_allocation'!AR7</f>
        <v>VNOther</v>
      </c>
      <c r="R3" s="2" t="str">
        <f>'[1]C&amp;G Ledger_allocation'!AS7</f>
        <v>VNHBC</v>
      </c>
      <c r="S3" s="2" t="str">
        <f>'[1]C&amp;G Ledger_allocation'!AT7</f>
        <v>VNDN</v>
      </c>
      <c r="T3" s="2" t="str">
        <f>'[1]C&amp;G Ledger_allocation'!AU7</f>
        <v>VNQN</v>
      </c>
      <c r="U3" s="2" t="str">
        <f>'[1]C&amp;G Ledger_allocation'!AV7</f>
        <v>VNHD</v>
      </c>
      <c r="V3" s="2" t="str">
        <f>'[1]C&amp;G Ledger_allocation'!AW7</f>
        <v>VNQNg</v>
      </c>
      <c r="W3" s="2" t="str">
        <f>'[1]C&amp;G Ledger_allocation'!AX7</f>
        <v>VNMOET</v>
      </c>
      <c r="X3" s="2" t="str">
        <f>'[1]C&amp;G Ledger_allocation'!AY7</f>
        <v>VNLA</v>
      </c>
      <c r="Y3" s="2" t="str">
        <f>'[1]C&amp;G Ledger_allocation'!AZ7</f>
        <v>VNHCM</v>
      </c>
      <c r="Z3" s="2" t="str">
        <f>'[1]C&amp;G Ledger_allocation'!BA7</f>
        <v>VNBD</v>
      </c>
      <c r="AA3" s="2" t="str">
        <f>'[1]C&amp;G Ledger_allocation'!BB7</f>
        <v>VNBN</v>
      </c>
      <c r="AB3" s="2" t="str">
        <f>'[1]C&amp;G Ledger_allocation'!BC7</f>
        <v>VNBG</v>
      </c>
      <c r="AC3" s="87" t="str">
        <f>'[1]C&amp;G Ledger_allocation'!BD7</f>
        <v>Cao Bang Relief</v>
      </c>
      <c r="AD3" s="86"/>
      <c r="AH3" s="85">
        <f>SUM(AH5:AH1440)</f>
        <v>0</v>
      </c>
    </row>
    <row r="4" spans="1:35" s="77" customFormat="1" ht="21" customHeight="1" x14ac:dyDescent="0.2">
      <c r="A4" s="84" t="s">
        <v>870</v>
      </c>
      <c r="B4" s="84" t="str">
        <f>'[1]C&amp;G Ledger_allocation'!B9</f>
        <v>Transaction Date</v>
      </c>
      <c r="C4" s="84" t="str">
        <f>'[1]C&amp;G Ledger_allocation'!C9</f>
        <v>Deposit Voucher
Phiếu nộp tiền</v>
      </c>
      <c r="D4" s="84" t="str">
        <f>'[1]C&amp;G Ledger_allocation'!D9</f>
        <v>Journal Voucher
Ủy nhiệm chi</v>
      </c>
      <c r="E4" s="84" t="str">
        <f>'[1]C&amp;G Ledger_allocation'!E9</f>
        <v xml:space="preserve">Làm việc với ICC team:
 - Update changes của các project trên google drive
 - Add tên khóa học, tỉnh trên các diễn giải khi thanh toán
 - </v>
      </c>
      <c r="F4" s="84" t="str">
        <f>'[1]C&amp;G Ledger_allocation'!F9</f>
        <v>No.</v>
      </c>
      <c r="G4" s="84" t="str">
        <f>'[1]C&amp;G Ledger_allocation'!G9</f>
        <v>Posting</v>
      </c>
      <c r="H4" s="84" t="str">
        <f>'[1]C&amp;G Ledger_allocation'!H9</f>
        <v>Name</v>
      </c>
      <c r="I4" s="84" t="str">
        <f>'[1]C&amp;G Ledger_allocation'!J9</f>
        <v>Memo/Description</v>
      </c>
      <c r="J4" s="84" t="str">
        <f>'[1]C&amp;G Ledger_allocation'!K9</f>
        <v>Bank Account</v>
      </c>
      <c r="K4" s="83" t="str">
        <f>'[1]C&amp;G Ledger_allocation'!L9</f>
        <v>Amount</v>
      </c>
      <c r="L4" s="82" t="s">
        <v>869</v>
      </c>
      <c r="M4" s="81" t="s">
        <v>868</v>
      </c>
      <c r="N4" s="81" t="s">
        <v>867</v>
      </c>
      <c r="O4" s="80" t="str">
        <f>'[1]C&amp;G Ledger_allocation'!AP9</f>
        <v>ELC Operation</v>
      </c>
      <c r="P4" s="80" t="str">
        <f>'[1]C&amp;G Ledger_allocation'!AQ9</f>
        <v>ELC training</v>
      </c>
      <c r="Q4" s="80" t="str">
        <f>'[1]C&amp;G Ledger_allocation'!AR9</f>
        <v>In support</v>
      </c>
      <c r="R4" s="80" t="str">
        <f>'[1]C&amp;G Ledger_allocation'!AS9</f>
        <v>General VN</v>
      </c>
      <c r="S4" s="80" t="str">
        <f>'[1]C&amp;G Ledger_allocation'!AT9</f>
        <v>DN ICC</v>
      </c>
      <c r="T4" s="80" t="str">
        <f>'[1]C&amp;G Ledger_allocation'!AU9</f>
        <v>QN ICC</v>
      </c>
      <c r="U4" s="80" t="str">
        <f>'[1]C&amp;G Ledger_allocation'!AV9</f>
        <v>HD ICC</v>
      </c>
      <c r="V4" s="80" t="str">
        <f>'[1]C&amp;G Ledger_allocation'!AW9</f>
        <v>QNg ICC</v>
      </c>
      <c r="W4" s="80" t="str">
        <f>'[1]C&amp;G Ledger_allocation'!AX9</f>
        <v>MOET</v>
      </c>
      <c r="X4" s="80" t="str">
        <f>'[1]C&amp;G Ledger_allocation'!AY9</f>
        <v>MOET LA</v>
      </c>
      <c r="Y4" s="80" t="str">
        <f>'[1]C&amp;G Ledger_allocation'!AZ9</f>
        <v>MOET HCM</v>
      </c>
      <c r="Z4" s="80" t="str">
        <f>'[1]C&amp;G Ledger_allocation'!BA9</f>
        <v>MOET BD</v>
      </c>
      <c r="AA4" s="80" t="str">
        <f>'[1]C&amp;G Ledger_allocation'!BB9</f>
        <v>MOET BN</v>
      </c>
      <c r="AB4" s="80" t="str">
        <f>'[1]C&amp;G Ledger_allocation'!BC9</f>
        <v>MOET BG</v>
      </c>
      <c r="AC4" s="79" t="str">
        <f>'[1]C&amp;G Ledger_allocation'!BD9</f>
        <v>Cao Bang Relief</v>
      </c>
      <c r="AD4" s="78"/>
      <c r="AE4" s="77" t="s">
        <v>866</v>
      </c>
      <c r="AF4" s="77" t="s">
        <v>865</v>
      </c>
      <c r="AG4" s="77" t="s">
        <v>864</v>
      </c>
    </row>
    <row r="5" spans="1:35" s="2" customFormat="1" x14ac:dyDescent="0.2">
      <c r="A5" s="69" t="s">
        <v>61</v>
      </c>
      <c r="B5" s="70" t="s">
        <v>811</v>
      </c>
      <c r="C5" s="70">
        <v>0</v>
      </c>
      <c r="D5" s="70" t="s">
        <v>863</v>
      </c>
      <c r="E5" s="70" t="s">
        <v>795</v>
      </c>
      <c r="F5" s="70" t="s">
        <v>794</v>
      </c>
      <c r="G5" s="70" t="s">
        <v>835</v>
      </c>
      <c r="H5" s="70" t="s">
        <v>61</v>
      </c>
      <c r="I5" s="70" t="s">
        <v>826</v>
      </c>
      <c r="J5" s="70" t="s">
        <v>793</v>
      </c>
      <c r="K5" s="70">
        <v>0</v>
      </c>
      <c r="L5" s="46">
        <v>12025</v>
      </c>
      <c r="M5" s="42"/>
      <c r="N5" s="42"/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1">
        <v>0</v>
      </c>
      <c r="AD5" s="20"/>
      <c r="AE5" s="19"/>
      <c r="AH5" s="2">
        <f>K5+SUM(O5:AC5)</f>
        <v>0</v>
      </c>
      <c r="AI5" s="2">
        <f>K5+SUM(AF5:AG5)</f>
        <v>0</v>
      </c>
    </row>
    <row r="6" spans="1:35" x14ac:dyDescent="0.2">
      <c r="A6" s="69" t="s">
        <v>61</v>
      </c>
      <c r="B6" s="70" t="s">
        <v>811</v>
      </c>
      <c r="C6" s="70">
        <v>0</v>
      </c>
      <c r="D6" s="70" t="str">
        <f>D5</f>
        <v>JV15</v>
      </c>
      <c r="E6" s="70" t="s">
        <v>795</v>
      </c>
      <c r="F6" s="70" t="s">
        <v>794</v>
      </c>
      <c r="G6" s="70" t="s">
        <v>835</v>
      </c>
      <c r="H6" s="70" t="s">
        <v>135</v>
      </c>
      <c r="I6" s="70" t="s">
        <v>862</v>
      </c>
      <c r="J6" s="70" t="s">
        <v>793</v>
      </c>
      <c r="K6" s="70">
        <v>-89312943</v>
      </c>
      <c r="L6" s="46">
        <v>12025</v>
      </c>
      <c r="M6" s="42" t="str">
        <f>LEFT(I6,(LEN(LEFT(I6,FIND(";",I6)))-8))</f>
        <v>VNOther</v>
      </c>
      <c r="N6" s="42" t="s">
        <v>138</v>
      </c>
      <c r="O6" s="15">
        <f>-$K6*IFERROR(INDEX('[1]salary allocation'!$E$6:$J$22,MATCH($H6,'[1]salary allocation'!$D$6:$D$22,0),MATCH(O$3,'[1]salary allocation'!$E$3:$J$3,0)),0)</f>
        <v>0</v>
      </c>
      <c r="P6" s="15">
        <f>-$K6*IFERROR(INDEX('[1]salary allocation'!$E$6:$J$22,MATCH($H6,'[1]salary allocation'!$D$6:$D$22,0),MATCH(P$3,'[1]salary allocation'!$E$3:$J$3,0)),0)</f>
        <v>44656471.5</v>
      </c>
      <c r="Q6" s="15">
        <f>-$K6*IFERROR(INDEX('[1]salary allocation'!$E$6:$J$22,MATCH($H6,'[1]salary allocation'!$D$6:$D$22,0),MATCH(Q$3,'[1]salary allocation'!$E$3:$J$3,0)),0)</f>
        <v>0</v>
      </c>
      <c r="R6" s="15">
        <f>-$K6*IFERROR(INDEX('[1]salary allocation'!$E$6:$J$22,MATCH($H6,'[1]salary allocation'!$D$6:$D$22,0),MATCH(R$3,'[1]salary allocation'!$E$3:$J$3,0)),0)</f>
        <v>0</v>
      </c>
      <c r="S6" s="15">
        <f>-$K6*IFERROR(INDEX('[1]salary allocation'!$E$6:$J$22,MATCH($H6,'[1]salary allocation'!$D$6:$D$22,0),MATCH(S$3,'[1]salary allocation'!$E$3:$J$3,0)),0)</f>
        <v>8931294.3000000007</v>
      </c>
      <c r="T6" s="15">
        <f>-$K6*IFERROR(INDEX('[1]salary allocation'!$E$6:$J$22,MATCH($H6,'[1]salary allocation'!$D$6:$D$22,0),MATCH(T$3,'[1]salary allocation'!$E$3:$J$3,0)),0)</f>
        <v>8931294.3000000007</v>
      </c>
      <c r="U6" s="15">
        <f>-$K6*IFERROR(INDEX('[1]salary allocation'!$E$6:$J$22,MATCH($H6,'[1]salary allocation'!$D$6:$D$22,0),MATCH(U$3,'[1]salary allocation'!$E$3:$J$3,0)),0)</f>
        <v>8931294.3000000007</v>
      </c>
      <c r="V6" s="15">
        <f>-$K6*IFERROR(INDEX('[1]salary allocation'!$E$6:$J$22,MATCH($H6,'[1]salary allocation'!$D$6:$D$22,0),MATCH(V$3,'[1]salary allocation'!$E$3:$J$3,0)),0)</f>
        <v>0</v>
      </c>
      <c r="W6" s="15">
        <f>-$K6*IFERROR(INDEX('[1]salary allocation'!$E$6:$J$22,MATCH($H6,'[1]salary allocation'!$D$6:$D$22,0),MATCH(W$3,'[1]salary allocation'!$E$3:$J$3,0)),0)</f>
        <v>17862588.600000001</v>
      </c>
      <c r="X6" s="15">
        <f>-$K6*IFERROR(INDEX('[1]salary allocation'!$E$6:$J$22,MATCH($H6,'[1]salary allocation'!$D$6:$D$22,0),MATCH(X$3,'[1]salary allocation'!$E$3:$J$3,0)),0)</f>
        <v>0</v>
      </c>
      <c r="Y6" s="15">
        <f>-$K6*IFERROR(INDEX('[1]salary allocation'!$E$6:$J$22,MATCH($H6,'[1]salary allocation'!$D$6:$D$22,0),MATCH(Y$3,'[1]salary allocation'!$E$3:$J$3,0)),0)</f>
        <v>0</v>
      </c>
      <c r="Z6" s="15">
        <f>-$K6*IFERROR(INDEX('[1]salary allocation'!$E$6:$J$22,MATCH($H6,'[1]salary allocation'!$D$6:$D$22,0),MATCH(Z$3,'[1]salary allocation'!$E$3:$J$3,0)),0)</f>
        <v>0</v>
      </c>
      <c r="AA6" s="15">
        <f>-$K6*IFERROR(INDEX('[1]salary allocation'!$E$6:$J$22,MATCH($H6,'[1]salary allocation'!$D$6:$D$22,0),MATCH(AA$3,'[1]salary allocation'!$E$3:$J$3,0)),0)</f>
        <v>0</v>
      </c>
      <c r="AB6" s="15">
        <f>-$K6*IFERROR(INDEX('[1]salary allocation'!$E$6:$J$22,MATCH($H6,'[1]salary allocation'!$D$6:$D$22,0),MATCH(AB$3,'[1]salary allocation'!$E$3:$J$3,0)),0)</f>
        <v>0</v>
      </c>
      <c r="AC6" s="76">
        <f>-$K6*IFERROR(INDEX('[1]salary allocation'!$E$6:$J$22,MATCH($H6,'[1]salary allocation'!$D$6:$D$22,0),MATCH(AC$3,'[1]salary allocation'!$E$3:$J$3,0)),0)</f>
        <v>0</v>
      </c>
      <c r="AD6" s="75"/>
      <c r="AE6" s="74">
        <v>0</v>
      </c>
      <c r="AF6" s="15">
        <f>-$K6</f>
        <v>89312943</v>
      </c>
      <c r="AG6" s="73"/>
      <c r="AH6" s="2">
        <f>K6+SUM(O6:AC6)</f>
        <v>0</v>
      </c>
      <c r="AI6" s="2">
        <f>K6+SUM(AF6:AG6)</f>
        <v>0</v>
      </c>
    </row>
    <row r="7" spans="1:35" x14ac:dyDescent="0.2">
      <c r="A7" s="69" t="s">
        <v>61</v>
      </c>
      <c r="B7" s="70" t="s">
        <v>811</v>
      </c>
      <c r="C7" s="70">
        <v>0</v>
      </c>
      <c r="D7" s="70" t="str">
        <f>D6</f>
        <v>JV15</v>
      </c>
      <c r="E7" s="70" t="s">
        <v>795</v>
      </c>
      <c r="F7" s="70" t="s">
        <v>794</v>
      </c>
      <c r="G7" s="70" t="s">
        <v>835</v>
      </c>
      <c r="H7" s="70" t="s">
        <v>57</v>
      </c>
      <c r="I7" s="70" t="s">
        <v>861</v>
      </c>
      <c r="J7" s="70" t="s">
        <v>793</v>
      </c>
      <c r="K7" s="70">
        <v>-8022440</v>
      </c>
      <c r="L7" s="46">
        <v>12025</v>
      </c>
      <c r="M7" s="42" t="str">
        <f>LEFT(I7,(LEN(LEFT(I7,FIND(";",I7)))-8))</f>
        <v>VNOther</v>
      </c>
      <c r="N7" s="42" t="s">
        <v>138</v>
      </c>
      <c r="O7" s="15">
        <f>-$K7*IFERROR(INDEX('[1]salary allocation'!$E$6:$J$22,MATCH($H7,'[1]salary allocation'!$D$6:$D$22,0),MATCH(O$3,'[1]salary allocation'!$E$3:$J$3,0)),0)</f>
        <v>0</v>
      </c>
      <c r="P7" s="15">
        <f>-$K7*IFERROR(INDEX('[1]salary allocation'!$E$6:$J$22,MATCH($H7,'[1]salary allocation'!$D$6:$D$22,0),MATCH(P$3,'[1]salary allocation'!$E$3:$J$3,0)),0)</f>
        <v>4011220</v>
      </c>
      <c r="Q7" s="15">
        <f>-$K7*IFERROR(INDEX('[1]salary allocation'!$E$6:$J$22,MATCH($H7,'[1]salary allocation'!$D$6:$D$22,0),MATCH(Q$3,'[1]salary allocation'!$E$3:$J$3,0)),0)</f>
        <v>0</v>
      </c>
      <c r="R7" s="15">
        <f>-$K7*IFERROR(INDEX('[1]salary allocation'!$E$6:$J$22,MATCH($H7,'[1]salary allocation'!$D$6:$D$22,0),MATCH(R$3,'[1]salary allocation'!$E$3:$J$3,0)),0)</f>
        <v>0</v>
      </c>
      <c r="S7" s="15">
        <f>-$K7*IFERROR(INDEX('[1]salary allocation'!$E$6:$J$22,MATCH($H7,'[1]salary allocation'!$D$6:$D$22,0),MATCH(S$3,'[1]salary allocation'!$E$3:$J$3,0)),0)</f>
        <v>802244</v>
      </c>
      <c r="T7" s="15">
        <f>-$K7*IFERROR(INDEX('[1]salary allocation'!$E$6:$J$22,MATCH($H7,'[1]salary allocation'!$D$6:$D$22,0),MATCH(T$3,'[1]salary allocation'!$E$3:$J$3,0)),0)</f>
        <v>802244</v>
      </c>
      <c r="U7" s="15">
        <f>-$K7*IFERROR(INDEX('[1]salary allocation'!$E$6:$J$22,MATCH($H7,'[1]salary allocation'!$D$6:$D$22,0),MATCH(U$3,'[1]salary allocation'!$E$3:$J$3,0)),0)</f>
        <v>802244</v>
      </c>
      <c r="V7" s="15">
        <f>-$K7*IFERROR(INDEX('[1]salary allocation'!$E$6:$J$22,MATCH($H7,'[1]salary allocation'!$D$6:$D$22,0),MATCH(V$3,'[1]salary allocation'!$E$3:$J$3,0)),0)</f>
        <v>0</v>
      </c>
      <c r="W7" s="15">
        <f>-$K7*IFERROR(INDEX('[1]salary allocation'!$E$6:$J$22,MATCH($H7,'[1]salary allocation'!$D$6:$D$22,0),MATCH(W$3,'[1]salary allocation'!$E$3:$J$3,0)),0)</f>
        <v>1604488</v>
      </c>
      <c r="X7" s="15">
        <f>-$K7*IFERROR(INDEX('[1]salary allocation'!$E$6:$J$22,MATCH($H7,'[1]salary allocation'!$D$6:$D$22,0),MATCH(X$3,'[1]salary allocation'!$E$3:$J$3,0)),0)</f>
        <v>0</v>
      </c>
      <c r="Y7" s="15">
        <f>-$K7*IFERROR(INDEX('[1]salary allocation'!$E$6:$J$22,MATCH($H7,'[1]salary allocation'!$D$6:$D$22,0),MATCH(Y$3,'[1]salary allocation'!$E$3:$J$3,0)),0)</f>
        <v>0</v>
      </c>
      <c r="Z7" s="15">
        <f>-$K7*IFERROR(INDEX('[1]salary allocation'!$E$6:$J$22,MATCH($H7,'[1]salary allocation'!$D$6:$D$22,0),MATCH(Z$3,'[1]salary allocation'!$E$3:$J$3,0)),0)</f>
        <v>0</v>
      </c>
      <c r="AA7" s="15">
        <f>-$K7*IFERROR(INDEX('[1]salary allocation'!$E$6:$J$22,MATCH($H7,'[1]salary allocation'!$D$6:$D$22,0),MATCH(AA$3,'[1]salary allocation'!$E$3:$J$3,0)),0)</f>
        <v>0</v>
      </c>
      <c r="AB7" s="15">
        <f>-$K7*IFERROR(INDEX('[1]salary allocation'!$E$6:$J$22,MATCH($H7,'[1]salary allocation'!$D$6:$D$22,0),MATCH(AB$3,'[1]salary allocation'!$E$3:$J$3,0)),0)</f>
        <v>0</v>
      </c>
      <c r="AC7" s="76">
        <f>-$K7*IFERROR(INDEX('[1]salary allocation'!$E$6:$J$22,MATCH($H7,'[1]salary allocation'!$D$6:$D$22,0),MATCH(AC$3,'[1]salary allocation'!$E$3:$J$3,0)),0)</f>
        <v>0</v>
      </c>
      <c r="AD7" s="75"/>
      <c r="AE7" s="74"/>
      <c r="AF7" s="15">
        <f>-$K7</f>
        <v>8022440</v>
      </c>
      <c r="AG7" s="73"/>
      <c r="AH7" s="2">
        <f>K7+SUM(O7:AC7)</f>
        <v>0</v>
      </c>
      <c r="AI7" s="2">
        <f>K7+SUM(AF7:AG7)</f>
        <v>0</v>
      </c>
    </row>
    <row r="8" spans="1:35" x14ac:dyDescent="0.2">
      <c r="A8" s="69" t="s">
        <v>61</v>
      </c>
      <c r="B8" s="70" t="s">
        <v>811</v>
      </c>
      <c r="C8" s="70">
        <v>0</v>
      </c>
      <c r="D8" s="70" t="str">
        <f>D7</f>
        <v>JV15</v>
      </c>
      <c r="E8" s="70" t="s">
        <v>795</v>
      </c>
      <c r="F8" s="70" t="s">
        <v>794</v>
      </c>
      <c r="G8" s="70" t="s">
        <v>835</v>
      </c>
      <c r="H8" s="70" t="s">
        <v>55</v>
      </c>
      <c r="I8" s="70" t="s">
        <v>860</v>
      </c>
      <c r="J8" s="70" t="s">
        <v>793</v>
      </c>
      <c r="K8" s="70">
        <v>-7417618</v>
      </c>
      <c r="L8" s="46">
        <v>12025</v>
      </c>
      <c r="M8" s="42" t="str">
        <f>LEFT(I8,(LEN(LEFT(I8,FIND(";",I8)))-8))</f>
        <v>VNHBC</v>
      </c>
      <c r="N8" s="42" t="s">
        <v>138</v>
      </c>
      <c r="O8" s="15">
        <f>-$K8*IFERROR(INDEX('[1]salary allocation'!$E$6:$J$22,MATCH($H8,'[1]salary allocation'!$D$6:$D$22,0),MATCH(O$3,'[1]salary allocation'!$E$3:$J$3,0)),0)</f>
        <v>0</v>
      </c>
      <c r="P8" s="15">
        <f>-$K8*IFERROR(INDEX('[1]salary allocation'!$E$6:$J$22,MATCH($H8,'[1]salary allocation'!$D$6:$D$22,0),MATCH(P$3,'[1]salary allocation'!$E$3:$J$3,0)),0)</f>
        <v>0</v>
      </c>
      <c r="Q8" s="15">
        <f>-$K8*IFERROR(INDEX('[1]salary allocation'!$E$6:$J$22,MATCH($H8,'[1]salary allocation'!$D$6:$D$22,0),MATCH(Q$3,'[1]salary allocation'!$E$3:$J$3,0)),0)</f>
        <v>0</v>
      </c>
      <c r="R8" s="15">
        <f>-$K8*IFERROR(INDEX('[1]salary allocation'!$E$6:$J$22,MATCH($H8,'[1]salary allocation'!$D$6:$D$22,0),MATCH(R$3,'[1]salary allocation'!$E$3:$J$3,0)),0)</f>
        <v>0</v>
      </c>
      <c r="S8" s="15">
        <f>-$K8*IFERROR(INDEX('[1]salary allocation'!$E$6:$J$22,MATCH($H8,'[1]salary allocation'!$D$6:$D$22,0),MATCH(S$3,'[1]salary allocation'!$E$3:$J$3,0)),0)</f>
        <v>1483523.6</v>
      </c>
      <c r="T8" s="15">
        <f>-$K8*IFERROR(INDEX('[1]salary allocation'!$E$6:$J$22,MATCH($H8,'[1]salary allocation'!$D$6:$D$22,0),MATCH(T$3,'[1]salary allocation'!$E$3:$J$3,0)),0)</f>
        <v>1483523.6</v>
      </c>
      <c r="U8" s="15">
        <f>-$K8*IFERROR(INDEX('[1]salary allocation'!$E$6:$J$22,MATCH($H8,'[1]salary allocation'!$D$6:$D$22,0),MATCH(U$3,'[1]salary allocation'!$E$3:$J$3,0)),0)</f>
        <v>1483523.6</v>
      </c>
      <c r="V8" s="15">
        <f>-$K8*IFERROR(INDEX('[1]salary allocation'!$E$6:$J$22,MATCH($H8,'[1]salary allocation'!$D$6:$D$22,0),MATCH(V$3,'[1]salary allocation'!$E$3:$J$3,0)),0)</f>
        <v>0</v>
      </c>
      <c r="W8" s="15">
        <f>-$K8*IFERROR(INDEX('[1]salary allocation'!$E$6:$J$22,MATCH($H8,'[1]salary allocation'!$D$6:$D$22,0),MATCH(W$3,'[1]salary allocation'!$E$3:$J$3,0)),0)</f>
        <v>2967047.2</v>
      </c>
      <c r="X8" s="15">
        <f>-$K8*IFERROR(INDEX('[1]salary allocation'!$E$6:$J$22,MATCH($H8,'[1]salary allocation'!$D$6:$D$22,0),MATCH(X$3,'[1]salary allocation'!$E$3:$J$3,0)),0)</f>
        <v>0</v>
      </c>
      <c r="Y8" s="15">
        <f>-$K8*IFERROR(INDEX('[1]salary allocation'!$E$6:$J$22,MATCH($H8,'[1]salary allocation'!$D$6:$D$22,0),MATCH(Y$3,'[1]salary allocation'!$E$3:$J$3,0)),0)</f>
        <v>0</v>
      </c>
      <c r="Z8" s="15">
        <f>-$K8*IFERROR(INDEX('[1]salary allocation'!$E$6:$J$22,MATCH($H8,'[1]salary allocation'!$D$6:$D$22,0),MATCH(Z$3,'[1]salary allocation'!$E$3:$J$3,0)),0)</f>
        <v>0</v>
      </c>
      <c r="AA8" s="15">
        <f>-$K8*IFERROR(INDEX('[1]salary allocation'!$E$6:$J$22,MATCH($H8,'[1]salary allocation'!$D$6:$D$22,0),MATCH(AA$3,'[1]salary allocation'!$E$3:$J$3,0)),0)</f>
        <v>0</v>
      </c>
      <c r="AB8" s="15">
        <f>-$K8*IFERROR(INDEX('[1]salary allocation'!$E$6:$J$22,MATCH($H8,'[1]salary allocation'!$D$6:$D$22,0),MATCH(AB$3,'[1]salary allocation'!$E$3:$J$3,0)),0)</f>
        <v>0</v>
      </c>
      <c r="AC8" s="18">
        <f>-$K8*IFERROR(INDEX('[1]salary allocation'!$E$6:$J$22,MATCH($H8,'[1]salary allocation'!$D$6:$D$22,0),MATCH(AC$3,'[1]salary allocation'!$E$3:$J$3,0)),0)</f>
        <v>0</v>
      </c>
      <c r="AD8" s="17"/>
      <c r="AE8" s="16"/>
      <c r="AF8" s="15"/>
      <c r="AG8" s="15">
        <f>-$K8</f>
        <v>7417618</v>
      </c>
      <c r="AH8" s="2">
        <f>K8+SUM(O8:AC8)</f>
        <v>0</v>
      </c>
      <c r="AI8" s="2">
        <f>K8+SUM(AF8:AG8)</f>
        <v>0</v>
      </c>
    </row>
    <row r="9" spans="1:35" x14ac:dyDescent="0.2">
      <c r="A9" s="69" t="s">
        <v>61</v>
      </c>
      <c r="B9" s="70" t="s">
        <v>811</v>
      </c>
      <c r="C9" s="70">
        <v>0</v>
      </c>
      <c r="D9" s="70" t="str">
        <f>D8</f>
        <v>JV15</v>
      </c>
      <c r="E9" s="70" t="s">
        <v>795</v>
      </c>
      <c r="F9" s="70" t="s">
        <v>794</v>
      </c>
      <c r="G9" s="70" t="s">
        <v>835</v>
      </c>
      <c r="H9" s="70" t="s">
        <v>53</v>
      </c>
      <c r="I9" s="70" t="s">
        <v>859</v>
      </c>
      <c r="J9" s="70" t="s">
        <v>793</v>
      </c>
      <c r="K9" s="70">
        <v>-4310384</v>
      </c>
      <c r="L9" s="46">
        <v>12025</v>
      </c>
      <c r="M9" s="42" t="str">
        <f>LEFT(I9,(LEN(LEFT(I9,FIND(";",I9)))-8))</f>
        <v>VNOther</v>
      </c>
      <c r="N9" s="42" t="s">
        <v>138</v>
      </c>
      <c r="O9" s="15">
        <f>-$K9*IFERROR(INDEX('[1]salary allocation'!$E$6:$J$22,MATCH($H9,'[1]salary allocation'!$D$6:$D$22,0),MATCH(O$3,'[1]salary allocation'!$E$3:$J$3,0)),0)</f>
        <v>0</v>
      </c>
      <c r="P9" s="15">
        <f>-$K9*IFERROR(INDEX('[1]salary allocation'!$E$6:$J$22,MATCH($H9,'[1]salary allocation'!$D$6:$D$22,0),MATCH(P$3,'[1]salary allocation'!$E$3:$J$3,0)),0)</f>
        <v>646557.6</v>
      </c>
      <c r="Q9" s="15">
        <f>-$K9*IFERROR(INDEX('[1]salary allocation'!$E$6:$J$22,MATCH($H9,'[1]salary allocation'!$D$6:$D$22,0),MATCH(Q$3,'[1]salary allocation'!$E$3:$J$3,0)),0)</f>
        <v>0</v>
      </c>
      <c r="R9" s="15">
        <f>-$K9*IFERROR(INDEX('[1]salary allocation'!$E$6:$J$22,MATCH($H9,'[1]salary allocation'!$D$6:$D$22,0),MATCH(R$3,'[1]salary allocation'!$E$3:$J$3,0)),0)</f>
        <v>0</v>
      </c>
      <c r="S9" s="15">
        <f>-$K9*IFERROR(INDEX('[1]salary allocation'!$E$6:$J$22,MATCH($H9,'[1]salary allocation'!$D$6:$D$22,0),MATCH(S$3,'[1]salary allocation'!$E$3:$J$3,0)),0)</f>
        <v>732765.27999999991</v>
      </c>
      <c r="T9" s="15">
        <f>-$K9*IFERROR(INDEX('[1]salary allocation'!$E$6:$J$22,MATCH($H9,'[1]salary allocation'!$D$6:$D$22,0),MATCH(T$3,'[1]salary allocation'!$E$3:$J$3,0)),0)</f>
        <v>732765.27999999991</v>
      </c>
      <c r="U9" s="15">
        <f>-$K9*IFERROR(INDEX('[1]salary allocation'!$E$6:$J$22,MATCH($H9,'[1]salary allocation'!$D$6:$D$22,0),MATCH(U$3,'[1]salary allocation'!$E$3:$J$3,0)),0)</f>
        <v>732765.27999999991</v>
      </c>
      <c r="V9" s="15">
        <f>-$K9*IFERROR(INDEX('[1]salary allocation'!$E$6:$J$22,MATCH($H9,'[1]salary allocation'!$D$6:$D$22,0),MATCH(V$3,'[1]salary allocation'!$E$3:$J$3,0)),0)</f>
        <v>0</v>
      </c>
      <c r="W9" s="15">
        <f>-$K9*IFERROR(INDEX('[1]salary allocation'!$E$6:$J$22,MATCH($H9,'[1]salary allocation'!$D$6:$D$22,0),MATCH(W$3,'[1]salary allocation'!$E$3:$J$3,0)),0)</f>
        <v>1465530.5599999998</v>
      </c>
      <c r="X9" s="15">
        <f>-$K9*IFERROR(INDEX('[1]salary allocation'!$E$6:$J$22,MATCH($H9,'[1]salary allocation'!$D$6:$D$22,0),MATCH(X$3,'[1]salary allocation'!$E$3:$J$3,0)),0)</f>
        <v>0</v>
      </c>
      <c r="Y9" s="15">
        <f>-$K9*IFERROR(INDEX('[1]salary allocation'!$E$6:$J$22,MATCH($H9,'[1]salary allocation'!$D$6:$D$22,0),MATCH(Y$3,'[1]salary allocation'!$E$3:$J$3,0)),0)</f>
        <v>0</v>
      </c>
      <c r="Z9" s="15">
        <f>-$K9*IFERROR(INDEX('[1]salary allocation'!$E$6:$J$22,MATCH($H9,'[1]salary allocation'!$D$6:$D$22,0),MATCH(Z$3,'[1]salary allocation'!$E$3:$J$3,0)),0)</f>
        <v>0</v>
      </c>
      <c r="AA9" s="15">
        <f>-$K9*IFERROR(INDEX('[1]salary allocation'!$E$6:$J$22,MATCH($H9,'[1]salary allocation'!$D$6:$D$22,0),MATCH(AA$3,'[1]salary allocation'!$E$3:$J$3,0)),0)</f>
        <v>0</v>
      </c>
      <c r="AB9" s="15">
        <f>-$K9*IFERROR(INDEX('[1]salary allocation'!$E$6:$J$22,MATCH($H9,'[1]salary allocation'!$D$6:$D$22,0),MATCH(AB$3,'[1]salary allocation'!$E$3:$J$3,0)),0)</f>
        <v>0</v>
      </c>
      <c r="AC9" s="76">
        <f>-$K9*IFERROR(INDEX('[1]salary allocation'!$E$6:$J$22,MATCH($H9,'[1]salary allocation'!$D$6:$D$22,0),MATCH(AC$3,'[1]salary allocation'!$E$3:$J$3,0)),0)</f>
        <v>0</v>
      </c>
      <c r="AD9" s="75"/>
      <c r="AE9" s="74"/>
      <c r="AF9" s="15">
        <f>-$K9</f>
        <v>4310384</v>
      </c>
      <c r="AG9" s="73"/>
      <c r="AH9" s="2">
        <f>K9+SUM(O9:AC9)</f>
        <v>0</v>
      </c>
      <c r="AI9" s="2">
        <f>K9+SUM(AF9:AG9)</f>
        <v>0</v>
      </c>
    </row>
    <row r="10" spans="1:35" x14ac:dyDescent="0.2">
      <c r="A10" s="69" t="s">
        <v>61</v>
      </c>
      <c r="B10" s="70" t="s">
        <v>811</v>
      </c>
      <c r="C10" s="70">
        <v>0</v>
      </c>
      <c r="D10" s="70" t="str">
        <f>D9</f>
        <v>JV15</v>
      </c>
      <c r="E10" s="70" t="s">
        <v>795</v>
      </c>
      <c r="F10" s="70" t="s">
        <v>794</v>
      </c>
      <c r="G10" s="70" t="s">
        <v>835</v>
      </c>
      <c r="H10" s="70" t="s">
        <v>51</v>
      </c>
      <c r="I10" s="70" t="s">
        <v>858</v>
      </c>
      <c r="J10" s="70" t="s">
        <v>793</v>
      </c>
      <c r="K10" s="70">
        <v>-1793359</v>
      </c>
      <c r="L10" s="46">
        <v>12025</v>
      </c>
      <c r="M10" s="42" t="str">
        <f>LEFT(I10,(LEN(LEFT(I10,FIND(";",I10)))-8))</f>
        <v>VNOther</v>
      </c>
      <c r="N10" s="42" t="s">
        <v>138</v>
      </c>
      <c r="O10" s="15">
        <f>-$K10*IFERROR(INDEX('[1]salary allocation'!$E$6:$J$22,MATCH($H10,'[1]salary allocation'!$D$6:$D$22,0),MATCH(O$3,'[1]salary allocation'!$E$3:$J$3,0)),0)</f>
        <v>0</v>
      </c>
      <c r="P10" s="15">
        <f>-$K10*IFERROR(INDEX('[1]salary allocation'!$E$6:$J$22,MATCH($H10,'[1]salary allocation'!$D$6:$D$22,0),MATCH(P$3,'[1]salary allocation'!$E$3:$J$3,0)),0)</f>
        <v>896679.5</v>
      </c>
      <c r="Q10" s="15">
        <f>-$K10*IFERROR(INDEX('[1]salary allocation'!$E$6:$J$22,MATCH($H10,'[1]salary allocation'!$D$6:$D$22,0),MATCH(Q$3,'[1]salary allocation'!$E$3:$J$3,0)),0)</f>
        <v>0</v>
      </c>
      <c r="R10" s="15">
        <f>-$K10*IFERROR(INDEX('[1]salary allocation'!$E$6:$J$22,MATCH($H10,'[1]salary allocation'!$D$6:$D$22,0),MATCH(R$3,'[1]salary allocation'!$E$3:$J$3,0)),0)</f>
        <v>0</v>
      </c>
      <c r="S10" s="15">
        <f>-$K10*IFERROR(INDEX('[1]salary allocation'!$E$6:$J$22,MATCH($H10,'[1]salary allocation'!$D$6:$D$22,0),MATCH(S$3,'[1]salary allocation'!$E$3:$J$3,0)),0)</f>
        <v>179335.90000000002</v>
      </c>
      <c r="T10" s="15">
        <f>-$K10*IFERROR(INDEX('[1]salary allocation'!$E$6:$J$22,MATCH($H10,'[1]salary allocation'!$D$6:$D$22,0),MATCH(T$3,'[1]salary allocation'!$E$3:$J$3,0)),0)</f>
        <v>179335.90000000002</v>
      </c>
      <c r="U10" s="15">
        <f>-$K10*IFERROR(INDEX('[1]salary allocation'!$E$6:$J$22,MATCH($H10,'[1]salary allocation'!$D$6:$D$22,0),MATCH(U$3,'[1]salary allocation'!$E$3:$J$3,0)),0)</f>
        <v>179335.90000000002</v>
      </c>
      <c r="V10" s="15">
        <f>-$K10*IFERROR(INDEX('[1]salary allocation'!$E$6:$J$22,MATCH($H10,'[1]salary allocation'!$D$6:$D$22,0),MATCH(V$3,'[1]salary allocation'!$E$3:$J$3,0)),0)</f>
        <v>0</v>
      </c>
      <c r="W10" s="15">
        <f>-$K10*IFERROR(INDEX('[1]salary allocation'!$E$6:$J$22,MATCH($H10,'[1]salary allocation'!$D$6:$D$22,0),MATCH(W$3,'[1]salary allocation'!$E$3:$J$3,0)),0)</f>
        <v>358671.80000000005</v>
      </c>
      <c r="X10" s="15">
        <f>-$K10*IFERROR(INDEX('[1]salary allocation'!$E$6:$J$22,MATCH($H10,'[1]salary allocation'!$D$6:$D$22,0),MATCH(X$3,'[1]salary allocation'!$E$3:$J$3,0)),0)</f>
        <v>0</v>
      </c>
      <c r="Y10" s="15">
        <f>-$K10*IFERROR(INDEX('[1]salary allocation'!$E$6:$J$22,MATCH($H10,'[1]salary allocation'!$D$6:$D$22,0),MATCH(Y$3,'[1]salary allocation'!$E$3:$J$3,0)),0)</f>
        <v>0</v>
      </c>
      <c r="Z10" s="15">
        <f>-$K10*IFERROR(INDEX('[1]salary allocation'!$E$6:$J$22,MATCH($H10,'[1]salary allocation'!$D$6:$D$22,0),MATCH(Z$3,'[1]salary allocation'!$E$3:$J$3,0)),0)</f>
        <v>0</v>
      </c>
      <c r="AA10" s="15">
        <f>-$K10*IFERROR(INDEX('[1]salary allocation'!$E$6:$J$22,MATCH($H10,'[1]salary allocation'!$D$6:$D$22,0),MATCH(AA$3,'[1]salary allocation'!$E$3:$J$3,0)),0)</f>
        <v>0</v>
      </c>
      <c r="AB10" s="15">
        <f>-$K10*IFERROR(INDEX('[1]salary allocation'!$E$6:$J$22,MATCH($H10,'[1]salary allocation'!$D$6:$D$22,0),MATCH(AB$3,'[1]salary allocation'!$E$3:$J$3,0)),0)</f>
        <v>0</v>
      </c>
      <c r="AC10" s="18">
        <f>-$K10*IFERROR(INDEX('[1]salary allocation'!$E$6:$J$22,MATCH($H10,'[1]salary allocation'!$D$6:$D$22,0),MATCH(AC$3,'[1]salary allocation'!$E$3:$J$3,0)),0)</f>
        <v>0</v>
      </c>
      <c r="AD10" s="17"/>
      <c r="AE10" s="16"/>
      <c r="AF10" s="15">
        <f>-$K10</f>
        <v>1793359</v>
      </c>
      <c r="AG10" s="15"/>
      <c r="AH10" s="2">
        <f>K10+SUM(O10:AC10)</f>
        <v>0</v>
      </c>
      <c r="AI10" s="2">
        <f>K10+SUM(AF10:AG10)</f>
        <v>0</v>
      </c>
    </row>
    <row r="11" spans="1:35" x14ac:dyDescent="0.2">
      <c r="A11" s="69" t="s">
        <v>61</v>
      </c>
      <c r="B11" s="70" t="s">
        <v>811</v>
      </c>
      <c r="C11" s="70">
        <v>0</v>
      </c>
      <c r="D11" s="70" t="str">
        <f>D10</f>
        <v>JV15</v>
      </c>
      <c r="E11" s="70" t="s">
        <v>795</v>
      </c>
      <c r="F11" s="70" t="s">
        <v>794</v>
      </c>
      <c r="G11" s="70" t="s">
        <v>835</v>
      </c>
      <c r="H11" s="70" t="s">
        <v>49</v>
      </c>
      <c r="I11" s="70" t="s">
        <v>857</v>
      </c>
      <c r="J11" s="70" t="s">
        <v>793</v>
      </c>
      <c r="K11" s="70">
        <v>-1104607</v>
      </c>
      <c r="L11" s="46">
        <v>12025</v>
      </c>
      <c r="M11" s="42" t="str">
        <f>LEFT(I11,(LEN(LEFT(I11,FIND(";",I11)))-8))</f>
        <v>VNMOET</v>
      </c>
      <c r="N11" s="42" t="s">
        <v>138</v>
      </c>
      <c r="O11" s="15">
        <f>-$K11*IFERROR(INDEX('[1]salary allocation'!$E$6:$J$22,MATCH($H11,'[1]salary allocation'!$D$6:$D$22,0),MATCH(O$3,'[1]salary allocation'!$E$3:$J$3,0)),0)</f>
        <v>0</v>
      </c>
      <c r="P11" s="15">
        <f>-$K11*IFERROR(INDEX('[1]salary allocation'!$E$6:$J$22,MATCH($H11,'[1]salary allocation'!$D$6:$D$22,0),MATCH(P$3,'[1]salary allocation'!$E$3:$J$3,0)),0)</f>
        <v>0</v>
      </c>
      <c r="Q11" s="15">
        <f>-$K11*IFERROR(INDEX('[1]salary allocation'!$E$6:$J$22,MATCH($H11,'[1]salary allocation'!$D$6:$D$22,0),MATCH(Q$3,'[1]salary allocation'!$E$3:$J$3,0)),0)</f>
        <v>0</v>
      </c>
      <c r="R11" s="15">
        <f>-$K11*IFERROR(INDEX('[1]salary allocation'!$E$6:$J$22,MATCH($H11,'[1]salary allocation'!$D$6:$D$22,0),MATCH(R$3,'[1]salary allocation'!$E$3:$J$3,0)),0)</f>
        <v>0</v>
      </c>
      <c r="S11" s="15">
        <f>-$K11*IFERROR(INDEX('[1]salary allocation'!$E$6:$J$22,MATCH($H11,'[1]salary allocation'!$D$6:$D$22,0),MATCH(S$3,'[1]salary allocation'!$E$3:$J$3,0)),0)</f>
        <v>220921.40000000002</v>
      </c>
      <c r="T11" s="15">
        <f>-$K11*IFERROR(INDEX('[1]salary allocation'!$E$6:$J$22,MATCH($H11,'[1]salary allocation'!$D$6:$D$22,0),MATCH(T$3,'[1]salary allocation'!$E$3:$J$3,0)),0)</f>
        <v>220921.40000000002</v>
      </c>
      <c r="U11" s="15">
        <f>-$K11*IFERROR(INDEX('[1]salary allocation'!$E$6:$J$22,MATCH($H11,'[1]salary allocation'!$D$6:$D$22,0),MATCH(U$3,'[1]salary allocation'!$E$3:$J$3,0)),0)</f>
        <v>220921.40000000002</v>
      </c>
      <c r="V11" s="15">
        <f>-$K11*IFERROR(INDEX('[1]salary allocation'!$E$6:$J$22,MATCH($H11,'[1]salary allocation'!$D$6:$D$22,0),MATCH(V$3,'[1]salary allocation'!$E$3:$J$3,0)),0)</f>
        <v>0</v>
      </c>
      <c r="W11" s="15">
        <f>-$K11*IFERROR(INDEX('[1]salary allocation'!$E$6:$J$22,MATCH($H11,'[1]salary allocation'!$D$6:$D$22,0),MATCH(W$3,'[1]salary allocation'!$E$3:$J$3,0)),0)</f>
        <v>441842.80000000005</v>
      </c>
      <c r="X11" s="15">
        <f>-$K11*IFERROR(INDEX('[1]salary allocation'!$E$6:$J$22,MATCH($H11,'[1]salary allocation'!$D$6:$D$22,0),MATCH(X$3,'[1]salary allocation'!$E$3:$J$3,0)),0)</f>
        <v>0</v>
      </c>
      <c r="Y11" s="15">
        <f>-$K11*IFERROR(INDEX('[1]salary allocation'!$E$6:$J$22,MATCH($H11,'[1]salary allocation'!$D$6:$D$22,0),MATCH(Y$3,'[1]salary allocation'!$E$3:$J$3,0)),0)</f>
        <v>0</v>
      </c>
      <c r="Z11" s="15">
        <f>-$K11*IFERROR(INDEX('[1]salary allocation'!$E$6:$J$22,MATCH($H11,'[1]salary allocation'!$D$6:$D$22,0),MATCH(Z$3,'[1]salary allocation'!$E$3:$J$3,0)),0)</f>
        <v>0</v>
      </c>
      <c r="AA11" s="15">
        <f>-$K11*IFERROR(INDEX('[1]salary allocation'!$E$6:$J$22,MATCH($H11,'[1]salary allocation'!$D$6:$D$22,0),MATCH(AA$3,'[1]salary allocation'!$E$3:$J$3,0)),0)</f>
        <v>0</v>
      </c>
      <c r="AB11" s="15">
        <f>-$K11*IFERROR(INDEX('[1]salary allocation'!$E$6:$J$22,MATCH($H11,'[1]salary allocation'!$D$6:$D$22,0),MATCH(AB$3,'[1]salary allocation'!$E$3:$J$3,0)),0)</f>
        <v>0</v>
      </c>
      <c r="AC11" s="76">
        <f>-$K11*IFERROR(INDEX('[1]salary allocation'!$E$6:$J$22,MATCH($H11,'[1]salary allocation'!$D$6:$D$22,0),MATCH(AC$3,'[1]salary allocation'!$E$3:$J$3,0)),0)</f>
        <v>0</v>
      </c>
      <c r="AD11" s="75"/>
      <c r="AE11" s="74"/>
      <c r="AF11" s="73"/>
      <c r="AG11" s="15">
        <f>-$K11</f>
        <v>1104607</v>
      </c>
      <c r="AH11" s="2">
        <f>K11+SUM(O11:AC11)</f>
        <v>0</v>
      </c>
      <c r="AI11" s="2">
        <f>K11+SUM(AF11:AG11)</f>
        <v>0</v>
      </c>
    </row>
    <row r="12" spans="1:35" x14ac:dyDescent="0.2">
      <c r="A12" s="69" t="s">
        <v>61</v>
      </c>
      <c r="B12" s="70" t="s">
        <v>811</v>
      </c>
      <c r="C12" s="70">
        <v>0</v>
      </c>
      <c r="D12" s="70" t="str">
        <f>D11</f>
        <v>JV15</v>
      </c>
      <c r="E12" s="70" t="s">
        <v>795</v>
      </c>
      <c r="F12" s="70" t="s">
        <v>794</v>
      </c>
      <c r="G12" s="70" t="s">
        <v>835</v>
      </c>
      <c r="H12" s="70" t="s">
        <v>47</v>
      </c>
      <c r="I12" s="70" t="s">
        <v>856</v>
      </c>
      <c r="J12" s="70" t="s">
        <v>793</v>
      </c>
      <c r="K12" s="70">
        <v>-3579868</v>
      </c>
      <c r="L12" s="46">
        <v>12025</v>
      </c>
      <c r="M12" s="42" t="str">
        <f>LEFT(I12,(LEN(LEFT(I12,FIND(";",I12)))-8))</f>
        <v>VNHBC</v>
      </c>
      <c r="N12" s="42" t="s">
        <v>138</v>
      </c>
      <c r="O12" s="15">
        <f>-$K12*IFERROR(INDEX('[1]salary allocation'!$E$6:$J$22,MATCH($H12,'[1]salary allocation'!$D$6:$D$22,0),MATCH(O$3,'[1]salary allocation'!$E$3:$J$3,0)),0)</f>
        <v>0</v>
      </c>
      <c r="P12" s="15">
        <f>-$K12*IFERROR(INDEX('[1]salary allocation'!$E$6:$J$22,MATCH($H12,'[1]salary allocation'!$D$6:$D$22,0),MATCH(P$3,'[1]salary allocation'!$E$3:$J$3,0)),0)</f>
        <v>0</v>
      </c>
      <c r="Q12" s="15">
        <f>-$K12*IFERROR(INDEX('[1]salary allocation'!$E$6:$J$22,MATCH($H12,'[1]salary allocation'!$D$6:$D$22,0),MATCH(Q$3,'[1]salary allocation'!$E$3:$J$3,0)),0)</f>
        <v>0</v>
      </c>
      <c r="R12" s="15">
        <f>-$K12*IFERROR(INDEX('[1]salary allocation'!$E$6:$J$22,MATCH($H12,'[1]salary allocation'!$D$6:$D$22,0),MATCH(R$3,'[1]salary allocation'!$E$3:$J$3,0)),0)</f>
        <v>0</v>
      </c>
      <c r="S12" s="15">
        <f>-$K12*IFERROR(INDEX('[1]salary allocation'!$E$6:$J$22,MATCH($H12,'[1]salary allocation'!$D$6:$D$22,0),MATCH(S$3,'[1]salary allocation'!$E$3:$J$3,0)),0)</f>
        <v>715973.60000000009</v>
      </c>
      <c r="T12" s="15">
        <f>-$K12*IFERROR(INDEX('[1]salary allocation'!$E$6:$J$22,MATCH($H12,'[1]salary allocation'!$D$6:$D$22,0),MATCH(T$3,'[1]salary allocation'!$E$3:$J$3,0)),0)</f>
        <v>715973.60000000009</v>
      </c>
      <c r="U12" s="15">
        <f>-$K12*IFERROR(INDEX('[1]salary allocation'!$E$6:$J$22,MATCH($H12,'[1]salary allocation'!$D$6:$D$22,0),MATCH(U$3,'[1]salary allocation'!$E$3:$J$3,0)),0)</f>
        <v>715973.60000000009</v>
      </c>
      <c r="V12" s="15">
        <f>-$K12*IFERROR(INDEX('[1]salary allocation'!$E$6:$J$22,MATCH($H12,'[1]salary allocation'!$D$6:$D$22,0),MATCH(V$3,'[1]salary allocation'!$E$3:$J$3,0)),0)</f>
        <v>0</v>
      </c>
      <c r="W12" s="15">
        <f>-$K12*IFERROR(INDEX('[1]salary allocation'!$E$6:$J$22,MATCH($H12,'[1]salary allocation'!$D$6:$D$22,0),MATCH(W$3,'[1]salary allocation'!$E$3:$J$3,0)),0)</f>
        <v>1431947.2000000002</v>
      </c>
      <c r="X12" s="15">
        <f>-$K12*IFERROR(INDEX('[1]salary allocation'!$E$6:$J$22,MATCH($H12,'[1]salary allocation'!$D$6:$D$22,0),MATCH(X$3,'[1]salary allocation'!$E$3:$J$3,0)),0)</f>
        <v>0</v>
      </c>
      <c r="Y12" s="15">
        <f>-$K12*IFERROR(INDEX('[1]salary allocation'!$E$6:$J$22,MATCH($H12,'[1]salary allocation'!$D$6:$D$22,0),MATCH(Y$3,'[1]salary allocation'!$E$3:$J$3,0)),0)</f>
        <v>0</v>
      </c>
      <c r="Z12" s="15">
        <f>-$K12*IFERROR(INDEX('[1]salary allocation'!$E$6:$J$22,MATCH($H12,'[1]salary allocation'!$D$6:$D$22,0),MATCH(Z$3,'[1]salary allocation'!$E$3:$J$3,0)),0)</f>
        <v>0</v>
      </c>
      <c r="AA12" s="15">
        <f>-$K12*IFERROR(INDEX('[1]salary allocation'!$E$6:$J$22,MATCH($H12,'[1]salary allocation'!$D$6:$D$22,0),MATCH(AA$3,'[1]salary allocation'!$E$3:$J$3,0)),0)</f>
        <v>0</v>
      </c>
      <c r="AB12" s="15">
        <f>-$K12*IFERROR(INDEX('[1]salary allocation'!$E$6:$J$22,MATCH($H12,'[1]salary allocation'!$D$6:$D$22,0),MATCH(AB$3,'[1]salary allocation'!$E$3:$J$3,0)),0)</f>
        <v>0</v>
      </c>
      <c r="AC12" s="76">
        <f>-$K12*IFERROR(INDEX('[1]salary allocation'!$E$6:$J$22,MATCH($H12,'[1]salary allocation'!$D$6:$D$22,0),MATCH(AC$3,'[1]salary allocation'!$E$3:$J$3,0)),0)</f>
        <v>0</v>
      </c>
      <c r="AD12" s="75"/>
      <c r="AE12" s="74"/>
      <c r="AF12" s="15">
        <f>-$K12</f>
        <v>3579868</v>
      </c>
      <c r="AG12" s="73"/>
      <c r="AH12" s="2">
        <f>K12+SUM(O12:AC12)</f>
        <v>0</v>
      </c>
      <c r="AI12" s="2">
        <f>K12+SUM(AF12:AG12)</f>
        <v>0</v>
      </c>
    </row>
    <row r="13" spans="1:35" x14ac:dyDescent="0.2">
      <c r="A13" s="69" t="s">
        <v>61</v>
      </c>
      <c r="B13" s="70" t="s">
        <v>811</v>
      </c>
      <c r="C13" s="70">
        <v>0</v>
      </c>
      <c r="D13" s="70" t="str">
        <f>D12</f>
        <v>JV15</v>
      </c>
      <c r="E13" s="70" t="s">
        <v>795</v>
      </c>
      <c r="F13" s="70" t="s">
        <v>794</v>
      </c>
      <c r="G13" s="70" t="s">
        <v>835</v>
      </c>
      <c r="H13" s="70" t="s">
        <v>173</v>
      </c>
      <c r="I13" s="72"/>
      <c r="J13" s="70" t="s">
        <v>793</v>
      </c>
      <c r="K13" s="70">
        <v>0</v>
      </c>
      <c r="L13" s="46">
        <v>12025</v>
      </c>
      <c r="M13" s="42"/>
      <c r="N13" s="42" t="s">
        <v>138</v>
      </c>
      <c r="O13" s="15">
        <f>-$K13*IFERROR(INDEX('[1]salary allocation'!$E$6:$J$22,MATCH($H13,'[1]salary allocation'!$D$6:$D$22,0),MATCH(O$3,'[1]salary allocation'!$E$3:$J$3,0)),0)</f>
        <v>0</v>
      </c>
      <c r="P13" s="15">
        <f>-$K13*IFERROR(INDEX('[1]salary allocation'!$E$6:$J$22,MATCH($H13,'[1]salary allocation'!$D$6:$D$22,0),MATCH(P$3,'[1]salary allocation'!$E$3:$J$3,0)),0)</f>
        <v>0</v>
      </c>
      <c r="Q13" s="15">
        <f>-$K13*IFERROR(INDEX('[1]salary allocation'!$E$6:$J$22,MATCH($H13,'[1]salary allocation'!$D$6:$D$22,0),MATCH(Q$3,'[1]salary allocation'!$E$3:$J$3,0)),0)</f>
        <v>0</v>
      </c>
      <c r="R13" s="15">
        <f>-$K13*IFERROR(INDEX('[1]salary allocation'!$E$6:$J$22,MATCH($H13,'[1]salary allocation'!$D$6:$D$22,0),MATCH(R$3,'[1]salary allocation'!$E$3:$J$3,0)),0)</f>
        <v>0</v>
      </c>
      <c r="S13" s="15">
        <f>-$K13*IFERROR(INDEX('[1]salary allocation'!$E$6:$J$22,MATCH($H13,'[1]salary allocation'!$D$6:$D$22,0),MATCH(S$3,'[1]salary allocation'!$E$3:$J$3,0)),0)</f>
        <v>0</v>
      </c>
      <c r="T13" s="15">
        <f>-$K13*IFERROR(INDEX('[1]salary allocation'!$E$6:$J$22,MATCH($H13,'[1]salary allocation'!$D$6:$D$22,0),MATCH(T$3,'[1]salary allocation'!$E$3:$J$3,0)),0)</f>
        <v>0</v>
      </c>
      <c r="U13" s="15">
        <f>-$K13*IFERROR(INDEX('[1]salary allocation'!$E$6:$J$22,MATCH($H13,'[1]salary allocation'!$D$6:$D$22,0),MATCH(U$3,'[1]salary allocation'!$E$3:$J$3,0)),0)</f>
        <v>0</v>
      </c>
      <c r="V13" s="15">
        <f>-$K13*IFERROR(INDEX('[1]salary allocation'!$E$6:$J$22,MATCH($H13,'[1]salary allocation'!$D$6:$D$22,0),MATCH(V$3,'[1]salary allocation'!$E$3:$J$3,0)),0)</f>
        <v>0</v>
      </c>
      <c r="W13" s="15">
        <f>-$K13*IFERROR(INDEX('[1]salary allocation'!$E$6:$J$22,MATCH($H13,'[1]salary allocation'!$D$6:$D$22,0),MATCH(W$3,'[1]salary allocation'!$E$3:$J$3,0)),0)</f>
        <v>0</v>
      </c>
      <c r="X13" s="15">
        <f>-$K13*IFERROR(INDEX('[1]salary allocation'!$E$6:$J$22,MATCH($H13,'[1]salary allocation'!$D$6:$D$22,0),MATCH(X$3,'[1]salary allocation'!$E$3:$J$3,0)),0)</f>
        <v>0</v>
      </c>
      <c r="Y13" s="15">
        <f>-$K13*IFERROR(INDEX('[1]salary allocation'!$E$6:$J$22,MATCH($H13,'[1]salary allocation'!$D$6:$D$22,0),MATCH(Y$3,'[1]salary allocation'!$E$3:$J$3,0)),0)</f>
        <v>0</v>
      </c>
      <c r="Z13" s="15">
        <f>-$K13*IFERROR(INDEX('[1]salary allocation'!$E$6:$J$22,MATCH($H13,'[1]salary allocation'!$D$6:$D$22,0),MATCH(Z$3,'[1]salary allocation'!$E$3:$J$3,0)),0)</f>
        <v>0</v>
      </c>
      <c r="AA13" s="15">
        <f>-$K13*IFERROR(INDEX('[1]salary allocation'!$E$6:$J$22,MATCH($H13,'[1]salary allocation'!$D$6:$D$22,0),MATCH(AA$3,'[1]salary allocation'!$E$3:$J$3,0)),0)</f>
        <v>0</v>
      </c>
      <c r="AB13" s="15">
        <f>-$K13*IFERROR(INDEX('[1]salary allocation'!$E$6:$J$22,MATCH($H13,'[1]salary allocation'!$D$6:$D$22,0),MATCH(AB$3,'[1]salary allocation'!$E$3:$J$3,0)),0)</f>
        <v>0</v>
      </c>
      <c r="AC13" s="18">
        <f>-$K13*IFERROR(INDEX('[1]salary allocation'!$E$6:$J$22,MATCH($H13,'[1]salary allocation'!$D$6:$D$22,0),MATCH(AC$3,'[1]salary allocation'!$E$3:$J$3,0)),0)</f>
        <v>0</v>
      </c>
      <c r="AD13" s="17"/>
      <c r="AE13" s="16"/>
      <c r="AF13" s="15"/>
      <c r="AG13" s="15">
        <f>-$K13</f>
        <v>0</v>
      </c>
      <c r="AH13" s="2">
        <f>K13+SUM(O13:AC13)</f>
        <v>0</v>
      </c>
      <c r="AI13" s="2">
        <f>K13+SUM(AF13:AG13)</f>
        <v>0</v>
      </c>
    </row>
    <row r="14" spans="1:35" x14ac:dyDescent="0.2">
      <c r="A14" s="69" t="s">
        <v>61</v>
      </c>
      <c r="B14" s="70" t="s">
        <v>811</v>
      </c>
      <c r="C14" s="70">
        <v>0</v>
      </c>
      <c r="D14" s="70" t="str">
        <f>D13</f>
        <v>JV15</v>
      </c>
      <c r="E14" s="70" t="s">
        <v>795</v>
      </c>
      <c r="F14" s="70" t="s">
        <v>794</v>
      </c>
      <c r="G14" s="70" t="s">
        <v>835</v>
      </c>
      <c r="H14" s="70" t="s">
        <v>45</v>
      </c>
      <c r="I14" s="70" t="s">
        <v>855</v>
      </c>
      <c r="J14" s="70" t="s">
        <v>793</v>
      </c>
      <c r="K14" s="70">
        <v>-72274</v>
      </c>
      <c r="L14" s="46">
        <v>12025</v>
      </c>
      <c r="M14" s="42" t="str">
        <f>LEFT(I14,(LEN(LEFT(I14,FIND(";",I14)))-9))</f>
        <v>VNHBC</v>
      </c>
      <c r="N14" s="42" t="s">
        <v>138</v>
      </c>
      <c r="O14" s="15">
        <f>-$K14*IFERROR(INDEX('[1]salary allocation'!$E$6:$J$22,MATCH($H14,'[1]salary allocation'!$D$6:$D$22,0),MATCH(O$3,'[1]salary allocation'!$E$3:$J$3,0)),0)</f>
        <v>0</v>
      </c>
      <c r="P14" s="15">
        <f>-$K14*IFERROR(INDEX('[1]salary allocation'!$E$6:$J$22,MATCH($H14,'[1]salary allocation'!$D$6:$D$22,0),MATCH(P$3,'[1]salary allocation'!$E$3:$J$3,0)),0)</f>
        <v>0</v>
      </c>
      <c r="Q14" s="15">
        <f>-$K14*IFERROR(INDEX('[1]salary allocation'!$E$6:$J$22,MATCH($H14,'[1]salary allocation'!$D$6:$D$22,0),MATCH(Q$3,'[1]salary allocation'!$E$3:$J$3,0)),0)</f>
        <v>0</v>
      </c>
      <c r="R14" s="15">
        <f>-$K14*IFERROR(INDEX('[1]salary allocation'!$E$6:$J$22,MATCH($H14,'[1]salary allocation'!$D$6:$D$22,0),MATCH(R$3,'[1]salary allocation'!$E$3:$J$3,0)),0)</f>
        <v>0</v>
      </c>
      <c r="S14" s="15">
        <f>-$K14*IFERROR(INDEX('[1]salary allocation'!$E$6:$J$22,MATCH($H14,'[1]salary allocation'!$D$6:$D$22,0),MATCH(S$3,'[1]salary allocation'!$E$3:$J$3,0)),0)</f>
        <v>14454.800000000001</v>
      </c>
      <c r="T14" s="15">
        <f>-$K14*IFERROR(INDEX('[1]salary allocation'!$E$6:$J$22,MATCH($H14,'[1]salary allocation'!$D$6:$D$22,0),MATCH(T$3,'[1]salary allocation'!$E$3:$J$3,0)),0)</f>
        <v>14454.800000000001</v>
      </c>
      <c r="U14" s="15">
        <f>-$K14*IFERROR(INDEX('[1]salary allocation'!$E$6:$J$22,MATCH($H14,'[1]salary allocation'!$D$6:$D$22,0),MATCH(U$3,'[1]salary allocation'!$E$3:$J$3,0)),0)</f>
        <v>14454.800000000001</v>
      </c>
      <c r="V14" s="15">
        <f>-$K14*IFERROR(INDEX('[1]salary allocation'!$E$6:$J$22,MATCH($H14,'[1]salary allocation'!$D$6:$D$22,0),MATCH(V$3,'[1]salary allocation'!$E$3:$J$3,0)),0)</f>
        <v>0</v>
      </c>
      <c r="W14" s="15">
        <f>-$K14*IFERROR(INDEX('[1]salary allocation'!$E$6:$J$22,MATCH($H14,'[1]salary allocation'!$D$6:$D$22,0),MATCH(W$3,'[1]salary allocation'!$E$3:$J$3,0)),0)</f>
        <v>28909.600000000002</v>
      </c>
      <c r="X14" s="15">
        <f>-$K14*IFERROR(INDEX('[1]salary allocation'!$E$6:$J$22,MATCH($H14,'[1]salary allocation'!$D$6:$D$22,0),MATCH(X$3,'[1]salary allocation'!$E$3:$J$3,0)),0)</f>
        <v>0</v>
      </c>
      <c r="Y14" s="15">
        <f>-$K14*IFERROR(INDEX('[1]salary allocation'!$E$6:$J$22,MATCH($H14,'[1]salary allocation'!$D$6:$D$22,0),MATCH(Y$3,'[1]salary allocation'!$E$3:$J$3,0)),0)</f>
        <v>0</v>
      </c>
      <c r="Z14" s="15">
        <f>-$K14*IFERROR(INDEX('[1]salary allocation'!$E$6:$J$22,MATCH($H14,'[1]salary allocation'!$D$6:$D$22,0),MATCH(Z$3,'[1]salary allocation'!$E$3:$J$3,0)),0)</f>
        <v>0</v>
      </c>
      <c r="AA14" s="15">
        <f>-$K14*IFERROR(INDEX('[1]salary allocation'!$E$6:$J$22,MATCH($H14,'[1]salary allocation'!$D$6:$D$22,0),MATCH(AA$3,'[1]salary allocation'!$E$3:$J$3,0)),0)</f>
        <v>0</v>
      </c>
      <c r="AB14" s="15">
        <f>-$K14*IFERROR(INDEX('[1]salary allocation'!$E$6:$J$22,MATCH($H14,'[1]salary allocation'!$D$6:$D$22,0),MATCH(AB$3,'[1]salary allocation'!$E$3:$J$3,0)),0)</f>
        <v>0</v>
      </c>
      <c r="AC14" s="18">
        <f>-$K14*IFERROR(INDEX('[1]salary allocation'!$E$6:$J$22,MATCH($H14,'[1]salary allocation'!$D$6:$D$22,0),MATCH(AC$3,'[1]salary allocation'!$E$3:$J$3,0)),0)</f>
        <v>0</v>
      </c>
      <c r="AD14" s="17"/>
      <c r="AE14" s="16"/>
      <c r="AF14" s="15"/>
      <c r="AG14" s="15">
        <f>-$K14</f>
        <v>72274</v>
      </c>
      <c r="AH14" s="2">
        <f>K14+SUM(O14:AC14)</f>
        <v>0</v>
      </c>
      <c r="AI14" s="2">
        <f>K14+SUM(AF14:AG14)</f>
        <v>0</v>
      </c>
    </row>
    <row r="15" spans="1:35" x14ac:dyDescent="0.2">
      <c r="A15" s="69" t="s">
        <v>61</v>
      </c>
      <c r="B15" s="70" t="s">
        <v>811</v>
      </c>
      <c r="C15" s="70">
        <v>0</v>
      </c>
      <c r="D15" s="70" t="str">
        <f>D14</f>
        <v>JV15</v>
      </c>
      <c r="E15" s="70" t="s">
        <v>795</v>
      </c>
      <c r="F15" s="70" t="s">
        <v>794</v>
      </c>
      <c r="G15" s="70" t="s">
        <v>835</v>
      </c>
      <c r="H15" s="70" t="s">
        <v>43</v>
      </c>
      <c r="I15" s="70" t="s">
        <v>854</v>
      </c>
      <c r="J15" s="70" t="s">
        <v>793</v>
      </c>
      <c r="K15" s="70">
        <v>-3495792</v>
      </c>
      <c r="L15" s="46">
        <v>12025</v>
      </c>
      <c r="M15" s="42" t="str">
        <f>LEFT(I15,(LEN(LEFT(I15,FIND(";",I15)))-8))</f>
        <v>VNMOET</v>
      </c>
      <c r="N15" s="42" t="s">
        <v>138</v>
      </c>
      <c r="O15" s="15">
        <f>-$K15*IFERROR(INDEX('[1]salary allocation'!$E$6:$J$22,MATCH($H15,'[1]salary allocation'!$D$6:$D$22,0),MATCH(O$3,'[1]salary allocation'!$E$3:$J$3,0)),0)</f>
        <v>0</v>
      </c>
      <c r="P15" s="15">
        <f>-$K15*IFERROR(INDEX('[1]salary allocation'!$E$6:$J$22,MATCH($H15,'[1]salary allocation'!$D$6:$D$22,0),MATCH(P$3,'[1]salary allocation'!$E$3:$J$3,0)),0)</f>
        <v>0</v>
      </c>
      <c r="Q15" s="15">
        <f>-$K15*IFERROR(INDEX('[1]salary allocation'!$E$6:$J$22,MATCH($H15,'[1]salary allocation'!$D$6:$D$22,0),MATCH(Q$3,'[1]salary allocation'!$E$3:$J$3,0)),0)</f>
        <v>0</v>
      </c>
      <c r="R15" s="15">
        <f>-$K15*IFERROR(INDEX('[1]salary allocation'!$E$6:$J$22,MATCH($H15,'[1]salary allocation'!$D$6:$D$22,0),MATCH(R$3,'[1]salary allocation'!$E$3:$J$3,0)),0)</f>
        <v>0</v>
      </c>
      <c r="S15" s="15">
        <f>-$K15*IFERROR(INDEX('[1]salary allocation'!$E$6:$J$22,MATCH($H15,'[1]salary allocation'!$D$6:$D$22,0),MATCH(S$3,'[1]salary allocation'!$E$3:$J$3,0)),0)</f>
        <v>699158.4</v>
      </c>
      <c r="T15" s="15">
        <f>-$K15*IFERROR(INDEX('[1]salary allocation'!$E$6:$J$22,MATCH($H15,'[1]salary allocation'!$D$6:$D$22,0),MATCH(T$3,'[1]salary allocation'!$E$3:$J$3,0)),0)</f>
        <v>699158.4</v>
      </c>
      <c r="U15" s="15">
        <f>-$K15*IFERROR(INDEX('[1]salary allocation'!$E$6:$J$22,MATCH($H15,'[1]salary allocation'!$D$6:$D$22,0),MATCH(U$3,'[1]salary allocation'!$E$3:$J$3,0)),0)</f>
        <v>699158.4</v>
      </c>
      <c r="V15" s="15">
        <f>-$K15*IFERROR(INDEX('[1]salary allocation'!$E$6:$J$22,MATCH($H15,'[1]salary allocation'!$D$6:$D$22,0),MATCH(V$3,'[1]salary allocation'!$E$3:$J$3,0)),0)</f>
        <v>0</v>
      </c>
      <c r="W15" s="15">
        <f>-$K15*IFERROR(INDEX('[1]salary allocation'!$E$6:$J$22,MATCH($H15,'[1]salary allocation'!$D$6:$D$22,0),MATCH(W$3,'[1]salary allocation'!$E$3:$J$3,0)),0)</f>
        <v>1398316.8</v>
      </c>
      <c r="X15" s="15">
        <f>-$K15*IFERROR(INDEX('[1]salary allocation'!$E$6:$J$22,MATCH($H15,'[1]salary allocation'!$D$6:$D$22,0),MATCH(X$3,'[1]salary allocation'!$E$3:$J$3,0)),0)</f>
        <v>0</v>
      </c>
      <c r="Y15" s="15">
        <f>-$K15*IFERROR(INDEX('[1]salary allocation'!$E$6:$J$22,MATCH($H15,'[1]salary allocation'!$D$6:$D$22,0),MATCH(Y$3,'[1]salary allocation'!$E$3:$J$3,0)),0)</f>
        <v>0</v>
      </c>
      <c r="Z15" s="15">
        <f>-$K15*IFERROR(INDEX('[1]salary allocation'!$E$6:$J$22,MATCH($H15,'[1]salary allocation'!$D$6:$D$22,0),MATCH(Z$3,'[1]salary allocation'!$E$3:$J$3,0)),0)</f>
        <v>0</v>
      </c>
      <c r="AA15" s="15">
        <f>-$K15*IFERROR(INDEX('[1]salary allocation'!$E$6:$J$22,MATCH($H15,'[1]salary allocation'!$D$6:$D$22,0),MATCH(AA$3,'[1]salary allocation'!$E$3:$J$3,0)),0)</f>
        <v>0</v>
      </c>
      <c r="AB15" s="15">
        <f>-$K15*IFERROR(INDEX('[1]salary allocation'!$E$6:$J$22,MATCH($H15,'[1]salary allocation'!$D$6:$D$22,0),MATCH(AB$3,'[1]salary allocation'!$E$3:$J$3,0)),0)</f>
        <v>0</v>
      </c>
      <c r="AC15" s="18">
        <f>-$K15*IFERROR(INDEX('[1]salary allocation'!$E$6:$J$22,MATCH($H15,'[1]salary allocation'!$D$6:$D$22,0),MATCH(AC$3,'[1]salary allocation'!$E$3:$J$3,0)),0)</f>
        <v>0</v>
      </c>
      <c r="AD15" s="17"/>
      <c r="AE15" s="16"/>
      <c r="AF15" s="15">
        <f>-$K15</f>
        <v>3495792</v>
      </c>
      <c r="AG15" s="15"/>
      <c r="AH15" s="2">
        <f>K15+SUM(O15:AC15)</f>
        <v>0</v>
      </c>
      <c r="AI15" s="2">
        <f>K15+SUM(AF15:AG15)</f>
        <v>0</v>
      </c>
    </row>
    <row r="16" spans="1:35" x14ac:dyDescent="0.2">
      <c r="A16" s="69" t="s">
        <v>61</v>
      </c>
      <c r="B16" s="70" t="s">
        <v>811</v>
      </c>
      <c r="C16" s="70">
        <v>0</v>
      </c>
      <c r="D16" s="70" t="str">
        <f>D15</f>
        <v>JV15</v>
      </c>
      <c r="E16" s="70" t="s">
        <v>795</v>
      </c>
      <c r="F16" s="70" t="s">
        <v>794</v>
      </c>
      <c r="G16" s="70" t="s">
        <v>835</v>
      </c>
      <c r="H16" s="70" t="s">
        <v>41</v>
      </c>
      <c r="I16" s="70" t="s">
        <v>853</v>
      </c>
      <c r="J16" s="70" t="s">
        <v>793</v>
      </c>
      <c r="K16" s="70">
        <v>-3889745</v>
      </c>
      <c r="L16" s="46">
        <v>12025</v>
      </c>
      <c r="M16" s="42" t="str">
        <f>LEFT(I16,(LEN(LEFT(I16,FIND(";",I16)))-8))</f>
        <v>VNMOET</v>
      </c>
      <c r="N16" s="42" t="s">
        <v>138</v>
      </c>
      <c r="O16" s="15">
        <f>-$K16*IFERROR(INDEX('[1]salary allocation'!$E$6:$J$22,MATCH($H16,'[1]salary allocation'!$D$6:$D$22,0),MATCH(O$3,'[1]salary allocation'!$E$3:$J$3,0)),0)</f>
        <v>0</v>
      </c>
      <c r="P16" s="15">
        <f>-$K16*IFERROR(INDEX('[1]salary allocation'!$E$6:$J$22,MATCH($H16,'[1]salary allocation'!$D$6:$D$22,0),MATCH(P$3,'[1]salary allocation'!$E$3:$J$3,0)),0)</f>
        <v>0</v>
      </c>
      <c r="Q16" s="15">
        <f>-$K16*IFERROR(INDEX('[1]salary allocation'!$E$6:$J$22,MATCH($H16,'[1]salary allocation'!$D$6:$D$22,0),MATCH(Q$3,'[1]salary allocation'!$E$3:$J$3,0)),0)</f>
        <v>0</v>
      </c>
      <c r="R16" s="15">
        <f>-$K16*IFERROR(INDEX('[1]salary allocation'!$E$6:$J$22,MATCH($H16,'[1]salary allocation'!$D$6:$D$22,0),MATCH(R$3,'[1]salary allocation'!$E$3:$J$3,0)),0)</f>
        <v>0</v>
      </c>
      <c r="S16" s="15">
        <f>-$K16*IFERROR(INDEX('[1]salary allocation'!$E$6:$J$22,MATCH($H16,'[1]salary allocation'!$D$6:$D$22,0),MATCH(S$3,'[1]salary allocation'!$E$3:$J$3,0)),0)</f>
        <v>0</v>
      </c>
      <c r="T16" s="15">
        <f>-$K16*IFERROR(INDEX('[1]salary allocation'!$E$6:$J$22,MATCH($H16,'[1]salary allocation'!$D$6:$D$22,0),MATCH(T$3,'[1]salary allocation'!$E$3:$J$3,0)),0)</f>
        <v>0</v>
      </c>
      <c r="U16" s="15">
        <f>-$K16*IFERROR(INDEX('[1]salary allocation'!$E$6:$J$22,MATCH($H16,'[1]salary allocation'!$D$6:$D$22,0),MATCH(U$3,'[1]salary allocation'!$E$3:$J$3,0)),0)</f>
        <v>0</v>
      </c>
      <c r="V16" s="15">
        <f>-$K16*IFERROR(INDEX('[1]salary allocation'!$E$6:$J$22,MATCH($H16,'[1]salary allocation'!$D$6:$D$22,0),MATCH(V$3,'[1]salary allocation'!$E$3:$J$3,0)),0)</f>
        <v>0</v>
      </c>
      <c r="W16" s="15">
        <f>-$K16*IFERROR(INDEX('[1]salary allocation'!$E$6:$J$22,MATCH($H16,'[1]salary allocation'!$D$6:$D$22,0),MATCH(W$3,'[1]salary allocation'!$E$3:$J$3,0)),0)</f>
        <v>3889745</v>
      </c>
      <c r="X16" s="15">
        <f>-$K16*IFERROR(INDEX('[1]salary allocation'!$E$6:$J$22,MATCH($H16,'[1]salary allocation'!$D$6:$D$22,0),MATCH(X$3,'[1]salary allocation'!$E$3:$J$3,0)),0)</f>
        <v>0</v>
      </c>
      <c r="Y16" s="15">
        <f>-$K16*IFERROR(INDEX('[1]salary allocation'!$E$6:$J$22,MATCH($H16,'[1]salary allocation'!$D$6:$D$22,0),MATCH(Y$3,'[1]salary allocation'!$E$3:$J$3,0)),0)</f>
        <v>0</v>
      </c>
      <c r="Z16" s="15">
        <f>-$K16*IFERROR(INDEX('[1]salary allocation'!$E$6:$J$22,MATCH($H16,'[1]salary allocation'!$D$6:$D$22,0),MATCH(Z$3,'[1]salary allocation'!$E$3:$J$3,0)),0)</f>
        <v>0</v>
      </c>
      <c r="AA16" s="15">
        <f>-$K16*IFERROR(INDEX('[1]salary allocation'!$E$6:$J$22,MATCH($H16,'[1]salary allocation'!$D$6:$D$22,0),MATCH(AA$3,'[1]salary allocation'!$E$3:$J$3,0)),0)</f>
        <v>0</v>
      </c>
      <c r="AB16" s="15">
        <f>-$K16*IFERROR(INDEX('[1]salary allocation'!$E$6:$J$22,MATCH($H16,'[1]salary allocation'!$D$6:$D$22,0),MATCH(AB$3,'[1]salary allocation'!$E$3:$J$3,0)),0)</f>
        <v>0</v>
      </c>
      <c r="AC16" s="18">
        <f>-$K16*IFERROR(INDEX('[1]salary allocation'!$E$6:$J$22,MATCH($H16,'[1]salary allocation'!$D$6:$D$22,0),MATCH(AC$3,'[1]salary allocation'!$E$3:$J$3,0)),0)</f>
        <v>0</v>
      </c>
      <c r="AD16" s="17"/>
      <c r="AE16" s="16"/>
      <c r="AF16" s="15">
        <f>-$K16</f>
        <v>3889745</v>
      </c>
      <c r="AG16" s="15"/>
      <c r="AH16" s="2">
        <f>K16+SUM(O16:AC16)</f>
        <v>0</v>
      </c>
      <c r="AI16" s="2">
        <f>K16+SUM(AF16:AG16)</f>
        <v>0</v>
      </c>
    </row>
    <row r="17" spans="1:35" x14ac:dyDescent="0.2">
      <c r="A17" s="69" t="s">
        <v>61</v>
      </c>
      <c r="B17" s="70" t="s">
        <v>811</v>
      </c>
      <c r="C17" s="70">
        <v>0</v>
      </c>
      <c r="D17" s="70" t="str">
        <f>D16</f>
        <v>JV15</v>
      </c>
      <c r="E17" s="70" t="s">
        <v>795</v>
      </c>
      <c r="F17" s="70" t="s">
        <v>794</v>
      </c>
      <c r="G17" s="70" t="s">
        <v>835</v>
      </c>
      <c r="H17" s="70" t="s">
        <v>39</v>
      </c>
      <c r="I17" s="70" t="s">
        <v>852</v>
      </c>
      <c r="J17" s="70" t="s">
        <v>793</v>
      </c>
      <c r="K17" s="70">
        <v>-4375792</v>
      </c>
      <c r="L17" s="46">
        <v>12025</v>
      </c>
      <c r="M17" s="42" t="str">
        <f>LEFT(I17,(LEN(LEFT(I17,FIND(";",I17)))-8))</f>
        <v>VNMOET</v>
      </c>
      <c r="N17" s="42" t="s">
        <v>138</v>
      </c>
      <c r="O17" s="15">
        <f>-$K17*IFERROR(INDEX('[1]salary allocation'!$E$6:$J$22,MATCH($H17,'[1]salary allocation'!$D$6:$D$22,0),MATCH(O$3,'[1]salary allocation'!$E$3:$J$3,0)),0)</f>
        <v>0</v>
      </c>
      <c r="P17" s="15">
        <f>-$K17*IFERROR(INDEX('[1]salary allocation'!$E$6:$J$22,MATCH($H17,'[1]salary allocation'!$D$6:$D$22,0),MATCH(P$3,'[1]salary allocation'!$E$3:$J$3,0)),0)</f>
        <v>0</v>
      </c>
      <c r="Q17" s="15">
        <f>-$K17*IFERROR(INDEX('[1]salary allocation'!$E$6:$J$22,MATCH($H17,'[1]salary allocation'!$D$6:$D$22,0),MATCH(Q$3,'[1]salary allocation'!$E$3:$J$3,0)),0)</f>
        <v>0</v>
      </c>
      <c r="R17" s="15">
        <f>-$K17*IFERROR(INDEX('[1]salary allocation'!$E$6:$J$22,MATCH($H17,'[1]salary allocation'!$D$6:$D$22,0),MATCH(R$3,'[1]salary allocation'!$E$3:$J$3,0)),0)</f>
        <v>0</v>
      </c>
      <c r="S17" s="15">
        <f>-$K17*IFERROR(INDEX('[1]salary allocation'!$E$6:$J$22,MATCH($H17,'[1]salary allocation'!$D$6:$D$22,0),MATCH(S$3,'[1]salary allocation'!$E$3:$J$3,0)),0)</f>
        <v>0</v>
      </c>
      <c r="T17" s="15">
        <f>-$K17*IFERROR(INDEX('[1]salary allocation'!$E$6:$J$22,MATCH($H17,'[1]salary allocation'!$D$6:$D$22,0),MATCH(T$3,'[1]salary allocation'!$E$3:$J$3,0)),0)</f>
        <v>0</v>
      </c>
      <c r="U17" s="15">
        <f>-$K17*IFERROR(INDEX('[1]salary allocation'!$E$6:$J$22,MATCH($H17,'[1]salary allocation'!$D$6:$D$22,0),MATCH(U$3,'[1]salary allocation'!$E$3:$J$3,0)),0)</f>
        <v>0</v>
      </c>
      <c r="V17" s="15">
        <f>-$K17*IFERROR(INDEX('[1]salary allocation'!$E$6:$J$22,MATCH($H17,'[1]salary allocation'!$D$6:$D$22,0),MATCH(V$3,'[1]salary allocation'!$E$3:$J$3,0)),0)</f>
        <v>0</v>
      </c>
      <c r="W17" s="15">
        <f>-$K17*IFERROR(INDEX('[1]salary allocation'!$E$6:$J$22,MATCH($H17,'[1]salary allocation'!$D$6:$D$22,0),MATCH(W$3,'[1]salary allocation'!$E$3:$J$3,0)),0)</f>
        <v>4375792</v>
      </c>
      <c r="X17" s="15">
        <f>-$K17*IFERROR(INDEX('[1]salary allocation'!$E$6:$J$22,MATCH($H17,'[1]salary allocation'!$D$6:$D$22,0),MATCH(X$3,'[1]salary allocation'!$E$3:$J$3,0)),0)</f>
        <v>0</v>
      </c>
      <c r="Y17" s="15">
        <f>-$K17*IFERROR(INDEX('[1]salary allocation'!$E$6:$J$22,MATCH($H17,'[1]salary allocation'!$D$6:$D$22,0),MATCH(Y$3,'[1]salary allocation'!$E$3:$J$3,0)),0)</f>
        <v>0</v>
      </c>
      <c r="Z17" s="15">
        <f>-$K17*IFERROR(INDEX('[1]salary allocation'!$E$6:$J$22,MATCH($H17,'[1]salary allocation'!$D$6:$D$22,0),MATCH(Z$3,'[1]salary allocation'!$E$3:$J$3,0)),0)</f>
        <v>0</v>
      </c>
      <c r="AA17" s="15">
        <f>-$K17*IFERROR(INDEX('[1]salary allocation'!$E$6:$J$22,MATCH($H17,'[1]salary allocation'!$D$6:$D$22,0),MATCH(AA$3,'[1]salary allocation'!$E$3:$J$3,0)),0)</f>
        <v>0</v>
      </c>
      <c r="AB17" s="15">
        <f>-$K17*IFERROR(INDEX('[1]salary allocation'!$E$6:$J$22,MATCH($H17,'[1]salary allocation'!$D$6:$D$22,0),MATCH(AB$3,'[1]salary allocation'!$E$3:$J$3,0)),0)</f>
        <v>0</v>
      </c>
      <c r="AC17" s="18">
        <f>-$K17*IFERROR(INDEX('[1]salary allocation'!$E$6:$J$22,MATCH($H17,'[1]salary allocation'!$D$6:$D$22,0),MATCH(AC$3,'[1]salary allocation'!$E$3:$J$3,0)),0)</f>
        <v>0</v>
      </c>
      <c r="AD17" s="17"/>
      <c r="AE17" s="16"/>
      <c r="AF17" s="15">
        <f>-$K17</f>
        <v>4375792</v>
      </c>
      <c r="AG17" s="15"/>
      <c r="AH17" s="2">
        <f>K17+SUM(O17:AC17)</f>
        <v>0</v>
      </c>
      <c r="AI17" s="2">
        <f>K17+SUM(AF17:AG17)</f>
        <v>0</v>
      </c>
    </row>
    <row r="18" spans="1:35" x14ac:dyDescent="0.2">
      <c r="A18" s="69" t="s">
        <v>61</v>
      </c>
      <c r="B18" s="70" t="s">
        <v>811</v>
      </c>
      <c r="C18" s="70">
        <v>0</v>
      </c>
      <c r="D18" s="70" t="str">
        <f>D17</f>
        <v>JV15</v>
      </c>
      <c r="E18" s="70" t="s">
        <v>795</v>
      </c>
      <c r="F18" s="70" t="s">
        <v>794</v>
      </c>
      <c r="G18" s="70" t="s">
        <v>835</v>
      </c>
      <c r="H18" s="70" t="s">
        <v>37</v>
      </c>
      <c r="I18" s="70" t="s">
        <v>851</v>
      </c>
      <c r="J18" s="70" t="s">
        <v>793</v>
      </c>
      <c r="K18" s="70">
        <v>-3862404</v>
      </c>
      <c r="L18" s="46">
        <v>12025</v>
      </c>
      <c r="M18" s="42" t="str">
        <f>LEFT(I18,(LEN(LEFT(I18,FIND(";",I18)))-8))</f>
        <v>VNOther</v>
      </c>
      <c r="N18" s="42" t="s">
        <v>138</v>
      </c>
      <c r="O18" s="15">
        <f>-$K18*IFERROR(INDEX('[1]salary allocation'!$E$6:$J$22,MATCH($H18,'[1]salary allocation'!$D$6:$D$22,0),MATCH(O$3,'[1]salary allocation'!$E$3:$J$3,0)),0)</f>
        <v>0</v>
      </c>
      <c r="P18" s="15">
        <f>-$K18*IFERROR(INDEX('[1]salary allocation'!$E$6:$J$22,MATCH($H18,'[1]salary allocation'!$D$6:$D$22,0),MATCH(P$3,'[1]salary allocation'!$E$3:$J$3,0)),0)</f>
        <v>579360.6</v>
      </c>
      <c r="Q18" s="15">
        <f>-$K18*IFERROR(INDEX('[1]salary allocation'!$E$6:$J$22,MATCH($H18,'[1]salary allocation'!$D$6:$D$22,0),MATCH(Q$3,'[1]salary allocation'!$E$3:$J$3,0)),0)</f>
        <v>0</v>
      </c>
      <c r="R18" s="15">
        <f>-$K18*IFERROR(INDEX('[1]salary allocation'!$E$6:$J$22,MATCH($H18,'[1]salary allocation'!$D$6:$D$22,0),MATCH(R$3,'[1]salary allocation'!$E$3:$J$3,0)),0)</f>
        <v>0</v>
      </c>
      <c r="S18" s="15">
        <f>-$K18*IFERROR(INDEX('[1]salary allocation'!$E$6:$J$22,MATCH($H18,'[1]salary allocation'!$D$6:$D$22,0),MATCH(S$3,'[1]salary allocation'!$E$3:$J$3,0)),0)</f>
        <v>656608.67999999993</v>
      </c>
      <c r="T18" s="15">
        <f>-$K18*IFERROR(INDEX('[1]salary allocation'!$E$6:$J$22,MATCH($H18,'[1]salary allocation'!$D$6:$D$22,0),MATCH(T$3,'[1]salary allocation'!$E$3:$J$3,0)),0)</f>
        <v>656608.67999999993</v>
      </c>
      <c r="U18" s="15">
        <f>-$K18*IFERROR(INDEX('[1]salary allocation'!$E$6:$J$22,MATCH($H18,'[1]salary allocation'!$D$6:$D$22,0),MATCH(U$3,'[1]salary allocation'!$E$3:$J$3,0)),0)</f>
        <v>656608.67999999993</v>
      </c>
      <c r="V18" s="15">
        <f>-$K18*IFERROR(INDEX('[1]salary allocation'!$E$6:$J$22,MATCH($H18,'[1]salary allocation'!$D$6:$D$22,0),MATCH(V$3,'[1]salary allocation'!$E$3:$J$3,0)),0)</f>
        <v>0</v>
      </c>
      <c r="W18" s="15">
        <f>-$K18*IFERROR(INDEX('[1]salary allocation'!$E$6:$J$22,MATCH($H18,'[1]salary allocation'!$D$6:$D$22,0),MATCH(W$3,'[1]salary allocation'!$E$3:$J$3,0)),0)</f>
        <v>1313217.3599999999</v>
      </c>
      <c r="X18" s="15">
        <f>-$K18*IFERROR(INDEX('[1]salary allocation'!$E$6:$J$22,MATCH($H18,'[1]salary allocation'!$D$6:$D$22,0),MATCH(X$3,'[1]salary allocation'!$E$3:$J$3,0)),0)</f>
        <v>0</v>
      </c>
      <c r="Y18" s="15">
        <f>-$K18*IFERROR(INDEX('[1]salary allocation'!$E$6:$J$22,MATCH($H18,'[1]salary allocation'!$D$6:$D$22,0),MATCH(Y$3,'[1]salary allocation'!$E$3:$J$3,0)),0)</f>
        <v>0</v>
      </c>
      <c r="Z18" s="15">
        <f>-$K18*IFERROR(INDEX('[1]salary allocation'!$E$6:$J$22,MATCH($H18,'[1]salary allocation'!$D$6:$D$22,0),MATCH(Z$3,'[1]salary allocation'!$E$3:$J$3,0)),0)</f>
        <v>0</v>
      </c>
      <c r="AA18" s="15">
        <f>-$K18*IFERROR(INDEX('[1]salary allocation'!$E$6:$J$22,MATCH($H18,'[1]salary allocation'!$D$6:$D$22,0),MATCH(AA$3,'[1]salary allocation'!$E$3:$J$3,0)),0)</f>
        <v>0</v>
      </c>
      <c r="AB18" s="15">
        <f>-$K18*IFERROR(INDEX('[1]salary allocation'!$E$6:$J$22,MATCH($H18,'[1]salary allocation'!$D$6:$D$22,0),MATCH(AB$3,'[1]salary allocation'!$E$3:$J$3,0)),0)</f>
        <v>0</v>
      </c>
      <c r="AC18" s="18">
        <f>-$K18*IFERROR(INDEX('[1]salary allocation'!$E$6:$J$22,MATCH($H18,'[1]salary allocation'!$D$6:$D$22,0),MATCH(AC$3,'[1]salary allocation'!$E$3:$J$3,0)),0)</f>
        <v>0</v>
      </c>
      <c r="AD18" s="17"/>
      <c r="AE18" s="16"/>
      <c r="AF18" s="15">
        <f>-$K18</f>
        <v>3862404</v>
      </c>
      <c r="AG18" s="15"/>
      <c r="AH18" s="2">
        <f>K18+SUM(O18:AC18)</f>
        <v>0</v>
      </c>
      <c r="AI18" s="2">
        <f>K18+SUM(AF18:AG18)</f>
        <v>0</v>
      </c>
    </row>
    <row r="19" spans="1:35" x14ac:dyDescent="0.2">
      <c r="A19" s="69" t="s">
        <v>61</v>
      </c>
      <c r="B19" s="70" t="s">
        <v>811</v>
      </c>
      <c r="C19" s="70">
        <v>0</v>
      </c>
      <c r="D19" s="70" t="str">
        <f>D18</f>
        <v>JV15</v>
      </c>
      <c r="E19" s="70" t="s">
        <v>795</v>
      </c>
      <c r="F19" s="70" t="s">
        <v>794</v>
      </c>
      <c r="G19" s="70" t="s">
        <v>835</v>
      </c>
      <c r="H19" s="70" t="s">
        <v>35</v>
      </c>
      <c r="I19" s="70" t="s">
        <v>850</v>
      </c>
      <c r="J19" s="70" t="s">
        <v>793</v>
      </c>
      <c r="K19" s="70">
        <v>-8017318</v>
      </c>
      <c r="L19" s="46">
        <v>12025</v>
      </c>
      <c r="M19" s="42" t="str">
        <f>LEFT(I19,(LEN(LEFT(I19,FIND(";",I19)))-8))</f>
        <v>VNOther</v>
      </c>
      <c r="N19" s="42" t="s">
        <v>138</v>
      </c>
      <c r="O19" s="15">
        <f>-$K19*IFERROR(INDEX('[1]salary allocation'!$E$6:$J$22,MATCH($H19,'[1]salary allocation'!$D$6:$D$22,0),MATCH(O$3,'[1]salary allocation'!$E$3:$J$3,0)),0)</f>
        <v>0</v>
      </c>
      <c r="P19" s="15">
        <f>-$K19*IFERROR(INDEX('[1]salary allocation'!$E$6:$J$22,MATCH($H19,'[1]salary allocation'!$D$6:$D$22,0),MATCH(P$3,'[1]salary allocation'!$E$3:$J$3,0)),0)</f>
        <v>1202597.7</v>
      </c>
      <c r="Q19" s="15">
        <f>-$K19*IFERROR(INDEX('[1]salary allocation'!$E$6:$J$22,MATCH($H19,'[1]salary allocation'!$D$6:$D$22,0),MATCH(Q$3,'[1]salary allocation'!$E$3:$J$3,0)),0)</f>
        <v>0</v>
      </c>
      <c r="R19" s="15">
        <f>-$K19*IFERROR(INDEX('[1]salary allocation'!$E$6:$J$22,MATCH($H19,'[1]salary allocation'!$D$6:$D$22,0),MATCH(R$3,'[1]salary allocation'!$E$3:$J$3,0)),0)</f>
        <v>0</v>
      </c>
      <c r="S19" s="15">
        <f>-$K19*IFERROR(INDEX('[1]salary allocation'!$E$6:$J$22,MATCH($H19,'[1]salary allocation'!$D$6:$D$22,0),MATCH(S$3,'[1]salary allocation'!$E$3:$J$3,0)),0)</f>
        <v>1362944.0599999998</v>
      </c>
      <c r="T19" s="15">
        <f>-$K19*IFERROR(INDEX('[1]salary allocation'!$E$6:$J$22,MATCH($H19,'[1]salary allocation'!$D$6:$D$22,0),MATCH(T$3,'[1]salary allocation'!$E$3:$J$3,0)),0)</f>
        <v>1362944.0599999998</v>
      </c>
      <c r="U19" s="15">
        <f>-$K19*IFERROR(INDEX('[1]salary allocation'!$E$6:$J$22,MATCH($H19,'[1]salary allocation'!$D$6:$D$22,0),MATCH(U$3,'[1]salary allocation'!$E$3:$J$3,0)),0)</f>
        <v>1362944.0599999998</v>
      </c>
      <c r="V19" s="15">
        <f>-$K19*IFERROR(INDEX('[1]salary allocation'!$E$6:$J$22,MATCH($H19,'[1]salary allocation'!$D$6:$D$22,0),MATCH(V$3,'[1]salary allocation'!$E$3:$J$3,0)),0)</f>
        <v>0</v>
      </c>
      <c r="W19" s="15">
        <f>-$K19*IFERROR(INDEX('[1]salary allocation'!$E$6:$J$22,MATCH($H19,'[1]salary allocation'!$D$6:$D$22,0),MATCH(W$3,'[1]salary allocation'!$E$3:$J$3,0)),0)</f>
        <v>2725888.1199999996</v>
      </c>
      <c r="X19" s="15">
        <f>-$K19*IFERROR(INDEX('[1]salary allocation'!$E$6:$J$22,MATCH($H19,'[1]salary allocation'!$D$6:$D$22,0),MATCH(X$3,'[1]salary allocation'!$E$3:$J$3,0)),0)</f>
        <v>0</v>
      </c>
      <c r="Y19" s="15">
        <f>-$K19*IFERROR(INDEX('[1]salary allocation'!$E$6:$J$22,MATCH($H19,'[1]salary allocation'!$D$6:$D$22,0),MATCH(Y$3,'[1]salary allocation'!$E$3:$J$3,0)),0)</f>
        <v>0</v>
      </c>
      <c r="Z19" s="15">
        <f>-$K19*IFERROR(INDEX('[1]salary allocation'!$E$6:$J$22,MATCH($H19,'[1]salary allocation'!$D$6:$D$22,0),MATCH(Z$3,'[1]salary allocation'!$E$3:$J$3,0)),0)</f>
        <v>0</v>
      </c>
      <c r="AA19" s="15">
        <f>-$K19*IFERROR(INDEX('[1]salary allocation'!$E$6:$J$22,MATCH($H19,'[1]salary allocation'!$D$6:$D$22,0),MATCH(AA$3,'[1]salary allocation'!$E$3:$J$3,0)),0)</f>
        <v>0</v>
      </c>
      <c r="AB19" s="15">
        <f>-$K19*IFERROR(INDEX('[1]salary allocation'!$E$6:$J$22,MATCH($H19,'[1]salary allocation'!$D$6:$D$22,0),MATCH(AB$3,'[1]salary allocation'!$E$3:$J$3,0)),0)</f>
        <v>0</v>
      </c>
      <c r="AC19" s="18">
        <f>-$K19*IFERROR(INDEX('[1]salary allocation'!$E$6:$J$22,MATCH($H19,'[1]salary allocation'!$D$6:$D$22,0),MATCH(AC$3,'[1]salary allocation'!$E$3:$J$3,0)),0)</f>
        <v>0</v>
      </c>
      <c r="AD19" s="17"/>
      <c r="AE19" s="16"/>
      <c r="AF19" s="15">
        <f>-$K19</f>
        <v>8017318</v>
      </c>
      <c r="AG19" s="15"/>
      <c r="AH19" s="2">
        <f>K19+SUM(O19:AC19)</f>
        <v>0</v>
      </c>
      <c r="AI19" s="2">
        <f>K19+SUM(AF19:AG19)</f>
        <v>0</v>
      </c>
    </row>
    <row r="20" spans="1:35" x14ac:dyDescent="0.2">
      <c r="A20" s="69" t="s">
        <v>61</v>
      </c>
      <c r="B20" s="70" t="s">
        <v>811</v>
      </c>
      <c r="C20" s="70">
        <v>0</v>
      </c>
      <c r="D20" s="70" t="str">
        <f>D19</f>
        <v>JV15</v>
      </c>
      <c r="E20" s="70" t="s">
        <v>795</v>
      </c>
      <c r="F20" s="70" t="s">
        <v>794</v>
      </c>
      <c r="G20" s="70" t="s">
        <v>835</v>
      </c>
      <c r="H20" s="70" t="s">
        <v>121</v>
      </c>
      <c r="I20" s="70" t="s">
        <v>849</v>
      </c>
      <c r="J20" s="70" t="s">
        <v>793</v>
      </c>
      <c r="K20" s="70">
        <v>-1729500</v>
      </c>
      <c r="L20" s="46">
        <v>12025</v>
      </c>
      <c r="M20" s="42" t="str">
        <f>LEFT(I20,(LEN(LEFT(I20,FIND(";",I20)))-8))</f>
        <v>VNLA</v>
      </c>
      <c r="N20" s="42" t="s">
        <v>138</v>
      </c>
      <c r="O20" s="2">
        <f>IF($M20=O$3,-$K20,0)</f>
        <v>0</v>
      </c>
      <c r="P20" s="2">
        <f>IF($M20=P$3,-$K20,0)</f>
        <v>0</v>
      </c>
      <c r="Q20" s="2">
        <f>IF($M20=Q$3,-$K20,0)</f>
        <v>0</v>
      </c>
      <c r="R20" s="2">
        <f>IF($M20=R$3,-$K20,0)</f>
        <v>0</v>
      </c>
      <c r="S20" s="2">
        <f>IF($M20=S$3,-$K20,0)</f>
        <v>0</v>
      </c>
      <c r="T20" s="2">
        <f>IF($M20=T$3,-$K20,0)</f>
        <v>0</v>
      </c>
      <c r="U20" s="2">
        <f>IF($M20=U$3,-$K20,0)</f>
        <v>0</v>
      </c>
      <c r="V20" s="2">
        <f>IF($M20=V$3,-$K20,0)</f>
        <v>0</v>
      </c>
      <c r="W20" s="2">
        <f>IF($M20=W$3,-$K20,0)</f>
        <v>0</v>
      </c>
      <c r="X20" s="2">
        <f>IF($M20=X$3,-$K20,0)</f>
        <v>1729500</v>
      </c>
      <c r="Y20" s="2">
        <f>IF($M20=Y$3,-$K20,0)</f>
        <v>0</v>
      </c>
      <c r="Z20" s="2">
        <f>IF($M20=Z$3,-$K20,0)</f>
        <v>0</v>
      </c>
      <c r="AA20" s="2">
        <f>IF($M20=AA$3,-$K20,0)</f>
        <v>0</v>
      </c>
      <c r="AB20" s="2">
        <f>IF($M20=AB$3,-$K20,0)</f>
        <v>0</v>
      </c>
      <c r="AC20" s="21">
        <f>IF($M20=AC$3,-$K20,0)</f>
        <v>0</v>
      </c>
      <c r="AD20" s="20"/>
      <c r="AE20" s="19"/>
      <c r="AF20" s="2"/>
      <c r="AG20" s="2">
        <f>-$K20</f>
        <v>1729500</v>
      </c>
      <c r="AH20" s="2">
        <f>K20+SUM(O20:AC20)</f>
        <v>0</v>
      </c>
      <c r="AI20" s="2">
        <f>K20+SUM(AF20:AG20)</f>
        <v>0</v>
      </c>
    </row>
    <row r="21" spans="1:35" x14ac:dyDescent="0.2">
      <c r="A21" s="69" t="s">
        <v>61</v>
      </c>
      <c r="B21" s="70" t="s">
        <v>811</v>
      </c>
      <c r="C21" s="70">
        <v>0</v>
      </c>
      <c r="D21" s="70" t="str">
        <f>D20</f>
        <v>JV15</v>
      </c>
      <c r="E21" s="70" t="s">
        <v>795</v>
      </c>
      <c r="F21" s="70" t="s">
        <v>794</v>
      </c>
      <c r="G21" s="70" t="s">
        <v>835</v>
      </c>
      <c r="H21" s="70" t="s">
        <v>33</v>
      </c>
      <c r="I21" s="70" t="s">
        <v>848</v>
      </c>
      <c r="J21" s="70" t="s">
        <v>793</v>
      </c>
      <c r="K21" s="70">
        <v>-1255223</v>
      </c>
      <c r="L21" s="46">
        <v>12025</v>
      </c>
      <c r="M21" s="42" t="str">
        <f>LEFT(I21,(LEN(LEFT(I21,FIND(";",I21)))-8))</f>
        <v>VNDN</v>
      </c>
      <c r="N21" s="42" t="s">
        <v>138</v>
      </c>
      <c r="O21" s="2">
        <f>IF($M21=O$3,-$K21,0)</f>
        <v>0</v>
      </c>
      <c r="P21" s="2">
        <f>IF($M21=P$3,-$K21,0)</f>
        <v>0</v>
      </c>
      <c r="Q21" s="2">
        <f>IF($M21=Q$3,-$K21,0)</f>
        <v>0</v>
      </c>
      <c r="R21" s="2">
        <f>IF($M21=R$3,-$K21,0)</f>
        <v>0</v>
      </c>
      <c r="S21" s="2">
        <f>IF($M21=S$3,-$K21,0)</f>
        <v>1255223</v>
      </c>
      <c r="T21" s="2">
        <f>IF($M21=T$3,-$K21,0)</f>
        <v>0</v>
      </c>
      <c r="U21" s="2">
        <f>IF($M21=U$3,-$K21,0)</f>
        <v>0</v>
      </c>
      <c r="V21" s="2">
        <f>IF($M21=V$3,-$K21,0)</f>
        <v>0</v>
      </c>
      <c r="W21" s="2">
        <f>IF($M21=W$3,-$K21,0)</f>
        <v>0</v>
      </c>
      <c r="X21" s="2">
        <f>IF($M21=X$3,-$K21,0)</f>
        <v>0</v>
      </c>
      <c r="Y21" s="2">
        <f>IF($M21=Y$3,-$K21,0)</f>
        <v>0</v>
      </c>
      <c r="Z21" s="2">
        <f>IF($M21=Z$3,-$K21,0)</f>
        <v>0</v>
      </c>
      <c r="AA21" s="2">
        <f>IF($M21=AA$3,-$K21,0)</f>
        <v>0</v>
      </c>
      <c r="AB21" s="2">
        <f>IF($M21=AB$3,-$K21,0)</f>
        <v>0</v>
      </c>
      <c r="AC21" s="21">
        <f>IF($M21=AC$3,-$K21,0)</f>
        <v>0</v>
      </c>
      <c r="AD21" s="20"/>
      <c r="AE21" s="19"/>
      <c r="AF21" s="2"/>
      <c r="AG21" s="2">
        <f>-$K21</f>
        <v>1255223</v>
      </c>
      <c r="AH21" s="2">
        <f>K21+SUM(O21:AC21)</f>
        <v>0</v>
      </c>
      <c r="AI21" s="2">
        <f>K21+SUM(AF21:AG21)</f>
        <v>0</v>
      </c>
    </row>
    <row r="22" spans="1:35" x14ac:dyDescent="0.2">
      <c r="A22" s="69" t="s">
        <v>61</v>
      </c>
      <c r="B22" s="70" t="s">
        <v>811</v>
      </c>
      <c r="C22" s="70">
        <v>0</v>
      </c>
      <c r="D22" s="70" t="str">
        <f>D21</f>
        <v>JV15</v>
      </c>
      <c r="E22" s="70" t="s">
        <v>795</v>
      </c>
      <c r="F22" s="70" t="s">
        <v>794</v>
      </c>
      <c r="G22" s="70" t="s">
        <v>835</v>
      </c>
      <c r="H22" s="70" t="s">
        <v>31</v>
      </c>
      <c r="I22" s="70" t="s">
        <v>847</v>
      </c>
      <c r="J22" s="70" t="s">
        <v>793</v>
      </c>
      <c r="K22" s="70">
        <v>-1015633</v>
      </c>
      <c r="L22" s="46">
        <v>12025</v>
      </c>
      <c r="M22" s="42" t="str">
        <f>LEFT(I22,(LEN(LEFT(I22,FIND(";",I22)))-8))</f>
        <v>VNDN</v>
      </c>
      <c r="N22" s="42" t="s">
        <v>138</v>
      </c>
      <c r="O22" s="2">
        <f>IF($M22=O$3,-$K22,0)</f>
        <v>0</v>
      </c>
      <c r="P22" s="2">
        <f>IF($M22=P$3,-$K22,0)</f>
        <v>0</v>
      </c>
      <c r="Q22" s="2">
        <f>IF($M22=Q$3,-$K22,0)</f>
        <v>0</v>
      </c>
      <c r="R22" s="2">
        <f>IF($M22=R$3,-$K22,0)</f>
        <v>0</v>
      </c>
      <c r="S22" s="2">
        <f>IF($M22=S$3,-$K22,0)</f>
        <v>1015633</v>
      </c>
      <c r="T22" s="2">
        <f>IF($M22=T$3,-$K22,0)</f>
        <v>0</v>
      </c>
      <c r="U22" s="2">
        <f>IF($M22=U$3,-$K22,0)</f>
        <v>0</v>
      </c>
      <c r="V22" s="2">
        <f>IF($M22=V$3,-$K22,0)</f>
        <v>0</v>
      </c>
      <c r="W22" s="2">
        <f>IF($M22=W$3,-$K22,0)</f>
        <v>0</v>
      </c>
      <c r="X22" s="2">
        <f>IF($M22=X$3,-$K22,0)</f>
        <v>0</v>
      </c>
      <c r="Y22" s="2">
        <f>IF($M22=Y$3,-$K22,0)</f>
        <v>0</v>
      </c>
      <c r="Z22" s="2">
        <f>IF($M22=Z$3,-$K22,0)</f>
        <v>0</v>
      </c>
      <c r="AA22" s="2">
        <f>IF($M22=AA$3,-$K22,0)</f>
        <v>0</v>
      </c>
      <c r="AB22" s="2">
        <f>IF($M22=AB$3,-$K22,0)</f>
        <v>0</v>
      </c>
      <c r="AC22" s="21">
        <f>IF($M22=AC$3,-$K22,0)</f>
        <v>0</v>
      </c>
      <c r="AD22" s="20"/>
      <c r="AE22" s="19"/>
      <c r="AF22" s="2"/>
      <c r="AG22" s="2">
        <f>-$K22</f>
        <v>1015633</v>
      </c>
      <c r="AH22" s="2">
        <f>K22+SUM(O22:AC22)</f>
        <v>0</v>
      </c>
      <c r="AI22" s="2">
        <f>K22+SUM(AF22:AG22)</f>
        <v>0</v>
      </c>
    </row>
    <row r="23" spans="1:35" x14ac:dyDescent="0.2">
      <c r="A23" s="69" t="s">
        <v>61</v>
      </c>
      <c r="B23" s="70" t="s">
        <v>811</v>
      </c>
      <c r="C23" s="70">
        <v>0</v>
      </c>
      <c r="D23" s="70" t="str">
        <f>D22</f>
        <v>JV15</v>
      </c>
      <c r="E23" s="70" t="s">
        <v>795</v>
      </c>
      <c r="F23" s="70" t="s">
        <v>794</v>
      </c>
      <c r="G23" s="70" t="s">
        <v>835</v>
      </c>
      <c r="H23" s="70" t="s">
        <v>29</v>
      </c>
      <c r="I23" s="70" t="s">
        <v>846</v>
      </c>
      <c r="J23" s="70" t="s">
        <v>793</v>
      </c>
      <c r="K23" s="70">
        <v>-2094200</v>
      </c>
      <c r="L23" s="46">
        <v>12025</v>
      </c>
      <c r="M23" s="42" t="str">
        <f>LEFT(I23,(LEN(LEFT(I23,FIND(";",I23)))-8))</f>
        <v>VNDN</v>
      </c>
      <c r="N23" s="42" t="s">
        <v>138</v>
      </c>
      <c r="O23" s="2">
        <f>IF($M23=O$3,-$K23,0)</f>
        <v>0</v>
      </c>
      <c r="P23" s="2">
        <f>IF($M23=P$3,-$K23,0)</f>
        <v>0</v>
      </c>
      <c r="Q23" s="2">
        <f>IF($M23=Q$3,-$K23,0)</f>
        <v>0</v>
      </c>
      <c r="R23" s="2">
        <f>IF($M23=R$3,-$K23,0)</f>
        <v>0</v>
      </c>
      <c r="S23" s="2">
        <f>IF($M23=S$3,-$K23,0)</f>
        <v>2094200</v>
      </c>
      <c r="T23" s="2">
        <f>IF($M23=T$3,-$K23,0)</f>
        <v>0</v>
      </c>
      <c r="U23" s="2">
        <f>IF($M23=U$3,-$K23,0)</f>
        <v>0</v>
      </c>
      <c r="V23" s="2">
        <f>IF($M23=V$3,-$K23,0)</f>
        <v>0</v>
      </c>
      <c r="W23" s="2">
        <f>IF($M23=W$3,-$K23,0)</f>
        <v>0</v>
      </c>
      <c r="X23" s="2">
        <f>IF($M23=X$3,-$K23,0)</f>
        <v>0</v>
      </c>
      <c r="Y23" s="2">
        <f>IF($M23=Y$3,-$K23,0)</f>
        <v>0</v>
      </c>
      <c r="Z23" s="2">
        <f>IF($M23=Z$3,-$K23,0)</f>
        <v>0</v>
      </c>
      <c r="AA23" s="2">
        <f>IF($M23=AA$3,-$K23,0)</f>
        <v>0</v>
      </c>
      <c r="AB23" s="2">
        <f>IF($M23=AB$3,-$K23,0)</f>
        <v>0</v>
      </c>
      <c r="AC23" s="21">
        <f>IF($M23=AC$3,-$K23,0)</f>
        <v>0</v>
      </c>
      <c r="AD23" s="20"/>
      <c r="AE23" s="19"/>
      <c r="AF23" s="2"/>
      <c r="AG23" s="2">
        <f>-$K23</f>
        <v>2094200</v>
      </c>
      <c r="AH23" s="2">
        <f>K23+SUM(O23:AC23)</f>
        <v>0</v>
      </c>
      <c r="AI23" s="2">
        <f>K23+SUM(AF23:AG23)</f>
        <v>0</v>
      </c>
    </row>
    <row r="24" spans="1:35" x14ac:dyDescent="0.2">
      <c r="A24" s="69" t="s">
        <v>61</v>
      </c>
      <c r="B24" s="70" t="s">
        <v>811</v>
      </c>
      <c r="C24" s="70">
        <v>0</v>
      </c>
      <c r="D24" s="70" t="str">
        <f>D23</f>
        <v>JV15</v>
      </c>
      <c r="E24" s="70" t="s">
        <v>795</v>
      </c>
      <c r="F24" s="70" t="s">
        <v>794</v>
      </c>
      <c r="G24" s="70" t="s">
        <v>835</v>
      </c>
      <c r="H24" s="70" t="s">
        <v>27</v>
      </c>
      <c r="I24" s="70" t="s">
        <v>845</v>
      </c>
      <c r="J24" s="70" t="s">
        <v>793</v>
      </c>
      <c r="K24" s="70">
        <v>-201625</v>
      </c>
      <c r="L24" s="46">
        <v>12025</v>
      </c>
      <c r="M24" s="42" t="str">
        <f>LEFT(I24,(LEN(LEFT(I24,FIND(";",I24)))-8))</f>
        <v>VNDN</v>
      </c>
      <c r="N24" s="42" t="s">
        <v>138</v>
      </c>
      <c r="O24" s="2">
        <f>IF($M24=O$3,-$K24,0)</f>
        <v>0</v>
      </c>
      <c r="P24" s="2">
        <f>IF($M24=P$3,-$K24,0)</f>
        <v>0</v>
      </c>
      <c r="Q24" s="2">
        <f>IF($M24=Q$3,-$K24,0)</f>
        <v>0</v>
      </c>
      <c r="R24" s="2">
        <f>IF($M24=R$3,-$K24,0)</f>
        <v>0</v>
      </c>
      <c r="S24" s="2">
        <f>IF($M24=S$3,-$K24,0)</f>
        <v>201625</v>
      </c>
      <c r="T24" s="2">
        <f>IF($M24=T$3,-$K24,0)</f>
        <v>0</v>
      </c>
      <c r="U24" s="2">
        <f>IF($M24=U$3,-$K24,0)</f>
        <v>0</v>
      </c>
      <c r="V24" s="2">
        <f>IF($M24=V$3,-$K24,0)</f>
        <v>0</v>
      </c>
      <c r="W24" s="2">
        <f>IF($M24=W$3,-$K24,0)</f>
        <v>0</v>
      </c>
      <c r="X24" s="2">
        <f>IF($M24=X$3,-$K24,0)</f>
        <v>0</v>
      </c>
      <c r="Y24" s="2">
        <f>IF($M24=Y$3,-$K24,0)</f>
        <v>0</v>
      </c>
      <c r="Z24" s="2">
        <f>IF($M24=Z$3,-$K24,0)</f>
        <v>0</v>
      </c>
      <c r="AA24" s="2">
        <f>IF($M24=AA$3,-$K24,0)</f>
        <v>0</v>
      </c>
      <c r="AB24" s="2">
        <f>IF($M24=AB$3,-$K24,0)</f>
        <v>0</v>
      </c>
      <c r="AC24" s="21">
        <f>IF($M24=AC$3,-$K24,0)</f>
        <v>0</v>
      </c>
      <c r="AD24" s="20"/>
      <c r="AE24" s="19"/>
      <c r="AF24" s="2"/>
      <c r="AG24" s="2">
        <f>-$K24</f>
        <v>201625</v>
      </c>
      <c r="AH24" s="2">
        <f>K24+SUM(O24:AC24)</f>
        <v>0</v>
      </c>
      <c r="AI24" s="2">
        <f>K24+SUM(AF24:AG24)</f>
        <v>0</v>
      </c>
    </row>
    <row r="25" spans="1:35" x14ac:dyDescent="0.2">
      <c r="A25" s="69" t="s">
        <v>61</v>
      </c>
      <c r="B25" s="70" t="s">
        <v>811</v>
      </c>
      <c r="C25" s="70">
        <v>0</v>
      </c>
      <c r="D25" s="70" t="str">
        <f>D24</f>
        <v>JV15</v>
      </c>
      <c r="E25" s="70" t="s">
        <v>795</v>
      </c>
      <c r="F25" s="70" t="s">
        <v>794</v>
      </c>
      <c r="G25" s="70" t="s">
        <v>835</v>
      </c>
      <c r="H25" s="70" t="s">
        <v>25</v>
      </c>
      <c r="I25" s="70" t="s">
        <v>844</v>
      </c>
      <c r="J25" s="70" t="s">
        <v>793</v>
      </c>
      <c r="K25" s="70">
        <v>-2378815</v>
      </c>
      <c r="L25" s="46">
        <v>12025</v>
      </c>
      <c r="M25" s="42" t="str">
        <f>LEFT(I25,(LEN(LEFT(I25,FIND(";",I25)))-8))</f>
        <v>VNQN</v>
      </c>
      <c r="N25" s="42" t="s">
        <v>138</v>
      </c>
      <c r="O25" s="2">
        <f>IF($M25=O$3,-$K25,0)</f>
        <v>0</v>
      </c>
      <c r="P25" s="2">
        <f>IF($M25=P$3,-$K25,0)</f>
        <v>0</v>
      </c>
      <c r="Q25" s="2">
        <f>IF($M25=Q$3,-$K25,0)</f>
        <v>0</v>
      </c>
      <c r="R25" s="2">
        <f>IF($M25=R$3,-$K25,0)</f>
        <v>0</v>
      </c>
      <c r="S25" s="2">
        <f>IF($M25=S$3,-$K25,0)</f>
        <v>0</v>
      </c>
      <c r="T25" s="2">
        <f>IF($M25=T$3,-$K25,0)</f>
        <v>2378815</v>
      </c>
      <c r="U25" s="2">
        <f>IF($M25=U$3,-$K25,0)</f>
        <v>0</v>
      </c>
      <c r="V25" s="2">
        <f>IF($M25=V$3,-$K25,0)</f>
        <v>0</v>
      </c>
      <c r="W25" s="2">
        <f>IF($M25=W$3,-$K25,0)</f>
        <v>0</v>
      </c>
      <c r="X25" s="2">
        <f>IF($M25=X$3,-$K25,0)</f>
        <v>0</v>
      </c>
      <c r="Y25" s="2">
        <f>IF($M25=Y$3,-$K25,0)</f>
        <v>0</v>
      </c>
      <c r="Z25" s="2">
        <f>IF($M25=Z$3,-$K25,0)</f>
        <v>0</v>
      </c>
      <c r="AA25" s="2">
        <f>IF($M25=AA$3,-$K25,0)</f>
        <v>0</v>
      </c>
      <c r="AB25" s="2">
        <f>IF($M25=AB$3,-$K25,0)</f>
        <v>0</v>
      </c>
      <c r="AC25" s="21">
        <f>IF($M25=AC$3,-$K25,0)</f>
        <v>0</v>
      </c>
      <c r="AD25" s="20"/>
      <c r="AE25" s="19"/>
      <c r="AF25" s="2"/>
      <c r="AG25" s="2">
        <f>-$K25</f>
        <v>2378815</v>
      </c>
      <c r="AH25" s="2">
        <f>K25+SUM(O25:AC25)</f>
        <v>0</v>
      </c>
      <c r="AI25" s="2">
        <f>K25+SUM(AF25:AG25)</f>
        <v>0</v>
      </c>
    </row>
    <row r="26" spans="1:35" x14ac:dyDescent="0.2">
      <c r="A26" s="69" t="s">
        <v>61</v>
      </c>
      <c r="B26" s="70" t="s">
        <v>811</v>
      </c>
      <c r="C26" s="70">
        <v>0</v>
      </c>
      <c r="D26" s="70" t="str">
        <f>D25</f>
        <v>JV15</v>
      </c>
      <c r="E26" s="70" t="s">
        <v>795</v>
      </c>
      <c r="F26" s="70" t="s">
        <v>794</v>
      </c>
      <c r="G26" s="70" t="s">
        <v>835</v>
      </c>
      <c r="H26" s="70" t="s">
        <v>23</v>
      </c>
      <c r="I26" s="70" t="s">
        <v>843</v>
      </c>
      <c r="J26" s="70" t="s">
        <v>793</v>
      </c>
      <c r="K26" s="70">
        <v>-187141</v>
      </c>
      <c r="L26" s="46">
        <v>12025</v>
      </c>
      <c r="M26" s="42" t="str">
        <f>LEFT(I26,(LEN(LEFT(I26,FIND(";",I26)))-8))</f>
        <v>VNHD</v>
      </c>
      <c r="N26" s="42" t="s">
        <v>138</v>
      </c>
      <c r="O26" s="2">
        <f>IF($M26=O$3,-$K26,0)</f>
        <v>0</v>
      </c>
      <c r="P26" s="2">
        <f>IF($M26=P$3,-$K26,0)</f>
        <v>0</v>
      </c>
      <c r="Q26" s="2">
        <f>IF($M26=Q$3,-$K26,0)</f>
        <v>0</v>
      </c>
      <c r="R26" s="2">
        <f>IF($M26=R$3,-$K26,0)</f>
        <v>0</v>
      </c>
      <c r="S26" s="2">
        <f>IF($M26=S$3,-$K26,0)</f>
        <v>0</v>
      </c>
      <c r="T26" s="2">
        <f>IF($M26=T$3,-$K26,0)</f>
        <v>0</v>
      </c>
      <c r="U26" s="2">
        <f>IF($M26=U$3,-$K26,0)</f>
        <v>187141</v>
      </c>
      <c r="V26" s="2">
        <f>IF($M26=V$3,-$K26,0)</f>
        <v>0</v>
      </c>
      <c r="W26" s="2">
        <f>IF($M26=W$3,-$K26,0)</f>
        <v>0</v>
      </c>
      <c r="X26" s="2">
        <f>IF($M26=X$3,-$K26,0)</f>
        <v>0</v>
      </c>
      <c r="Y26" s="2">
        <f>IF($M26=Y$3,-$K26,0)</f>
        <v>0</v>
      </c>
      <c r="Z26" s="2">
        <f>IF($M26=Z$3,-$K26,0)</f>
        <v>0</v>
      </c>
      <c r="AA26" s="2">
        <f>IF($M26=AA$3,-$K26,0)</f>
        <v>0</v>
      </c>
      <c r="AB26" s="2">
        <f>IF($M26=AB$3,-$K26,0)</f>
        <v>0</v>
      </c>
      <c r="AC26" s="21">
        <f>IF($M26=AC$3,-$K26,0)</f>
        <v>0</v>
      </c>
      <c r="AD26" s="20"/>
      <c r="AE26" s="19"/>
      <c r="AF26" s="2"/>
      <c r="AG26" s="2">
        <f>-$K26</f>
        <v>187141</v>
      </c>
      <c r="AH26" s="2">
        <f>K26+SUM(O26:AC26)</f>
        <v>0</v>
      </c>
      <c r="AI26" s="2">
        <f>K26+SUM(AF26:AG26)</f>
        <v>0</v>
      </c>
    </row>
    <row r="27" spans="1:35" x14ac:dyDescent="0.2">
      <c r="A27" s="69" t="s">
        <v>61</v>
      </c>
      <c r="B27" s="70" t="s">
        <v>811</v>
      </c>
      <c r="C27" s="70">
        <v>0</v>
      </c>
      <c r="D27" s="70" t="str">
        <f>D26</f>
        <v>JV15</v>
      </c>
      <c r="E27" s="70" t="s">
        <v>795</v>
      </c>
      <c r="F27" s="70" t="s">
        <v>794</v>
      </c>
      <c r="G27" s="70" t="s">
        <v>835</v>
      </c>
      <c r="H27" s="70" t="s">
        <v>21</v>
      </c>
      <c r="I27" s="70" t="s">
        <v>842</v>
      </c>
      <c r="J27" s="70" t="s">
        <v>793</v>
      </c>
      <c r="K27" s="70">
        <v>-646245</v>
      </c>
      <c r="L27" s="46">
        <v>12025</v>
      </c>
      <c r="M27" s="42" t="str">
        <f>LEFT(I27,(LEN(LEFT(I27,FIND(";",I27)))-8))</f>
        <v>VNHCM</v>
      </c>
      <c r="N27" s="42" t="s">
        <v>138</v>
      </c>
      <c r="O27" s="2">
        <f>IF($M27=O$3,-$K27,0)</f>
        <v>0</v>
      </c>
      <c r="P27" s="2">
        <f>IF($M27=P$3,-$K27,0)</f>
        <v>0</v>
      </c>
      <c r="Q27" s="2">
        <f>IF($M27=Q$3,-$K27,0)</f>
        <v>0</v>
      </c>
      <c r="R27" s="2">
        <f>IF($M27=R$3,-$K27,0)</f>
        <v>0</v>
      </c>
      <c r="S27" s="2">
        <f>IF($M27=S$3,-$K27,0)</f>
        <v>0</v>
      </c>
      <c r="T27" s="2">
        <f>IF($M27=T$3,-$K27,0)</f>
        <v>0</v>
      </c>
      <c r="U27" s="2">
        <f>IF($M27=U$3,-$K27,0)</f>
        <v>0</v>
      </c>
      <c r="V27" s="2">
        <f>IF($M27=V$3,-$K27,0)</f>
        <v>0</v>
      </c>
      <c r="W27" s="2">
        <f>IF($M27=W$3,-$K27,0)</f>
        <v>0</v>
      </c>
      <c r="X27" s="2">
        <f>IF($M27=X$3,-$K27,0)</f>
        <v>0</v>
      </c>
      <c r="Y27" s="2">
        <f>IF($M27=Y$3,-$K27,0)</f>
        <v>646245</v>
      </c>
      <c r="Z27" s="2">
        <f>IF($M27=Z$3,-$K27,0)</f>
        <v>0</v>
      </c>
      <c r="AA27" s="2">
        <f>IF($M27=AA$3,-$K27,0)</f>
        <v>0</v>
      </c>
      <c r="AB27" s="2">
        <f>IF($M27=AB$3,-$K27,0)</f>
        <v>0</v>
      </c>
      <c r="AC27" s="21">
        <f>IF($M27=AC$3,-$K27,0)</f>
        <v>0</v>
      </c>
      <c r="AD27" s="20"/>
      <c r="AE27" s="19"/>
      <c r="AF27" s="2"/>
      <c r="AG27" s="2">
        <f>-$K27</f>
        <v>646245</v>
      </c>
      <c r="AH27" s="2">
        <f>K27+SUM(O27:AC27)</f>
        <v>0</v>
      </c>
      <c r="AI27" s="2">
        <f>K27+SUM(AF27:AG27)</f>
        <v>0</v>
      </c>
    </row>
    <row r="28" spans="1:35" x14ac:dyDescent="0.2">
      <c r="A28" s="69" t="s">
        <v>61</v>
      </c>
      <c r="B28" s="70" t="s">
        <v>811</v>
      </c>
      <c r="C28" s="70">
        <v>0</v>
      </c>
      <c r="D28" s="70" t="str">
        <f>D27</f>
        <v>JV15</v>
      </c>
      <c r="E28" s="70" t="s">
        <v>795</v>
      </c>
      <c r="F28" s="70" t="s">
        <v>794</v>
      </c>
      <c r="G28" s="70" t="s">
        <v>835</v>
      </c>
      <c r="H28" s="70" t="s">
        <v>156</v>
      </c>
      <c r="I28" s="70" t="s">
        <v>841</v>
      </c>
      <c r="J28" s="70" t="s">
        <v>793</v>
      </c>
      <c r="K28" s="70">
        <v>-475745</v>
      </c>
      <c r="L28" s="46">
        <v>12025</v>
      </c>
      <c r="M28" s="42" t="str">
        <f>LEFT(I28,(LEN(LEFT(I28,FIND(";",I28)))-8))</f>
        <v>VNBG</v>
      </c>
      <c r="N28" s="42" t="s">
        <v>138</v>
      </c>
      <c r="O28" s="2">
        <f>IF($M28=O$3,-$K28,0)</f>
        <v>0</v>
      </c>
      <c r="P28" s="2">
        <f>IF($M28=P$3,-$K28,0)</f>
        <v>0</v>
      </c>
      <c r="Q28" s="2">
        <f>IF($M28=Q$3,-$K28,0)</f>
        <v>0</v>
      </c>
      <c r="R28" s="2">
        <f>IF($M28=R$3,-$K28,0)</f>
        <v>0</v>
      </c>
      <c r="S28" s="2">
        <f>IF($M28=S$3,-$K28,0)</f>
        <v>0</v>
      </c>
      <c r="T28" s="2">
        <f>IF($M28=T$3,-$K28,0)</f>
        <v>0</v>
      </c>
      <c r="U28" s="2">
        <f>IF($M28=U$3,-$K28,0)</f>
        <v>0</v>
      </c>
      <c r="V28" s="2">
        <f>IF($M28=V$3,-$K28,0)</f>
        <v>0</v>
      </c>
      <c r="W28" s="2">
        <f>IF($M28=W$3,-$K28,0)</f>
        <v>0</v>
      </c>
      <c r="X28" s="2">
        <f>IF($M28=X$3,-$K28,0)</f>
        <v>0</v>
      </c>
      <c r="Y28" s="2">
        <f>IF($M28=Y$3,-$K28,0)</f>
        <v>0</v>
      </c>
      <c r="Z28" s="2">
        <f>IF($M28=Z$3,-$K28,0)</f>
        <v>0</v>
      </c>
      <c r="AA28" s="2">
        <f>IF($M28=AA$3,-$K28,0)</f>
        <v>0</v>
      </c>
      <c r="AB28" s="2">
        <f>IF($M28=AB$3,-$K28,0)</f>
        <v>475745</v>
      </c>
      <c r="AC28" s="21">
        <f>IF($M28=AC$3,-$K28,0)</f>
        <v>0</v>
      </c>
      <c r="AD28" s="20"/>
      <c r="AE28" s="19"/>
      <c r="AF28" s="2"/>
      <c r="AG28" s="2">
        <f>-$K28</f>
        <v>475745</v>
      </c>
      <c r="AH28" s="2">
        <f>K28+SUM(O28:AC28)</f>
        <v>0</v>
      </c>
      <c r="AI28" s="2">
        <f>K28+SUM(AF28:AG28)</f>
        <v>0</v>
      </c>
    </row>
    <row r="29" spans="1:35" x14ac:dyDescent="0.2">
      <c r="A29" s="69" t="s">
        <v>61</v>
      </c>
      <c r="B29" s="70" t="s">
        <v>811</v>
      </c>
      <c r="C29" s="70">
        <v>0</v>
      </c>
      <c r="D29" s="70" t="str">
        <f>D28</f>
        <v>JV15</v>
      </c>
      <c r="E29" s="70" t="s">
        <v>795</v>
      </c>
      <c r="F29" s="70" t="s">
        <v>794</v>
      </c>
      <c r="G29" s="70" t="s">
        <v>835</v>
      </c>
      <c r="H29" s="70" t="s">
        <v>19</v>
      </c>
      <c r="I29" s="70" t="s">
        <v>840</v>
      </c>
      <c r="J29" s="70" t="s">
        <v>793</v>
      </c>
      <c r="K29" s="70">
        <v>-2926909</v>
      </c>
      <c r="L29" s="46">
        <v>12025</v>
      </c>
      <c r="M29" s="42" t="str">
        <f>LEFT(I29,(LEN(LEFT(I29,FIND(";",I29)))-8))</f>
        <v>VNQN</v>
      </c>
      <c r="N29" s="42" t="s">
        <v>138</v>
      </c>
      <c r="O29" s="2">
        <f>IF($M29=O$3,-$K29,0)</f>
        <v>0</v>
      </c>
      <c r="P29" s="2">
        <f>IF($M29=P$3,-$K29,0)</f>
        <v>0</v>
      </c>
      <c r="Q29" s="2">
        <f>IF($M29=Q$3,-$K29,0)</f>
        <v>0</v>
      </c>
      <c r="R29" s="2">
        <f>IF($M29=R$3,-$K29,0)</f>
        <v>0</v>
      </c>
      <c r="S29" s="2">
        <f>IF($M29=S$3,-$K29,0)</f>
        <v>0</v>
      </c>
      <c r="T29" s="2">
        <f>IF($M29=T$3,-$K29,0)</f>
        <v>2926909</v>
      </c>
      <c r="U29" s="2">
        <f>IF($M29=U$3,-$K29,0)</f>
        <v>0</v>
      </c>
      <c r="V29" s="2">
        <f>IF($M29=V$3,-$K29,0)</f>
        <v>0</v>
      </c>
      <c r="W29" s="2">
        <f>IF($M29=W$3,-$K29,0)</f>
        <v>0</v>
      </c>
      <c r="X29" s="2">
        <f>IF($M29=X$3,-$K29,0)</f>
        <v>0</v>
      </c>
      <c r="Y29" s="2">
        <f>IF($M29=Y$3,-$K29,0)</f>
        <v>0</v>
      </c>
      <c r="Z29" s="2">
        <f>IF($M29=Z$3,-$K29,0)</f>
        <v>0</v>
      </c>
      <c r="AA29" s="2">
        <f>IF($M29=AA$3,-$K29,0)</f>
        <v>0</v>
      </c>
      <c r="AB29" s="2">
        <f>IF($M29=AB$3,-$K29,0)</f>
        <v>0</v>
      </c>
      <c r="AC29" s="21">
        <f>IF($M29=AC$3,-$K29,0)</f>
        <v>0</v>
      </c>
      <c r="AD29" s="20"/>
      <c r="AE29" s="19"/>
      <c r="AF29" s="2"/>
      <c r="AG29" s="2">
        <f>-$K29</f>
        <v>2926909</v>
      </c>
      <c r="AH29" s="2">
        <f>K29+SUM(O29:AC29)</f>
        <v>0</v>
      </c>
      <c r="AI29" s="2">
        <f>K29+SUM(AF29:AG29)</f>
        <v>0</v>
      </c>
    </row>
    <row r="30" spans="1:35" x14ac:dyDescent="0.2">
      <c r="A30" s="69" t="s">
        <v>61</v>
      </c>
      <c r="B30" s="70" t="s">
        <v>811</v>
      </c>
      <c r="C30" s="70">
        <v>0</v>
      </c>
      <c r="D30" s="70" t="str">
        <f>D29</f>
        <v>JV15</v>
      </c>
      <c r="E30" s="70" t="s">
        <v>795</v>
      </c>
      <c r="F30" s="70" t="s">
        <v>794</v>
      </c>
      <c r="G30" s="70" t="s">
        <v>835</v>
      </c>
      <c r="H30" s="70" t="s">
        <v>110</v>
      </c>
      <c r="I30" s="70" t="s">
        <v>839</v>
      </c>
      <c r="J30" s="70" t="s">
        <v>793</v>
      </c>
      <c r="K30" s="70">
        <v>-756900</v>
      </c>
      <c r="L30" s="46">
        <v>12025</v>
      </c>
      <c r="M30" s="42" t="str">
        <f>LEFT(I30,(LEN(LEFT(I30,FIND(";",I30)))-8))</f>
        <v>VNOther</v>
      </c>
      <c r="N30" s="42" t="s">
        <v>138</v>
      </c>
      <c r="O30" s="15">
        <f>-$K30*IFERROR(INDEX('[1]salary allocation'!$E$6:$J$22,MATCH($H30,'[1]salary allocation'!$D$6:$D$22,0),MATCH(O$3,'[1]salary allocation'!$E$3:$J$3,0)),0)</f>
        <v>0</v>
      </c>
      <c r="P30" s="15">
        <f>-$K30*IFERROR(INDEX('[1]salary allocation'!$E$6:$J$22,MATCH($H30,'[1]salary allocation'!$D$6:$D$22,0),MATCH(P$3,'[1]salary allocation'!$E$3:$J$3,0)),0)</f>
        <v>113535</v>
      </c>
      <c r="Q30" s="15">
        <f>-$K30*IFERROR(INDEX('[1]salary allocation'!$E$6:$J$22,MATCH($H30,'[1]salary allocation'!$D$6:$D$22,0),MATCH(Q$3,'[1]salary allocation'!$E$3:$J$3,0)),0)</f>
        <v>0</v>
      </c>
      <c r="R30" s="15">
        <f>-$K30*IFERROR(INDEX('[1]salary allocation'!$E$6:$J$22,MATCH($H30,'[1]salary allocation'!$D$6:$D$22,0),MATCH(R$3,'[1]salary allocation'!$E$3:$J$3,0)),0)</f>
        <v>0</v>
      </c>
      <c r="S30" s="15">
        <f>-$K30*IFERROR(INDEX('[1]salary allocation'!$E$6:$J$22,MATCH($H30,'[1]salary allocation'!$D$6:$D$22,0),MATCH(S$3,'[1]salary allocation'!$E$3:$J$3,0)),0)</f>
        <v>128672.99999999999</v>
      </c>
      <c r="T30" s="15">
        <f>-$K30*IFERROR(INDEX('[1]salary allocation'!$E$6:$J$22,MATCH($H30,'[1]salary allocation'!$D$6:$D$22,0),MATCH(T$3,'[1]salary allocation'!$E$3:$J$3,0)),0)</f>
        <v>128672.99999999999</v>
      </c>
      <c r="U30" s="15">
        <f>-$K30*IFERROR(INDEX('[1]salary allocation'!$E$6:$J$22,MATCH($H30,'[1]salary allocation'!$D$6:$D$22,0),MATCH(U$3,'[1]salary allocation'!$E$3:$J$3,0)),0)</f>
        <v>128672.99999999999</v>
      </c>
      <c r="V30" s="15">
        <f>-$K30*IFERROR(INDEX('[1]salary allocation'!$E$6:$J$22,MATCH($H30,'[1]salary allocation'!$D$6:$D$22,0),MATCH(V$3,'[1]salary allocation'!$E$3:$J$3,0)),0)</f>
        <v>0</v>
      </c>
      <c r="W30" s="15">
        <f>-$K30*IFERROR(INDEX('[1]salary allocation'!$E$6:$J$22,MATCH($H30,'[1]salary allocation'!$D$6:$D$22,0),MATCH(W$3,'[1]salary allocation'!$E$3:$J$3,0)),0)</f>
        <v>257345.99999999997</v>
      </c>
      <c r="X30" s="15">
        <f>-$K30*IFERROR(INDEX('[1]salary allocation'!$E$6:$J$22,MATCH($H30,'[1]salary allocation'!$D$6:$D$22,0),MATCH(X$3,'[1]salary allocation'!$E$3:$J$3,0)),0)</f>
        <v>0</v>
      </c>
      <c r="Y30" s="15">
        <f>-$K30*IFERROR(INDEX('[1]salary allocation'!$E$6:$J$22,MATCH($H30,'[1]salary allocation'!$D$6:$D$22,0),MATCH(Y$3,'[1]salary allocation'!$E$3:$J$3,0)),0)</f>
        <v>0</v>
      </c>
      <c r="Z30" s="15">
        <f>-$K30*IFERROR(INDEX('[1]salary allocation'!$E$6:$J$22,MATCH($H30,'[1]salary allocation'!$D$6:$D$22,0),MATCH(Z$3,'[1]salary allocation'!$E$3:$J$3,0)),0)</f>
        <v>0</v>
      </c>
      <c r="AA30" s="15">
        <f>-$K30*IFERROR(INDEX('[1]salary allocation'!$E$6:$J$22,MATCH($H30,'[1]salary allocation'!$D$6:$D$22,0),MATCH(AA$3,'[1]salary allocation'!$E$3:$J$3,0)),0)</f>
        <v>0</v>
      </c>
      <c r="AB30" s="15">
        <f>-$K30*IFERROR(INDEX('[1]salary allocation'!$E$6:$J$22,MATCH($H30,'[1]salary allocation'!$D$6:$D$22,0),MATCH(AB$3,'[1]salary allocation'!$E$3:$J$3,0)),0)</f>
        <v>0</v>
      </c>
      <c r="AC30" s="18">
        <f>-$K30*IFERROR(INDEX('[1]salary allocation'!$E$6:$J$22,MATCH($H30,'[1]salary allocation'!$D$6:$D$22,0),MATCH(AC$3,'[1]salary allocation'!$E$3:$J$3,0)),0)</f>
        <v>0</v>
      </c>
      <c r="AD30" s="17"/>
      <c r="AE30" s="16"/>
      <c r="AF30" s="15">
        <f>-$K30</f>
        <v>756900</v>
      </c>
      <c r="AG30" s="15"/>
      <c r="AH30" s="2">
        <f>K30+SUM(O30:AC30)</f>
        <v>0</v>
      </c>
      <c r="AI30" s="2">
        <f>K30+SUM(AF30:AG30)</f>
        <v>0</v>
      </c>
    </row>
    <row r="31" spans="1:35" x14ac:dyDescent="0.2">
      <c r="A31" s="69" t="s">
        <v>61</v>
      </c>
      <c r="B31" s="70" t="s">
        <v>811</v>
      </c>
      <c r="C31" s="70">
        <v>0</v>
      </c>
      <c r="D31" s="70" t="str">
        <f>D30</f>
        <v>JV15</v>
      </c>
      <c r="E31" s="70" t="s">
        <v>795</v>
      </c>
      <c r="F31" s="70" t="s">
        <v>794</v>
      </c>
      <c r="G31" s="70" t="s">
        <v>835</v>
      </c>
      <c r="H31" s="70" t="s">
        <v>153</v>
      </c>
      <c r="I31" s="70" t="s">
        <v>838</v>
      </c>
      <c r="J31" s="70" t="s">
        <v>793</v>
      </c>
      <c r="K31" s="70">
        <v>-163416</v>
      </c>
      <c r="L31" s="46">
        <v>12025</v>
      </c>
      <c r="M31" s="42" t="str">
        <f>LEFT(I31,(LEN(LEFT(I31,FIND(";",I31)))-8))</f>
        <v>VNBN</v>
      </c>
      <c r="N31" s="42" t="s">
        <v>138</v>
      </c>
      <c r="O31" s="2">
        <f>IF($M31=O$3,-$K31,0)</f>
        <v>0</v>
      </c>
      <c r="P31" s="2">
        <f>IF($M31=P$3,-$K31,0)</f>
        <v>0</v>
      </c>
      <c r="Q31" s="2">
        <f>IF($M31=Q$3,-$K31,0)</f>
        <v>0</v>
      </c>
      <c r="R31" s="2">
        <f>IF($M31=R$3,-$K31,0)</f>
        <v>0</v>
      </c>
      <c r="S31" s="2">
        <f>IF($M31=S$3,-$K31,0)</f>
        <v>0</v>
      </c>
      <c r="T31" s="2">
        <f>IF($M31=T$3,-$K31,0)</f>
        <v>0</v>
      </c>
      <c r="U31" s="2">
        <f>IF($M31=U$3,-$K31,0)</f>
        <v>0</v>
      </c>
      <c r="V31" s="2">
        <f>IF($M31=V$3,-$K31,0)</f>
        <v>0</v>
      </c>
      <c r="W31" s="2">
        <f>IF($M31=W$3,-$K31,0)</f>
        <v>0</v>
      </c>
      <c r="X31" s="2">
        <f>IF($M31=X$3,-$K31,0)</f>
        <v>0</v>
      </c>
      <c r="Y31" s="2">
        <f>IF($M31=Y$3,-$K31,0)</f>
        <v>0</v>
      </c>
      <c r="Z31" s="2">
        <f>IF($M31=Z$3,-$K31,0)</f>
        <v>0</v>
      </c>
      <c r="AA31" s="2">
        <f>IF($M31=AA$3,-$K31,0)</f>
        <v>163416</v>
      </c>
      <c r="AB31" s="2">
        <f>IF($M31=AB$3,-$K31,0)</f>
        <v>0</v>
      </c>
      <c r="AC31" s="21">
        <f>IF($M31=AC$3,-$K31,0)</f>
        <v>0</v>
      </c>
      <c r="AD31" s="20"/>
      <c r="AE31" s="19"/>
      <c r="AF31" s="2"/>
      <c r="AG31" s="2">
        <f>-$K31</f>
        <v>163416</v>
      </c>
      <c r="AH31" s="2">
        <f>K31+SUM(O31:AC31)</f>
        <v>0</v>
      </c>
      <c r="AI31" s="2">
        <f>K31+SUM(AF31:AG31)</f>
        <v>0</v>
      </c>
    </row>
    <row r="32" spans="1:35" x14ac:dyDescent="0.2">
      <c r="A32" s="69" t="s">
        <v>61</v>
      </c>
      <c r="B32" s="70" t="s">
        <v>811</v>
      </c>
      <c r="C32" s="70">
        <v>0</v>
      </c>
      <c r="D32" s="70" t="str">
        <f>D31</f>
        <v>JV15</v>
      </c>
      <c r="E32" s="70" t="s">
        <v>795</v>
      </c>
      <c r="F32" s="70" t="s">
        <v>794</v>
      </c>
      <c r="G32" s="70" t="s">
        <v>835</v>
      </c>
      <c r="H32" s="70" t="s">
        <v>151</v>
      </c>
      <c r="I32" s="70" t="s">
        <v>837</v>
      </c>
      <c r="J32" s="70" t="s">
        <v>793</v>
      </c>
      <c r="K32" s="70">
        <v>-73346</v>
      </c>
      <c r="L32" s="46">
        <v>12025</v>
      </c>
      <c r="M32" s="42" t="str">
        <f>LEFT(I32,(LEN(LEFT(I32,FIND(";",I32)))-8))</f>
        <v>VNQN</v>
      </c>
      <c r="N32" s="42" t="s">
        <v>138</v>
      </c>
      <c r="O32" s="2">
        <f>IF($M32=O$3,-$K32,0)</f>
        <v>0</v>
      </c>
      <c r="P32" s="2">
        <f>IF($M32=P$3,-$K32,0)</f>
        <v>0</v>
      </c>
      <c r="Q32" s="2">
        <f>IF($M32=Q$3,-$K32,0)</f>
        <v>0</v>
      </c>
      <c r="R32" s="2">
        <f>IF($M32=R$3,-$K32,0)</f>
        <v>0</v>
      </c>
      <c r="S32" s="2">
        <f>IF($M32=S$3,-$K32,0)</f>
        <v>0</v>
      </c>
      <c r="T32" s="2">
        <f>IF($M32=T$3,-$K32,0)</f>
        <v>73346</v>
      </c>
      <c r="U32" s="2">
        <f>IF($M32=U$3,-$K32,0)</f>
        <v>0</v>
      </c>
      <c r="V32" s="2">
        <f>IF($M32=V$3,-$K32,0)</f>
        <v>0</v>
      </c>
      <c r="W32" s="2">
        <f>IF($M32=W$3,-$K32,0)</f>
        <v>0</v>
      </c>
      <c r="X32" s="2">
        <f>IF($M32=X$3,-$K32,0)</f>
        <v>0</v>
      </c>
      <c r="Y32" s="2">
        <f>IF($M32=Y$3,-$K32,0)</f>
        <v>0</v>
      </c>
      <c r="Z32" s="2">
        <f>IF($M32=Z$3,-$K32,0)</f>
        <v>0</v>
      </c>
      <c r="AA32" s="2">
        <f>IF($M32=AA$3,-$K32,0)</f>
        <v>0</v>
      </c>
      <c r="AB32" s="2">
        <f>IF($M32=AB$3,-$K32,0)</f>
        <v>0</v>
      </c>
      <c r="AC32" s="21">
        <f>IF($M32=AC$3,-$K32,0)</f>
        <v>0</v>
      </c>
      <c r="AD32" s="20"/>
      <c r="AE32" s="19"/>
      <c r="AF32" s="2"/>
      <c r="AG32" s="2">
        <f>-$K32</f>
        <v>73346</v>
      </c>
      <c r="AH32" s="2">
        <f>K32+SUM(O32:AC32)</f>
        <v>0</v>
      </c>
      <c r="AI32" s="2">
        <f>K32+SUM(AF32:AG32)</f>
        <v>0</v>
      </c>
    </row>
    <row r="33" spans="1:35" x14ac:dyDescent="0.2">
      <c r="A33" s="69" t="s">
        <v>61</v>
      </c>
      <c r="B33" s="70" t="s">
        <v>811</v>
      </c>
      <c r="C33" s="70">
        <v>0</v>
      </c>
      <c r="D33" s="70" t="str">
        <f>D32</f>
        <v>JV15</v>
      </c>
      <c r="E33" s="70" t="s">
        <v>795</v>
      </c>
      <c r="F33" s="70" t="s">
        <v>794</v>
      </c>
      <c r="G33" s="70" t="s">
        <v>835</v>
      </c>
      <c r="H33" s="70" t="s">
        <v>76</v>
      </c>
      <c r="I33" s="70" t="s">
        <v>836</v>
      </c>
      <c r="J33" s="70" t="s">
        <v>793</v>
      </c>
      <c r="K33" s="70">
        <v>-11996130</v>
      </c>
      <c r="L33" s="46">
        <v>12025</v>
      </c>
      <c r="M33" s="42" t="str">
        <f>LEFT(I33,(LEN(LEFT(I33,FIND(";",I33)))-8))</f>
        <v>VNMOET</v>
      </c>
      <c r="N33" s="42" t="s">
        <v>138</v>
      </c>
      <c r="O33" s="2">
        <f>IF($M33=O$3,-$K33,0)</f>
        <v>0</v>
      </c>
      <c r="P33" s="2">
        <f>IF($M33=P$3,-$K33,0)</f>
        <v>0</v>
      </c>
      <c r="Q33" s="2">
        <f>IF($M33=Q$3,-$K33,0)</f>
        <v>0</v>
      </c>
      <c r="R33" s="2">
        <f>IF($M33=R$3,-$K33,0)</f>
        <v>0</v>
      </c>
      <c r="S33" s="2">
        <f>IF($M33=S$3,-$K33,0)</f>
        <v>0</v>
      </c>
      <c r="T33" s="2">
        <f>IF($M33=T$3,-$K33,0)</f>
        <v>0</v>
      </c>
      <c r="U33" s="2">
        <f>IF($M33=U$3,-$K33,0)</f>
        <v>0</v>
      </c>
      <c r="V33" s="2">
        <f>IF($M33=V$3,-$K33,0)</f>
        <v>0</v>
      </c>
      <c r="W33" s="2">
        <f>IF($M33=W$3,-$K33,0)</f>
        <v>11996130</v>
      </c>
      <c r="X33" s="2">
        <f>IF($M33=X$3,-$K33,0)</f>
        <v>0</v>
      </c>
      <c r="Y33" s="2">
        <f>IF($M33=Y$3,-$K33,0)</f>
        <v>0</v>
      </c>
      <c r="Z33" s="2">
        <f>IF($M33=Z$3,-$K33,0)</f>
        <v>0</v>
      </c>
      <c r="AA33" s="2">
        <f>IF($M33=AA$3,-$K33,0)</f>
        <v>0</v>
      </c>
      <c r="AB33" s="2">
        <f>IF($M33=AB$3,-$K33,0)</f>
        <v>0</v>
      </c>
      <c r="AC33" s="21">
        <f>IF($M33=AC$3,-$K33,0)</f>
        <v>0</v>
      </c>
      <c r="AD33" s="20"/>
      <c r="AE33" s="19"/>
      <c r="AF33" s="2">
        <f>-$K33</f>
        <v>11996130</v>
      </c>
      <c r="AG33" s="2"/>
      <c r="AH33" s="2">
        <f>K33+SUM(O33:AC33)</f>
        <v>0</v>
      </c>
      <c r="AI33" s="2">
        <f>K33+SUM(AF33:AG33)</f>
        <v>0</v>
      </c>
    </row>
    <row r="34" spans="1:35" x14ac:dyDescent="0.2">
      <c r="A34" s="69" t="s">
        <v>61</v>
      </c>
      <c r="B34" s="70" t="s">
        <v>811</v>
      </c>
      <c r="C34" s="70">
        <v>0</v>
      </c>
      <c r="D34" s="70" t="str">
        <f>D33</f>
        <v>JV15</v>
      </c>
      <c r="E34" s="70" t="s">
        <v>795</v>
      </c>
      <c r="F34" s="70" t="s">
        <v>794</v>
      </c>
      <c r="G34" s="70" t="s">
        <v>835</v>
      </c>
      <c r="H34" s="70" t="s">
        <v>17</v>
      </c>
      <c r="I34" s="70" t="s">
        <v>834</v>
      </c>
      <c r="J34" s="70" t="s">
        <v>793</v>
      </c>
      <c r="K34" s="70">
        <v>0</v>
      </c>
      <c r="L34" s="46">
        <v>12025</v>
      </c>
      <c r="M34" s="42" t="s">
        <v>591</v>
      </c>
      <c r="N34" s="42" t="s">
        <v>138</v>
      </c>
      <c r="O34" s="2">
        <f>IF($M34=O$3,-$K34,0)</f>
        <v>0</v>
      </c>
      <c r="P34" s="2">
        <f>IF($M34=P$3,-$K34,0)</f>
        <v>0</v>
      </c>
      <c r="Q34" s="2">
        <f>IF($M34=Q$3,-$K34,0)</f>
        <v>0</v>
      </c>
      <c r="R34" s="2">
        <f>IF($M34=R$3,-$K34,0)</f>
        <v>0</v>
      </c>
      <c r="S34" s="2">
        <f>IF($M34=S$3,-$K34,0)</f>
        <v>0</v>
      </c>
      <c r="T34" s="2">
        <f>IF($M34=T$3,-$K34,0)</f>
        <v>0</v>
      </c>
      <c r="U34" s="2">
        <f>IF($M34=U$3,-$K34,0)</f>
        <v>0</v>
      </c>
      <c r="V34" s="2">
        <f>IF($M34=V$3,-$K34,0)</f>
        <v>0</v>
      </c>
      <c r="W34" s="2">
        <f>IF($M34=W$3,-$K34,0)</f>
        <v>0</v>
      </c>
      <c r="X34" s="2">
        <f>IF($M34=X$3,-$K34,0)</f>
        <v>0</v>
      </c>
      <c r="Y34" s="2">
        <f>IF($M34=Y$3,-$K34,0)</f>
        <v>0</v>
      </c>
      <c r="Z34" s="2">
        <f>IF($M34=Z$3,-$K34,0)</f>
        <v>0</v>
      </c>
      <c r="AA34" s="2">
        <f>IF($M34=AA$3,-$K34,0)</f>
        <v>0</v>
      </c>
      <c r="AB34" s="2">
        <f>IF($M34=AB$3,-$K34,0)</f>
        <v>0</v>
      </c>
      <c r="AC34" s="21">
        <f>IF($M34=AC$3,-$K34,0)</f>
        <v>0</v>
      </c>
      <c r="AD34" s="20"/>
      <c r="AE34" s="19"/>
      <c r="AF34" s="2"/>
      <c r="AG34" s="2">
        <f>-$K34</f>
        <v>0</v>
      </c>
      <c r="AH34" s="2">
        <f>K34+SUM(O34:AC34)</f>
        <v>0</v>
      </c>
      <c r="AI34" s="2">
        <f>K34+SUM(AF34:AG34)</f>
        <v>0</v>
      </c>
    </row>
    <row r="35" spans="1:35" x14ac:dyDescent="0.2">
      <c r="A35" s="69" t="s">
        <v>61</v>
      </c>
      <c r="B35" s="70" t="s">
        <v>811</v>
      </c>
      <c r="C35" s="70"/>
      <c r="D35" s="70"/>
      <c r="E35" s="70"/>
      <c r="F35" s="70"/>
      <c r="G35" s="70"/>
      <c r="H35" s="70" t="s">
        <v>833</v>
      </c>
      <c r="I35" s="70" t="s">
        <v>832</v>
      </c>
      <c r="J35" s="70" t="s">
        <v>793</v>
      </c>
      <c r="K35" s="70">
        <v>-100400</v>
      </c>
      <c r="L35" s="46">
        <v>12025</v>
      </c>
      <c r="M35" s="42" t="str">
        <f>LEFT(I35,(LEN(LEFT(I35,FIND(";",I35)))-8))</f>
        <v>VNHD</v>
      </c>
      <c r="N35" s="42" t="s">
        <v>138</v>
      </c>
      <c r="O35" s="2">
        <f>IF($M35=O$3,-$K35,0)</f>
        <v>0</v>
      </c>
      <c r="P35" s="2">
        <f>IF($M35=P$3,-$K35,0)</f>
        <v>0</v>
      </c>
      <c r="Q35" s="2">
        <f>IF($M35=Q$3,-$K35,0)</f>
        <v>0</v>
      </c>
      <c r="R35" s="2">
        <f>IF($M35=R$3,-$K35,0)</f>
        <v>0</v>
      </c>
      <c r="S35" s="2">
        <f>IF($M35=S$3,-$K35,0)</f>
        <v>0</v>
      </c>
      <c r="T35" s="2">
        <f>IF($M35=T$3,-$K35,0)</f>
        <v>0</v>
      </c>
      <c r="U35" s="2">
        <f>IF($M35=U$3,-$K35,0)</f>
        <v>100400</v>
      </c>
      <c r="V35" s="2">
        <f>IF($M35=V$3,-$K35,0)</f>
        <v>0</v>
      </c>
      <c r="W35" s="2">
        <f>IF($M35=W$3,-$K35,0)</f>
        <v>0</v>
      </c>
      <c r="X35" s="2">
        <f>IF($M35=X$3,-$K35,0)</f>
        <v>0</v>
      </c>
      <c r="Y35" s="2">
        <f>IF($M35=Y$3,-$K35,0)</f>
        <v>0</v>
      </c>
      <c r="Z35" s="2">
        <f>IF($M35=Z$3,-$K35,0)</f>
        <v>0</v>
      </c>
      <c r="AA35" s="2">
        <f>IF($M35=AA$3,-$K35,0)</f>
        <v>0</v>
      </c>
      <c r="AB35" s="2">
        <f>IF($M35=AB$3,-$K35,0)</f>
        <v>0</v>
      </c>
      <c r="AC35" s="21">
        <f>IF($M35=AC$3,-$K35,0)</f>
        <v>0</v>
      </c>
      <c r="AD35" s="20"/>
      <c r="AE35" s="19"/>
      <c r="AF35" s="2"/>
      <c r="AG35" s="2">
        <f>-$K35</f>
        <v>100400</v>
      </c>
      <c r="AH35" s="2">
        <f>K35+SUM(O35:AC35)</f>
        <v>0</v>
      </c>
      <c r="AI35" s="2">
        <f>K35+SUM(AF35:AG35)</f>
        <v>0</v>
      </c>
    </row>
    <row r="36" spans="1:35" x14ac:dyDescent="0.2">
      <c r="A36" s="69" t="s">
        <v>61</v>
      </c>
      <c r="B36" s="70" t="s">
        <v>811</v>
      </c>
      <c r="C36" s="70"/>
      <c r="D36" s="70"/>
      <c r="E36" s="70"/>
      <c r="F36" s="70"/>
      <c r="G36" s="70"/>
      <c r="H36" s="70" t="s">
        <v>11</v>
      </c>
      <c r="I36" s="70" t="s">
        <v>831</v>
      </c>
      <c r="J36" s="70" t="s">
        <v>793</v>
      </c>
      <c r="K36" s="70">
        <v>-178338</v>
      </c>
      <c r="L36" s="46">
        <v>12025</v>
      </c>
      <c r="M36" s="42" t="str">
        <f>LEFT(I36,(LEN(LEFT(I36,FIND(";",I36)))-8))</f>
        <v>VNQNg</v>
      </c>
      <c r="N36" s="42" t="s">
        <v>138</v>
      </c>
      <c r="O36" s="2">
        <f>IF($M36=O$3,-$K36,0)</f>
        <v>0</v>
      </c>
      <c r="P36" s="2">
        <f>IF($M36=P$3,-$K36,0)</f>
        <v>0</v>
      </c>
      <c r="Q36" s="2">
        <f>IF($M36=Q$3,-$K36,0)</f>
        <v>0</v>
      </c>
      <c r="R36" s="2">
        <f>IF($M36=R$3,-$K36,0)</f>
        <v>0</v>
      </c>
      <c r="S36" s="2">
        <f>IF($M36=S$3,-$K36,0)</f>
        <v>0</v>
      </c>
      <c r="T36" s="2">
        <f>IF($M36=T$3,-$K36,0)</f>
        <v>0</v>
      </c>
      <c r="U36" s="2">
        <f>IF($M36=U$3,-$K36,0)</f>
        <v>0</v>
      </c>
      <c r="V36" s="2">
        <f>IF($M36=V$3,-$K36,0)</f>
        <v>178338</v>
      </c>
      <c r="W36" s="2">
        <f>IF($M36=W$3,-$K36,0)</f>
        <v>0</v>
      </c>
      <c r="X36" s="2">
        <f>IF($M36=X$3,-$K36,0)</f>
        <v>0</v>
      </c>
      <c r="Y36" s="2">
        <f>IF($M36=Y$3,-$K36,0)</f>
        <v>0</v>
      </c>
      <c r="Z36" s="2">
        <f>IF($M36=Z$3,-$K36,0)</f>
        <v>0</v>
      </c>
      <c r="AA36" s="2">
        <f>IF($M36=AA$3,-$K36,0)</f>
        <v>0</v>
      </c>
      <c r="AB36" s="2">
        <f>IF($M36=AB$3,-$K36,0)</f>
        <v>0</v>
      </c>
      <c r="AC36" s="21">
        <f>IF($M36=AC$3,-$K36,0)</f>
        <v>0</v>
      </c>
      <c r="AD36" s="20"/>
      <c r="AE36" s="19"/>
      <c r="AF36" s="2"/>
      <c r="AG36" s="2">
        <f>-$K36</f>
        <v>178338</v>
      </c>
      <c r="AH36" s="2">
        <f>K36+SUM(O36:AC36)</f>
        <v>0</v>
      </c>
      <c r="AI36" s="2">
        <f>K36+SUM(AF36:AG36)</f>
        <v>0</v>
      </c>
    </row>
    <row r="37" spans="1:35" x14ac:dyDescent="0.2">
      <c r="A37" s="69" t="s">
        <v>61</v>
      </c>
      <c r="B37" s="70" t="s">
        <v>811</v>
      </c>
      <c r="C37" s="70"/>
      <c r="D37" s="70"/>
      <c r="E37" s="70"/>
      <c r="F37" s="70"/>
      <c r="G37" s="70"/>
      <c r="H37" s="70" t="s">
        <v>830</v>
      </c>
      <c r="I37" s="70" t="s">
        <v>829</v>
      </c>
      <c r="J37" s="70" t="s">
        <v>793</v>
      </c>
      <c r="K37" s="70">
        <v>-504749</v>
      </c>
      <c r="L37" s="46">
        <v>12025</v>
      </c>
      <c r="M37" s="42" t="str">
        <f>LEFT(I37,(LEN(LEFT(I37,FIND(";",I37)))-8))</f>
        <v>VNQNg</v>
      </c>
      <c r="N37" s="42" t="s">
        <v>138</v>
      </c>
      <c r="O37" s="2">
        <f>IF($M37=O$3,-$K37,0)</f>
        <v>0</v>
      </c>
      <c r="P37" s="2">
        <f>IF($M37=P$3,-$K37,0)</f>
        <v>0</v>
      </c>
      <c r="Q37" s="2">
        <f>IF($M37=Q$3,-$K37,0)</f>
        <v>0</v>
      </c>
      <c r="R37" s="2">
        <f>IF($M37=R$3,-$K37,0)</f>
        <v>0</v>
      </c>
      <c r="S37" s="2">
        <f>IF($M37=S$3,-$K37,0)</f>
        <v>0</v>
      </c>
      <c r="T37" s="2">
        <f>IF($M37=T$3,-$K37,0)</f>
        <v>0</v>
      </c>
      <c r="U37" s="2">
        <f>IF($M37=U$3,-$K37,0)</f>
        <v>0</v>
      </c>
      <c r="V37" s="2">
        <f>IF($M37=V$3,-$K37,0)</f>
        <v>504749</v>
      </c>
      <c r="W37" s="2">
        <f>IF($M37=W$3,-$K37,0)</f>
        <v>0</v>
      </c>
      <c r="X37" s="2">
        <f>IF($M37=X$3,-$K37,0)</f>
        <v>0</v>
      </c>
      <c r="Y37" s="2">
        <f>IF($M37=Y$3,-$K37,0)</f>
        <v>0</v>
      </c>
      <c r="Z37" s="2">
        <f>IF($M37=Z$3,-$K37,0)</f>
        <v>0</v>
      </c>
      <c r="AA37" s="2">
        <f>IF($M37=AA$3,-$K37,0)</f>
        <v>0</v>
      </c>
      <c r="AB37" s="2">
        <f>IF($M37=AB$3,-$K37,0)</f>
        <v>0</v>
      </c>
      <c r="AC37" s="21">
        <f>IF($M37=AC$3,-$K37,0)</f>
        <v>0</v>
      </c>
      <c r="AD37" s="20"/>
      <c r="AE37" s="19"/>
      <c r="AF37" s="2"/>
      <c r="AG37" s="2">
        <f>-$K37</f>
        <v>504749</v>
      </c>
      <c r="AH37" s="2">
        <f>K37+SUM(O37:AC37)</f>
        <v>0</v>
      </c>
      <c r="AI37" s="2">
        <f>K37+SUM(AF37:AG37)</f>
        <v>0</v>
      </c>
    </row>
    <row r="38" spans="1:35" x14ac:dyDescent="0.2">
      <c r="A38" s="69" t="s">
        <v>61</v>
      </c>
      <c r="B38" s="70" t="s">
        <v>811</v>
      </c>
      <c r="C38" s="70"/>
      <c r="D38" s="70"/>
      <c r="E38" s="70"/>
      <c r="F38" s="70"/>
      <c r="G38" s="70"/>
      <c r="H38" s="70" t="s">
        <v>828</v>
      </c>
      <c r="I38" s="70" t="s">
        <v>827</v>
      </c>
      <c r="J38" s="70" t="s">
        <v>793</v>
      </c>
      <c r="K38" s="70">
        <v>-616250</v>
      </c>
      <c r="L38" s="46">
        <v>12025</v>
      </c>
      <c r="M38" s="42" t="str">
        <f>LEFT(I38,(LEN(LEFT(I38,FIND(";",I38)))-8))</f>
        <v>VNHCM</v>
      </c>
      <c r="N38" s="42" t="s">
        <v>138</v>
      </c>
      <c r="O38" s="2">
        <f>IF($M38=O$3,-$K38,0)</f>
        <v>0</v>
      </c>
      <c r="P38" s="2">
        <f>IF($M38=P$3,-$K38,0)</f>
        <v>0</v>
      </c>
      <c r="Q38" s="2">
        <f>IF($M38=Q$3,-$K38,0)</f>
        <v>0</v>
      </c>
      <c r="R38" s="2">
        <f>IF($M38=R$3,-$K38,0)</f>
        <v>0</v>
      </c>
      <c r="S38" s="2">
        <f>IF($M38=S$3,-$K38,0)</f>
        <v>0</v>
      </c>
      <c r="T38" s="2">
        <f>IF($M38=T$3,-$K38,0)</f>
        <v>0</v>
      </c>
      <c r="U38" s="2">
        <f>IF($M38=U$3,-$K38,0)</f>
        <v>0</v>
      </c>
      <c r="V38" s="2">
        <f>IF($M38=V$3,-$K38,0)</f>
        <v>0</v>
      </c>
      <c r="W38" s="2">
        <f>IF($M38=W$3,-$K38,0)</f>
        <v>0</v>
      </c>
      <c r="X38" s="2">
        <f>IF($M38=X$3,-$K38,0)</f>
        <v>0</v>
      </c>
      <c r="Y38" s="2">
        <f>IF($M38=Y$3,-$K38,0)</f>
        <v>616250</v>
      </c>
      <c r="Z38" s="2">
        <f>IF($M38=Z$3,-$K38,0)</f>
        <v>0</v>
      </c>
      <c r="AA38" s="2">
        <f>IF($M38=AA$3,-$K38,0)</f>
        <v>0</v>
      </c>
      <c r="AB38" s="2">
        <f>IF($M38=AB$3,-$K38,0)</f>
        <v>0</v>
      </c>
      <c r="AC38" s="21">
        <f>IF($M38=AC$3,-$K38,0)</f>
        <v>0</v>
      </c>
      <c r="AD38" s="20"/>
      <c r="AE38" s="19"/>
      <c r="AF38" s="2"/>
      <c r="AG38" s="2">
        <f>-$K38</f>
        <v>616250</v>
      </c>
      <c r="AH38" s="2">
        <f>K38+SUM(O38:AC38)</f>
        <v>0</v>
      </c>
      <c r="AI38" s="2">
        <f>K38+SUM(AF38:AG38)</f>
        <v>0</v>
      </c>
    </row>
    <row r="39" spans="1:35" x14ac:dyDescent="0.2">
      <c r="A39" s="69" t="s">
        <v>61</v>
      </c>
      <c r="B39" s="70" t="s">
        <v>811</v>
      </c>
      <c r="C39" s="70"/>
      <c r="D39" s="70"/>
      <c r="E39" s="70"/>
      <c r="F39" s="70"/>
      <c r="G39" s="70"/>
      <c r="H39" s="70" t="s">
        <v>81</v>
      </c>
      <c r="I39" s="70" t="s">
        <v>826</v>
      </c>
      <c r="J39" s="70" t="s">
        <v>793</v>
      </c>
      <c r="K39" s="70">
        <v>0</v>
      </c>
      <c r="L39" s="46">
        <v>12025</v>
      </c>
      <c r="M39" s="42"/>
      <c r="N39" s="42" t="s">
        <v>138</v>
      </c>
      <c r="O39" s="2">
        <f>IF($M39=O$3,-$K39,0)</f>
        <v>0</v>
      </c>
      <c r="P39" s="2">
        <f>IF($M39=P$3,-$K39,0)</f>
        <v>0</v>
      </c>
      <c r="Q39" s="2">
        <f>IF($M39=Q$3,-$K39,0)</f>
        <v>0</v>
      </c>
      <c r="R39" s="2">
        <f>IF($M39=R$3,-$K39,0)</f>
        <v>0</v>
      </c>
      <c r="S39" s="2">
        <f>IF($M39=S$3,-$K39,0)</f>
        <v>0</v>
      </c>
      <c r="T39" s="2">
        <f>IF($M39=T$3,-$K39,0)</f>
        <v>0</v>
      </c>
      <c r="U39" s="2">
        <f>IF($M39=U$3,-$K39,0)</f>
        <v>0</v>
      </c>
      <c r="V39" s="2">
        <f>IF($M39=V$3,-$K39,0)</f>
        <v>0</v>
      </c>
      <c r="W39" s="2">
        <f>IF($M39=W$3,-$K39,0)</f>
        <v>0</v>
      </c>
      <c r="X39" s="2">
        <f>IF($M39=X$3,-$K39,0)</f>
        <v>0</v>
      </c>
      <c r="Y39" s="2">
        <f>IF($M39=Y$3,-$K39,0)</f>
        <v>0</v>
      </c>
      <c r="Z39" s="2">
        <f>IF($M39=Z$3,-$K39,0)</f>
        <v>0</v>
      </c>
      <c r="AA39" s="2">
        <f>IF($M39=AA$3,-$K39,0)</f>
        <v>0</v>
      </c>
      <c r="AB39" s="2">
        <f>IF($M39=AB$3,-$K39,0)</f>
        <v>0</v>
      </c>
      <c r="AC39" s="21">
        <f>IF($M39=AC$3,-$K39,0)</f>
        <v>0</v>
      </c>
      <c r="AD39" s="20"/>
      <c r="AE39" s="19"/>
      <c r="AF39" s="2"/>
      <c r="AG39" s="2">
        <f>-$K39</f>
        <v>0</v>
      </c>
      <c r="AH39" s="2">
        <f>K39+SUM(O39:AC39)</f>
        <v>0</v>
      </c>
      <c r="AI39" s="2">
        <f>K39+SUM(AF39:AG39)</f>
        <v>0</v>
      </c>
    </row>
    <row r="40" spans="1:35" x14ac:dyDescent="0.2">
      <c r="A40" s="69" t="s">
        <v>61</v>
      </c>
      <c r="B40" s="70" t="s">
        <v>811</v>
      </c>
      <c r="C40" s="70"/>
      <c r="D40" s="70"/>
      <c r="E40" s="70"/>
      <c r="F40" s="70"/>
      <c r="G40" s="70"/>
      <c r="H40" s="70" t="s">
        <v>825</v>
      </c>
      <c r="I40" s="70" t="s">
        <v>824</v>
      </c>
      <c r="J40" s="70" t="s">
        <v>793</v>
      </c>
      <c r="K40" s="70">
        <v>-355555</v>
      </c>
      <c r="L40" s="46">
        <v>12025</v>
      </c>
      <c r="M40" s="42" t="s">
        <v>807</v>
      </c>
      <c r="N40" s="42" t="s">
        <v>138</v>
      </c>
      <c r="O40" s="2">
        <f>IF($M40=O$3,-$K40,0)</f>
        <v>0</v>
      </c>
      <c r="P40" s="2">
        <f>IF($M40=P$3,-$K40,0)</f>
        <v>355555</v>
      </c>
      <c r="Q40" s="2">
        <f>IF($M40=Q$3,-$K40,0)</f>
        <v>0</v>
      </c>
      <c r="R40" s="2">
        <f>IF($M40=R$3,-$K40,0)</f>
        <v>0</v>
      </c>
      <c r="S40" s="2">
        <f>IF($M40=S$3,-$K40,0)</f>
        <v>0</v>
      </c>
      <c r="T40" s="2">
        <f>IF($M40=T$3,-$K40,0)</f>
        <v>0</v>
      </c>
      <c r="U40" s="2">
        <f>IF($M40=U$3,-$K40,0)</f>
        <v>0</v>
      </c>
      <c r="V40" s="2">
        <f>IF($M40=V$3,-$K40,0)</f>
        <v>0</v>
      </c>
      <c r="W40" s="2">
        <f>IF($M40=W$3,-$K40,0)</f>
        <v>0</v>
      </c>
      <c r="X40" s="2">
        <f>IF($M40=X$3,-$K40,0)</f>
        <v>0</v>
      </c>
      <c r="Y40" s="2">
        <f>IF($M40=Y$3,-$K40,0)</f>
        <v>0</v>
      </c>
      <c r="Z40" s="2">
        <f>IF($M40=Z$3,-$K40,0)</f>
        <v>0</v>
      </c>
      <c r="AA40" s="2">
        <f>IF($M40=AA$3,-$K40,0)</f>
        <v>0</v>
      </c>
      <c r="AB40" s="2">
        <f>IF($M40=AB$3,-$K40,0)</f>
        <v>0</v>
      </c>
      <c r="AC40" s="21">
        <f>IF($M40=AC$3,-$K40,0)</f>
        <v>0</v>
      </c>
      <c r="AD40" s="20"/>
      <c r="AE40" s="19"/>
      <c r="AF40" s="2"/>
      <c r="AG40" s="2">
        <f>-$K40</f>
        <v>355555</v>
      </c>
      <c r="AH40" s="2">
        <f>K40+SUM(O40:AC40)</f>
        <v>0</v>
      </c>
      <c r="AI40" s="2">
        <f>K40+SUM(AF40:AG40)</f>
        <v>0</v>
      </c>
    </row>
    <row r="41" spans="1:35" x14ac:dyDescent="0.2">
      <c r="A41" s="69" t="s">
        <v>61</v>
      </c>
      <c r="B41" s="70" t="s">
        <v>811</v>
      </c>
      <c r="C41" s="70"/>
      <c r="D41" s="70"/>
      <c r="E41" s="70"/>
      <c r="F41" s="70"/>
      <c r="G41" s="70"/>
      <c r="H41" s="70" t="s">
        <v>823</v>
      </c>
      <c r="I41" s="70" t="s">
        <v>822</v>
      </c>
      <c r="J41" s="70" t="s">
        <v>793</v>
      </c>
      <c r="K41" s="70">
        <v>-900000</v>
      </c>
      <c r="L41" s="46">
        <v>12025</v>
      </c>
      <c r="M41" s="42" t="s">
        <v>181</v>
      </c>
      <c r="N41" s="42" t="s">
        <v>138</v>
      </c>
      <c r="O41" s="2">
        <f>IF($M41=O$3,-$K41,0)</f>
        <v>0</v>
      </c>
      <c r="P41" s="2">
        <f>IF($M41=P$3,-$K41,0)</f>
        <v>0</v>
      </c>
      <c r="Q41" s="2">
        <f>IF($M41=Q$3,-$K41,0)</f>
        <v>0</v>
      </c>
      <c r="R41" s="2">
        <f>IF($M41=R$3,-$K41,0)</f>
        <v>0</v>
      </c>
      <c r="S41" s="2">
        <f>IF($M41=S$3,-$K41,0)</f>
        <v>0</v>
      </c>
      <c r="T41" s="2">
        <f>IF($M41=T$3,-$K41,0)</f>
        <v>0</v>
      </c>
      <c r="U41" s="2">
        <f>IF($M41=U$3,-$K41,0)</f>
        <v>0</v>
      </c>
      <c r="V41" s="2">
        <f>IF($M41=V$3,-$K41,0)</f>
        <v>0</v>
      </c>
      <c r="W41" s="2">
        <f>IF($M41=W$3,-$K41,0)</f>
        <v>900000</v>
      </c>
      <c r="X41" s="2">
        <f>IF($M41=X$3,-$K41,0)</f>
        <v>0</v>
      </c>
      <c r="Y41" s="2">
        <f>IF($M41=Y$3,-$K41,0)</f>
        <v>0</v>
      </c>
      <c r="Z41" s="2">
        <f>IF($M41=Z$3,-$K41,0)</f>
        <v>0</v>
      </c>
      <c r="AA41" s="2">
        <f>IF($M41=AA$3,-$K41,0)</f>
        <v>0</v>
      </c>
      <c r="AB41" s="2">
        <f>IF($M41=AB$3,-$K41,0)</f>
        <v>0</v>
      </c>
      <c r="AC41" s="21">
        <f>IF($M41=AC$3,-$K41,0)</f>
        <v>0</v>
      </c>
      <c r="AD41" s="20"/>
      <c r="AE41" s="19"/>
      <c r="AF41" s="2"/>
      <c r="AG41" s="2">
        <f>-$K41</f>
        <v>900000</v>
      </c>
      <c r="AH41" s="2">
        <f>K41+SUM(O41:AC41)</f>
        <v>0</v>
      </c>
      <c r="AI41" s="2">
        <f>K41+SUM(AF41:AG41)</f>
        <v>0</v>
      </c>
    </row>
    <row r="42" spans="1:35" x14ac:dyDescent="0.2">
      <c r="A42" s="69" t="s">
        <v>61</v>
      </c>
      <c r="B42" s="70" t="s">
        <v>811</v>
      </c>
      <c r="C42" s="70"/>
      <c r="D42" s="70"/>
      <c r="E42" s="70"/>
      <c r="F42" s="70"/>
      <c r="G42" s="70"/>
      <c r="H42" s="70" t="s">
        <v>821</v>
      </c>
      <c r="I42" s="70" t="s">
        <v>820</v>
      </c>
      <c r="J42" s="70" t="s">
        <v>793</v>
      </c>
      <c r="K42" s="70">
        <v>-900000</v>
      </c>
      <c r="L42" s="46">
        <v>12025</v>
      </c>
      <c r="M42" s="42" t="s">
        <v>181</v>
      </c>
      <c r="N42" s="42" t="s">
        <v>138</v>
      </c>
      <c r="O42" s="2">
        <f>IF($M42=O$3,-$K42,0)</f>
        <v>0</v>
      </c>
      <c r="P42" s="2">
        <f>IF($M42=P$3,-$K42,0)</f>
        <v>0</v>
      </c>
      <c r="Q42" s="2">
        <f>IF($M42=Q$3,-$K42,0)</f>
        <v>0</v>
      </c>
      <c r="R42" s="2">
        <f>IF($M42=R$3,-$K42,0)</f>
        <v>0</v>
      </c>
      <c r="S42" s="2">
        <f>IF($M42=S$3,-$K42,0)</f>
        <v>0</v>
      </c>
      <c r="T42" s="2">
        <f>IF($M42=T$3,-$K42,0)</f>
        <v>0</v>
      </c>
      <c r="U42" s="2">
        <f>IF($M42=U$3,-$K42,0)</f>
        <v>0</v>
      </c>
      <c r="V42" s="2">
        <f>IF($M42=V$3,-$K42,0)</f>
        <v>0</v>
      </c>
      <c r="W42" s="2">
        <f>IF($M42=W$3,-$K42,0)</f>
        <v>900000</v>
      </c>
      <c r="X42" s="2">
        <f>IF($M42=X$3,-$K42,0)</f>
        <v>0</v>
      </c>
      <c r="Y42" s="2">
        <f>IF($M42=Y$3,-$K42,0)</f>
        <v>0</v>
      </c>
      <c r="Z42" s="2">
        <f>IF($M42=Z$3,-$K42,0)</f>
        <v>0</v>
      </c>
      <c r="AA42" s="2">
        <f>IF($M42=AA$3,-$K42,0)</f>
        <v>0</v>
      </c>
      <c r="AB42" s="2">
        <f>IF($M42=AB$3,-$K42,0)</f>
        <v>0</v>
      </c>
      <c r="AC42" s="21">
        <f>IF($M42=AC$3,-$K42,0)</f>
        <v>0</v>
      </c>
      <c r="AD42" s="20"/>
      <c r="AE42" s="19"/>
      <c r="AF42" s="2"/>
      <c r="AG42" s="2">
        <f>-$K42</f>
        <v>900000</v>
      </c>
      <c r="AH42" s="2">
        <f>K42+SUM(O42:AC42)</f>
        <v>0</v>
      </c>
      <c r="AI42" s="2">
        <f>K42+SUM(AF42:AG42)</f>
        <v>0</v>
      </c>
    </row>
    <row r="43" spans="1:35" x14ac:dyDescent="0.2">
      <c r="A43" s="69" t="s">
        <v>61</v>
      </c>
      <c r="B43" s="70" t="s">
        <v>811</v>
      </c>
      <c r="C43" s="70"/>
      <c r="D43" s="70"/>
      <c r="E43" s="70"/>
      <c r="F43" s="70"/>
      <c r="G43" s="70"/>
      <c r="H43" s="70" t="s">
        <v>819</v>
      </c>
      <c r="I43" s="70" t="s">
        <v>818</v>
      </c>
      <c r="J43" s="70" t="s">
        <v>793</v>
      </c>
      <c r="K43" s="70">
        <v>-2300000</v>
      </c>
      <c r="L43" s="46">
        <v>12025</v>
      </c>
      <c r="M43" s="42" t="s">
        <v>181</v>
      </c>
      <c r="N43" s="42" t="s">
        <v>138</v>
      </c>
      <c r="O43" s="2">
        <f>IF($M43=O$3,-$K43,0)</f>
        <v>0</v>
      </c>
      <c r="P43" s="2">
        <f>IF($M43=P$3,-$K43,0)</f>
        <v>0</v>
      </c>
      <c r="Q43" s="2">
        <f>IF($M43=Q$3,-$K43,0)</f>
        <v>0</v>
      </c>
      <c r="R43" s="2">
        <f>IF($M43=R$3,-$K43,0)</f>
        <v>0</v>
      </c>
      <c r="S43" s="2">
        <f>IF($M43=S$3,-$K43,0)</f>
        <v>0</v>
      </c>
      <c r="T43" s="2">
        <f>IF($M43=T$3,-$K43,0)</f>
        <v>0</v>
      </c>
      <c r="U43" s="2">
        <f>IF($M43=U$3,-$K43,0)</f>
        <v>0</v>
      </c>
      <c r="V43" s="2">
        <f>IF($M43=V$3,-$K43,0)</f>
        <v>0</v>
      </c>
      <c r="W43" s="2">
        <f>IF($M43=W$3,-$K43,0)</f>
        <v>2300000</v>
      </c>
      <c r="X43" s="2">
        <f>IF($M43=X$3,-$K43,0)</f>
        <v>0</v>
      </c>
      <c r="Y43" s="2">
        <f>IF($M43=Y$3,-$K43,0)</f>
        <v>0</v>
      </c>
      <c r="Z43" s="2">
        <f>IF($M43=Z$3,-$K43,0)</f>
        <v>0</v>
      </c>
      <c r="AA43" s="2">
        <f>IF($M43=AA$3,-$K43,0)</f>
        <v>0</v>
      </c>
      <c r="AB43" s="2">
        <f>IF($M43=AB$3,-$K43,0)</f>
        <v>0</v>
      </c>
      <c r="AC43" s="21">
        <f>IF($M43=AC$3,-$K43,0)</f>
        <v>0</v>
      </c>
      <c r="AD43" s="20"/>
      <c r="AE43" s="19"/>
      <c r="AF43" s="2"/>
      <c r="AG43" s="2">
        <f>-$K43</f>
        <v>2300000</v>
      </c>
      <c r="AH43" s="2">
        <f>K43+SUM(O43:AC43)</f>
        <v>0</v>
      </c>
      <c r="AI43" s="2">
        <f>K43+SUM(AF43:AG43)</f>
        <v>0</v>
      </c>
    </row>
    <row r="44" spans="1:35" x14ac:dyDescent="0.2">
      <c r="A44" s="69" t="s">
        <v>61</v>
      </c>
      <c r="B44" s="70" t="s">
        <v>811</v>
      </c>
      <c r="C44" s="70"/>
      <c r="D44" s="70"/>
      <c r="E44" s="70"/>
      <c r="F44" s="70"/>
      <c r="G44" s="70"/>
      <c r="H44" s="70" t="s">
        <v>817</v>
      </c>
      <c r="I44" s="70" t="s">
        <v>816</v>
      </c>
      <c r="J44" s="70" t="s">
        <v>793</v>
      </c>
      <c r="K44" s="70">
        <v>-1300000</v>
      </c>
      <c r="L44" s="46">
        <v>12025</v>
      </c>
      <c r="M44" s="42" t="s">
        <v>181</v>
      </c>
      <c r="N44" s="42" t="s">
        <v>138</v>
      </c>
      <c r="O44" s="2">
        <f>IF($M44=O$3,-$K44,0)</f>
        <v>0</v>
      </c>
      <c r="P44" s="2">
        <f>IF($M44=P$3,-$K44,0)</f>
        <v>0</v>
      </c>
      <c r="Q44" s="2">
        <f>IF($M44=Q$3,-$K44,0)</f>
        <v>0</v>
      </c>
      <c r="R44" s="2">
        <f>IF($M44=R$3,-$K44,0)</f>
        <v>0</v>
      </c>
      <c r="S44" s="2">
        <f>IF($M44=S$3,-$K44,0)</f>
        <v>0</v>
      </c>
      <c r="T44" s="2">
        <f>IF($M44=T$3,-$K44,0)</f>
        <v>0</v>
      </c>
      <c r="U44" s="2">
        <f>IF($M44=U$3,-$K44,0)</f>
        <v>0</v>
      </c>
      <c r="V44" s="2">
        <f>IF($M44=V$3,-$K44,0)</f>
        <v>0</v>
      </c>
      <c r="W44" s="2">
        <f>IF($M44=W$3,-$K44,0)</f>
        <v>1300000</v>
      </c>
      <c r="X44" s="2">
        <f>IF($M44=X$3,-$K44,0)</f>
        <v>0</v>
      </c>
      <c r="Y44" s="2">
        <f>IF($M44=Y$3,-$K44,0)</f>
        <v>0</v>
      </c>
      <c r="Z44" s="2">
        <f>IF($M44=Z$3,-$K44,0)</f>
        <v>0</v>
      </c>
      <c r="AA44" s="2">
        <f>IF($M44=AA$3,-$K44,0)</f>
        <v>0</v>
      </c>
      <c r="AB44" s="2">
        <f>IF($M44=AB$3,-$K44,0)</f>
        <v>0</v>
      </c>
      <c r="AC44" s="21">
        <f>IF($M44=AC$3,-$K44,0)</f>
        <v>0</v>
      </c>
      <c r="AD44" s="20"/>
      <c r="AE44" s="19"/>
      <c r="AF44" s="2"/>
      <c r="AG44" s="2">
        <f>-$K44</f>
        <v>1300000</v>
      </c>
      <c r="AH44" s="2">
        <f>K44+SUM(O44:AC44)</f>
        <v>0</v>
      </c>
      <c r="AI44" s="2">
        <f>K44+SUM(AF44:AG44)</f>
        <v>0</v>
      </c>
    </row>
    <row r="45" spans="1:35" x14ac:dyDescent="0.2">
      <c r="A45" s="69" t="s">
        <v>61</v>
      </c>
      <c r="B45" s="70" t="s">
        <v>811</v>
      </c>
      <c r="C45" s="70"/>
      <c r="D45" s="70"/>
      <c r="E45" s="70"/>
      <c r="F45" s="70"/>
      <c r="G45" s="70"/>
      <c r="H45" s="70" t="s">
        <v>815</v>
      </c>
      <c r="I45" s="70" t="s">
        <v>814</v>
      </c>
      <c r="J45" s="70" t="s">
        <v>793</v>
      </c>
      <c r="K45" s="70">
        <v>-900000</v>
      </c>
      <c r="L45" s="46">
        <v>12025</v>
      </c>
      <c r="M45" s="42" t="s">
        <v>181</v>
      </c>
      <c r="N45" s="42" t="s">
        <v>138</v>
      </c>
      <c r="O45" s="2">
        <f>IF($M45=O$3,-$K45,0)</f>
        <v>0</v>
      </c>
      <c r="P45" s="2">
        <f>IF($M45=P$3,-$K45,0)</f>
        <v>0</v>
      </c>
      <c r="Q45" s="2">
        <f>IF($M45=Q$3,-$K45,0)</f>
        <v>0</v>
      </c>
      <c r="R45" s="2">
        <f>IF($M45=R$3,-$K45,0)</f>
        <v>0</v>
      </c>
      <c r="S45" s="2">
        <f>IF($M45=S$3,-$K45,0)</f>
        <v>0</v>
      </c>
      <c r="T45" s="2">
        <f>IF($M45=T$3,-$K45,0)</f>
        <v>0</v>
      </c>
      <c r="U45" s="2">
        <f>IF($M45=U$3,-$K45,0)</f>
        <v>0</v>
      </c>
      <c r="V45" s="2">
        <f>IF($M45=V$3,-$K45,0)</f>
        <v>0</v>
      </c>
      <c r="W45" s="2">
        <f>IF($M45=W$3,-$K45,0)</f>
        <v>900000</v>
      </c>
      <c r="X45" s="2">
        <f>IF($M45=X$3,-$K45,0)</f>
        <v>0</v>
      </c>
      <c r="Y45" s="2">
        <f>IF($M45=Y$3,-$K45,0)</f>
        <v>0</v>
      </c>
      <c r="Z45" s="2">
        <f>IF($M45=Z$3,-$K45,0)</f>
        <v>0</v>
      </c>
      <c r="AA45" s="2">
        <f>IF($M45=AA$3,-$K45,0)</f>
        <v>0</v>
      </c>
      <c r="AB45" s="2">
        <f>IF($M45=AB$3,-$K45,0)</f>
        <v>0</v>
      </c>
      <c r="AC45" s="21">
        <f>IF($M45=AC$3,-$K45,0)</f>
        <v>0</v>
      </c>
      <c r="AD45" s="20"/>
      <c r="AE45" s="19"/>
      <c r="AF45" s="2"/>
      <c r="AG45" s="2">
        <f>-$K45</f>
        <v>900000</v>
      </c>
      <c r="AH45" s="2">
        <f>K45+SUM(O45:AC45)</f>
        <v>0</v>
      </c>
      <c r="AI45" s="2">
        <f>K45+SUM(AF45:AG45)</f>
        <v>0</v>
      </c>
    </row>
    <row r="46" spans="1:35" x14ac:dyDescent="0.2">
      <c r="A46" s="69" t="s">
        <v>61</v>
      </c>
      <c r="B46" s="70" t="s">
        <v>811</v>
      </c>
      <c r="C46" s="70"/>
      <c r="D46" s="70"/>
      <c r="E46" s="70"/>
      <c r="F46" s="70"/>
      <c r="G46" s="70"/>
      <c r="H46" s="70" t="s">
        <v>813</v>
      </c>
      <c r="I46" s="70" t="s">
        <v>812</v>
      </c>
      <c r="J46" s="70" t="s">
        <v>793</v>
      </c>
      <c r="K46" s="70">
        <v>-900000</v>
      </c>
      <c r="L46" s="46">
        <v>12025</v>
      </c>
      <c r="M46" s="42" t="s">
        <v>181</v>
      </c>
      <c r="N46" s="42" t="s">
        <v>138</v>
      </c>
      <c r="O46" s="2">
        <f>IF($M46=O$3,-$K46,0)</f>
        <v>0</v>
      </c>
      <c r="P46" s="2">
        <f>IF($M46=P$3,-$K46,0)</f>
        <v>0</v>
      </c>
      <c r="Q46" s="2">
        <f>IF($M46=Q$3,-$K46,0)</f>
        <v>0</v>
      </c>
      <c r="R46" s="2">
        <f>IF($M46=R$3,-$K46,0)</f>
        <v>0</v>
      </c>
      <c r="S46" s="2">
        <f>IF($M46=S$3,-$K46,0)</f>
        <v>0</v>
      </c>
      <c r="T46" s="2">
        <f>IF($M46=T$3,-$K46,0)</f>
        <v>0</v>
      </c>
      <c r="U46" s="2">
        <f>IF($M46=U$3,-$K46,0)</f>
        <v>0</v>
      </c>
      <c r="V46" s="2">
        <f>IF($M46=V$3,-$K46,0)</f>
        <v>0</v>
      </c>
      <c r="W46" s="2">
        <f>IF($M46=W$3,-$K46,0)</f>
        <v>900000</v>
      </c>
      <c r="X46" s="2">
        <f>IF($M46=X$3,-$K46,0)</f>
        <v>0</v>
      </c>
      <c r="Y46" s="2">
        <f>IF($M46=Y$3,-$K46,0)</f>
        <v>0</v>
      </c>
      <c r="Z46" s="2">
        <f>IF($M46=Z$3,-$K46,0)</f>
        <v>0</v>
      </c>
      <c r="AA46" s="2">
        <f>IF($M46=AA$3,-$K46,0)</f>
        <v>0</v>
      </c>
      <c r="AB46" s="2">
        <f>IF($M46=AB$3,-$K46,0)</f>
        <v>0</v>
      </c>
      <c r="AC46" s="21">
        <f>IF($M46=AC$3,-$K46,0)</f>
        <v>0</v>
      </c>
      <c r="AD46" s="20"/>
      <c r="AE46" s="19"/>
      <c r="AF46" s="2"/>
      <c r="AG46" s="2">
        <f>-$K46</f>
        <v>900000</v>
      </c>
      <c r="AH46" s="2">
        <f>K46+SUM(O46:AC46)</f>
        <v>0</v>
      </c>
      <c r="AI46" s="2">
        <f>K46+SUM(AF46:AG46)</f>
        <v>0</v>
      </c>
    </row>
    <row r="47" spans="1:35" x14ac:dyDescent="0.2">
      <c r="A47" s="69" t="s">
        <v>61</v>
      </c>
      <c r="B47" s="70" t="s">
        <v>811</v>
      </c>
      <c r="C47" s="70"/>
      <c r="D47" s="70"/>
      <c r="E47" s="70"/>
      <c r="F47" s="70"/>
      <c r="G47" s="70"/>
      <c r="H47" s="70" t="s">
        <v>810</v>
      </c>
      <c r="I47" s="70" t="s">
        <v>809</v>
      </c>
      <c r="J47" s="70" t="s">
        <v>793</v>
      </c>
      <c r="K47" s="70">
        <v>-1900000</v>
      </c>
      <c r="L47" s="46">
        <v>12025</v>
      </c>
      <c r="M47" s="42" t="s">
        <v>181</v>
      </c>
      <c r="N47" s="42" t="s">
        <v>138</v>
      </c>
      <c r="O47" s="2">
        <f>IF($M47=O$3,-$K47,0)</f>
        <v>0</v>
      </c>
      <c r="P47" s="2">
        <f>IF($M47=P$3,-$K47,0)</f>
        <v>0</v>
      </c>
      <c r="Q47" s="2">
        <f>IF($M47=Q$3,-$K47,0)</f>
        <v>0</v>
      </c>
      <c r="R47" s="2">
        <f>IF($M47=R$3,-$K47,0)</f>
        <v>0</v>
      </c>
      <c r="S47" s="2">
        <f>IF($M47=S$3,-$K47,0)</f>
        <v>0</v>
      </c>
      <c r="T47" s="2">
        <f>IF($M47=T$3,-$K47,0)</f>
        <v>0</v>
      </c>
      <c r="U47" s="2">
        <f>IF($M47=U$3,-$K47,0)</f>
        <v>0</v>
      </c>
      <c r="V47" s="2">
        <f>IF($M47=V$3,-$K47,0)</f>
        <v>0</v>
      </c>
      <c r="W47" s="2">
        <f>IF($M47=W$3,-$K47,0)</f>
        <v>1900000</v>
      </c>
      <c r="X47" s="2">
        <f>IF($M47=X$3,-$K47,0)</f>
        <v>0</v>
      </c>
      <c r="Y47" s="2">
        <f>IF($M47=Y$3,-$K47,0)</f>
        <v>0</v>
      </c>
      <c r="Z47" s="2">
        <f>IF($M47=Z$3,-$K47,0)</f>
        <v>0</v>
      </c>
      <c r="AA47" s="2">
        <f>IF($M47=AA$3,-$K47,0)</f>
        <v>0</v>
      </c>
      <c r="AB47" s="2">
        <f>IF($M47=AB$3,-$K47,0)</f>
        <v>0</v>
      </c>
      <c r="AC47" s="21">
        <f>IF($M47=AC$3,-$K47,0)</f>
        <v>0</v>
      </c>
      <c r="AD47" s="20"/>
      <c r="AE47" s="19"/>
      <c r="AF47" s="2"/>
      <c r="AG47" s="2">
        <f>-$K47</f>
        <v>1900000</v>
      </c>
      <c r="AH47" s="2">
        <f>K47+SUM(O47:AC47)</f>
        <v>0</v>
      </c>
      <c r="AI47" s="2">
        <f>K47+SUM(AF47:AG47)</f>
        <v>0</v>
      </c>
    </row>
    <row r="48" spans="1:35" x14ac:dyDescent="0.2">
      <c r="A48" s="71" t="s">
        <v>3</v>
      </c>
      <c r="B48" s="69" t="s">
        <v>531</v>
      </c>
      <c r="C48" s="69">
        <v>47</v>
      </c>
      <c r="D48" s="69" t="s">
        <v>796</v>
      </c>
      <c r="E48" s="69" t="s">
        <v>795</v>
      </c>
      <c r="F48" s="69" t="s">
        <v>794</v>
      </c>
      <c r="G48" s="69"/>
      <c r="H48" s="69" t="s">
        <v>3</v>
      </c>
      <c r="I48" s="69" t="s">
        <v>808</v>
      </c>
      <c r="J48" s="69" t="s">
        <v>793</v>
      </c>
      <c r="K48" s="70">
        <v>-7700</v>
      </c>
      <c r="L48" s="46">
        <v>12025</v>
      </c>
      <c r="M48" s="42" t="s">
        <v>807</v>
      </c>
      <c r="N48" s="42" t="s">
        <v>138</v>
      </c>
      <c r="O48" s="2">
        <f>IF($M48=O$3,-$K48,0)</f>
        <v>0</v>
      </c>
      <c r="P48" s="2">
        <f>IF($M48=P$3,-$K48,0)</f>
        <v>7700</v>
      </c>
      <c r="Q48" s="2">
        <f>IF($M48=Q$3,-$K48,0)</f>
        <v>0</v>
      </c>
      <c r="R48" s="2">
        <f>IF($M48=R$3,-$K48,0)</f>
        <v>0</v>
      </c>
      <c r="S48" s="2">
        <f>IF($M48=S$3,-$K48,0)</f>
        <v>0</v>
      </c>
      <c r="T48" s="2">
        <f>IF($M48=T$3,-$K48,0)</f>
        <v>0</v>
      </c>
      <c r="U48" s="2">
        <f>IF($M48=U$3,-$K48,0)</f>
        <v>0</v>
      </c>
      <c r="V48" s="2">
        <f>IF($M48=V$3,-$K48,0)</f>
        <v>0</v>
      </c>
      <c r="W48" s="2">
        <f>IF($M48=W$3,-$K48,0)</f>
        <v>0</v>
      </c>
      <c r="X48" s="2">
        <f>IF($M48=X$3,-$K48,0)</f>
        <v>0</v>
      </c>
      <c r="Y48" s="2">
        <f>IF($M48=Y$3,-$K48,0)</f>
        <v>0</v>
      </c>
      <c r="Z48" s="2">
        <f>IF($M48=Z$3,-$K48,0)</f>
        <v>0</v>
      </c>
      <c r="AA48" s="2">
        <f>IF($M48=AA$3,-$K48,0)</f>
        <v>0</v>
      </c>
      <c r="AB48" s="2">
        <f>IF($M48=AB$3,-$K48,0)</f>
        <v>0</v>
      </c>
      <c r="AC48" s="21">
        <f>IF($M48=AC$3,-$K48,0)</f>
        <v>0</v>
      </c>
      <c r="AD48" s="20"/>
      <c r="AE48" s="19"/>
      <c r="AF48" s="2"/>
      <c r="AG48" s="2">
        <f>-$K48</f>
        <v>7700</v>
      </c>
      <c r="AH48" s="2">
        <f>K48+SUM(O48:AC48)</f>
        <v>0</v>
      </c>
      <c r="AI48" s="2">
        <f>K48+SUM(AF48:AG48)</f>
        <v>0</v>
      </c>
    </row>
    <row r="49" spans="1:35" x14ac:dyDescent="0.2">
      <c r="A49" s="69" t="s">
        <v>3</v>
      </c>
      <c r="B49" s="69" t="s">
        <v>531</v>
      </c>
      <c r="C49" s="69">
        <v>0</v>
      </c>
      <c r="D49" s="69" t="s">
        <v>796</v>
      </c>
      <c r="E49" s="69" t="s">
        <v>795</v>
      </c>
      <c r="F49" s="69" t="s">
        <v>794</v>
      </c>
      <c r="G49" s="69"/>
      <c r="H49" s="69" t="s">
        <v>135</v>
      </c>
      <c r="I49" s="69" t="s">
        <v>768</v>
      </c>
      <c r="J49" s="69" t="s">
        <v>793</v>
      </c>
      <c r="K49" s="70">
        <v>0</v>
      </c>
      <c r="L49" s="46">
        <v>12025</v>
      </c>
      <c r="M49" s="42" t="str">
        <f>LEFT(I49,(LEN(LEFT(I49,FIND(";",I49)))-8))</f>
        <v>VNOther</v>
      </c>
      <c r="N49" s="42" t="s">
        <v>138</v>
      </c>
      <c r="O49" s="15">
        <f>-$K49*IFERROR(INDEX('[1]salary allocation'!$E$6:$J$22,MATCH($H49,'[1]salary allocation'!$D$6:$D$22,0),MATCH(O$3,'[1]salary allocation'!$E$3:$J$3,0)),0)</f>
        <v>0</v>
      </c>
      <c r="P49" s="15">
        <f>-$K49*IFERROR(INDEX('[1]salary allocation'!$E$6:$J$22,MATCH($H49,'[1]salary allocation'!$D$6:$D$22,0),MATCH(P$3,'[1]salary allocation'!$E$3:$J$3,0)),0)</f>
        <v>0</v>
      </c>
      <c r="Q49" s="15">
        <f>-$K49*IFERROR(INDEX('[1]salary allocation'!$E$6:$J$22,MATCH($H49,'[1]salary allocation'!$D$6:$D$22,0),MATCH(Q$3,'[1]salary allocation'!$E$3:$J$3,0)),0)</f>
        <v>0</v>
      </c>
      <c r="R49" s="15">
        <f>-$K49*IFERROR(INDEX('[1]salary allocation'!$E$6:$J$22,MATCH($H49,'[1]salary allocation'!$D$6:$D$22,0),MATCH(R$3,'[1]salary allocation'!$E$3:$J$3,0)),0)</f>
        <v>0</v>
      </c>
      <c r="S49" s="15">
        <f>-$K49*IFERROR(INDEX('[1]salary allocation'!$E$6:$J$22,MATCH($H49,'[1]salary allocation'!$D$6:$D$22,0),MATCH(S$3,'[1]salary allocation'!$E$3:$J$3,0)),0)</f>
        <v>0</v>
      </c>
      <c r="T49" s="15">
        <f>-$K49*IFERROR(INDEX('[1]salary allocation'!$E$6:$J$22,MATCH($H49,'[1]salary allocation'!$D$6:$D$22,0),MATCH(T$3,'[1]salary allocation'!$E$3:$J$3,0)),0)</f>
        <v>0</v>
      </c>
      <c r="U49" s="15">
        <f>-$K49*IFERROR(INDEX('[1]salary allocation'!$E$6:$J$22,MATCH($H49,'[1]salary allocation'!$D$6:$D$22,0),MATCH(U$3,'[1]salary allocation'!$E$3:$J$3,0)),0)</f>
        <v>0</v>
      </c>
      <c r="V49" s="15">
        <f>-$K49*IFERROR(INDEX('[1]salary allocation'!$E$6:$J$22,MATCH($H49,'[1]salary allocation'!$D$6:$D$22,0),MATCH(V$3,'[1]salary allocation'!$E$3:$J$3,0)),0)</f>
        <v>0</v>
      </c>
      <c r="W49" s="15">
        <f>-$K49*IFERROR(INDEX('[1]salary allocation'!$E$6:$J$22,MATCH($H49,'[1]salary allocation'!$D$6:$D$22,0),MATCH(W$3,'[1]salary allocation'!$E$3:$J$3,0)),0)</f>
        <v>0</v>
      </c>
      <c r="X49" s="15">
        <f>-$K49*IFERROR(INDEX('[1]salary allocation'!$E$6:$J$22,MATCH($H49,'[1]salary allocation'!$D$6:$D$22,0),MATCH(X$3,'[1]salary allocation'!$E$3:$J$3,0)),0)</f>
        <v>0</v>
      </c>
      <c r="Y49" s="15">
        <f>-$K49*IFERROR(INDEX('[1]salary allocation'!$E$6:$J$22,MATCH($H49,'[1]salary allocation'!$D$6:$D$22,0),MATCH(Y$3,'[1]salary allocation'!$E$3:$J$3,0)),0)</f>
        <v>0</v>
      </c>
      <c r="Z49" s="15">
        <f>-$K49*IFERROR(INDEX('[1]salary allocation'!$E$6:$J$22,MATCH($H49,'[1]salary allocation'!$D$6:$D$22,0),MATCH(Z$3,'[1]salary allocation'!$E$3:$J$3,0)),0)</f>
        <v>0</v>
      </c>
      <c r="AA49" s="15">
        <f>-$K49*IFERROR(INDEX('[1]salary allocation'!$E$6:$J$22,MATCH($H49,'[1]salary allocation'!$D$6:$D$22,0),MATCH(AA$3,'[1]salary allocation'!$E$3:$J$3,0)),0)</f>
        <v>0</v>
      </c>
      <c r="AB49" s="15">
        <f>-$K49*IFERROR(INDEX('[1]salary allocation'!$E$6:$J$22,MATCH($H49,'[1]salary allocation'!$D$6:$D$22,0),MATCH(AB$3,'[1]salary allocation'!$E$3:$J$3,0)),0)</f>
        <v>0</v>
      </c>
      <c r="AC49" s="18">
        <f>-$K49*IFERROR(INDEX('[1]salary allocation'!$E$6:$J$22,MATCH($H49,'[1]salary allocation'!$D$6:$D$22,0),MATCH(AC$3,'[1]salary allocation'!$E$3:$J$3,0)),0)</f>
        <v>0</v>
      </c>
      <c r="AD49" s="17"/>
      <c r="AE49" s="16"/>
      <c r="AF49" s="15">
        <f>-$K49</f>
        <v>0</v>
      </c>
      <c r="AG49" s="15"/>
      <c r="AH49" s="2">
        <f>K49+SUM(O49:AC49)</f>
        <v>0</v>
      </c>
      <c r="AI49" s="2">
        <f>K49+SUM(AF49:AG49)</f>
        <v>0</v>
      </c>
    </row>
    <row r="50" spans="1:35" x14ac:dyDescent="0.2">
      <c r="A50" s="69" t="s">
        <v>3</v>
      </c>
      <c r="B50" s="69" t="s">
        <v>531</v>
      </c>
      <c r="C50" s="69">
        <v>0</v>
      </c>
      <c r="D50" s="69" t="s">
        <v>796</v>
      </c>
      <c r="E50" s="69" t="s">
        <v>795</v>
      </c>
      <c r="F50" s="69" t="s">
        <v>794</v>
      </c>
      <c r="G50" s="69"/>
      <c r="H50" s="69" t="s">
        <v>57</v>
      </c>
      <c r="I50" s="69" t="s">
        <v>767</v>
      </c>
      <c r="J50" s="69" t="s">
        <v>793</v>
      </c>
      <c r="K50" s="70">
        <v>-15255640</v>
      </c>
      <c r="L50" s="46">
        <v>12025</v>
      </c>
      <c r="M50" s="42" t="str">
        <f>LEFT(I50,(LEN(LEFT(I50,FIND(";",I50)))-8))</f>
        <v>VNOther</v>
      </c>
      <c r="N50" s="42" t="s">
        <v>138</v>
      </c>
      <c r="O50" s="15">
        <f>-$K50*IFERROR(INDEX('[1]salary allocation'!$E$6:$J$22,MATCH($H50,'[1]salary allocation'!$D$6:$D$22,0),MATCH(O$3,'[1]salary allocation'!$E$3:$J$3,0)),0)</f>
        <v>0</v>
      </c>
      <c r="P50" s="15">
        <f>-$K50*IFERROR(INDEX('[1]salary allocation'!$E$6:$J$22,MATCH($H50,'[1]salary allocation'!$D$6:$D$22,0),MATCH(P$3,'[1]salary allocation'!$E$3:$J$3,0)),0)</f>
        <v>7627820</v>
      </c>
      <c r="Q50" s="15">
        <f>-$K50*IFERROR(INDEX('[1]salary allocation'!$E$6:$J$22,MATCH($H50,'[1]salary allocation'!$D$6:$D$22,0),MATCH(Q$3,'[1]salary allocation'!$E$3:$J$3,0)),0)</f>
        <v>0</v>
      </c>
      <c r="R50" s="15">
        <f>-$K50*IFERROR(INDEX('[1]salary allocation'!$E$6:$J$22,MATCH($H50,'[1]salary allocation'!$D$6:$D$22,0),MATCH(R$3,'[1]salary allocation'!$E$3:$J$3,0)),0)</f>
        <v>0</v>
      </c>
      <c r="S50" s="15">
        <f>-$K50*IFERROR(INDEX('[1]salary allocation'!$E$6:$J$22,MATCH($H50,'[1]salary allocation'!$D$6:$D$22,0),MATCH(S$3,'[1]salary allocation'!$E$3:$J$3,0)),0)</f>
        <v>1525564</v>
      </c>
      <c r="T50" s="15">
        <f>-$K50*IFERROR(INDEX('[1]salary allocation'!$E$6:$J$22,MATCH($H50,'[1]salary allocation'!$D$6:$D$22,0),MATCH(T$3,'[1]salary allocation'!$E$3:$J$3,0)),0)</f>
        <v>1525564</v>
      </c>
      <c r="U50" s="15">
        <f>-$K50*IFERROR(INDEX('[1]salary allocation'!$E$6:$J$22,MATCH($H50,'[1]salary allocation'!$D$6:$D$22,0),MATCH(U$3,'[1]salary allocation'!$E$3:$J$3,0)),0)</f>
        <v>1525564</v>
      </c>
      <c r="V50" s="15">
        <f>-$K50*IFERROR(INDEX('[1]salary allocation'!$E$6:$J$22,MATCH($H50,'[1]salary allocation'!$D$6:$D$22,0),MATCH(V$3,'[1]salary allocation'!$E$3:$J$3,0)),0)</f>
        <v>0</v>
      </c>
      <c r="W50" s="15">
        <f>-$K50*IFERROR(INDEX('[1]salary allocation'!$E$6:$J$22,MATCH($H50,'[1]salary allocation'!$D$6:$D$22,0),MATCH(W$3,'[1]salary allocation'!$E$3:$J$3,0)),0)</f>
        <v>3051128</v>
      </c>
      <c r="X50" s="15">
        <f>-$K50*IFERROR(INDEX('[1]salary allocation'!$E$6:$J$22,MATCH($H50,'[1]salary allocation'!$D$6:$D$22,0),MATCH(X$3,'[1]salary allocation'!$E$3:$J$3,0)),0)</f>
        <v>0</v>
      </c>
      <c r="Y50" s="15">
        <f>-$K50*IFERROR(INDEX('[1]salary allocation'!$E$6:$J$22,MATCH($H50,'[1]salary allocation'!$D$6:$D$22,0),MATCH(Y$3,'[1]salary allocation'!$E$3:$J$3,0)),0)</f>
        <v>0</v>
      </c>
      <c r="Z50" s="15">
        <f>-$K50*IFERROR(INDEX('[1]salary allocation'!$E$6:$J$22,MATCH($H50,'[1]salary allocation'!$D$6:$D$22,0),MATCH(Z$3,'[1]salary allocation'!$E$3:$J$3,0)),0)</f>
        <v>0</v>
      </c>
      <c r="AA50" s="15">
        <f>-$K50*IFERROR(INDEX('[1]salary allocation'!$E$6:$J$22,MATCH($H50,'[1]salary allocation'!$D$6:$D$22,0),MATCH(AA$3,'[1]salary allocation'!$E$3:$J$3,0)),0)</f>
        <v>0</v>
      </c>
      <c r="AB50" s="15">
        <f>-$K50*IFERROR(INDEX('[1]salary allocation'!$E$6:$J$22,MATCH($H50,'[1]salary allocation'!$D$6:$D$22,0),MATCH(AB$3,'[1]salary allocation'!$E$3:$J$3,0)),0)</f>
        <v>0</v>
      </c>
      <c r="AC50" s="18">
        <f>-$K50*IFERROR(INDEX('[1]salary allocation'!$E$6:$J$22,MATCH($H50,'[1]salary allocation'!$D$6:$D$22,0),MATCH(AC$3,'[1]salary allocation'!$E$3:$J$3,0)),0)</f>
        <v>0</v>
      </c>
      <c r="AD50" s="17"/>
      <c r="AE50" s="16"/>
      <c r="AF50" s="15">
        <f>-$K50</f>
        <v>15255640</v>
      </c>
      <c r="AG50" s="15"/>
      <c r="AH50" s="2">
        <f>K50+SUM(O50:AC50)</f>
        <v>0</v>
      </c>
      <c r="AI50" s="2">
        <f>K50+SUM(AF50:AG50)</f>
        <v>0</v>
      </c>
    </row>
    <row r="51" spans="1:35" x14ac:dyDescent="0.2">
      <c r="A51" s="69" t="s">
        <v>3</v>
      </c>
      <c r="B51" s="69" t="s">
        <v>531</v>
      </c>
      <c r="C51" s="69">
        <v>0</v>
      </c>
      <c r="D51" s="69" t="s">
        <v>796</v>
      </c>
      <c r="E51" s="69" t="s">
        <v>795</v>
      </c>
      <c r="F51" s="69" t="s">
        <v>794</v>
      </c>
      <c r="G51" s="69"/>
      <c r="H51" s="69" t="s">
        <v>55</v>
      </c>
      <c r="I51" s="69" t="s">
        <v>806</v>
      </c>
      <c r="J51" s="69" t="s">
        <v>793</v>
      </c>
      <c r="K51" s="70">
        <v>-15343758</v>
      </c>
      <c r="L51" s="46">
        <v>12025</v>
      </c>
      <c r="M51" s="42" t="str">
        <f>LEFT(I51,(LEN(LEFT(I51,FIND(";",I51)))-8))</f>
        <v>VNHBC</v>
      </c>
      <c r="N51" s="42" t="s">
        <v>138</v>
      </c>
      <c r="O51" s="15">
        <f>-$K51*IFERROR(INDEX('[1]salary allocation'!$E$6:$J$22,MATCH($H51,'[1]salary allocation'!$D$6:$D$22,0),MATCH(O$3,'[1]salary allocation'!$E$3:$J$3,0)),0)</f>
        <v>0</v>
      </c>
      <c r="P51" s="15">
        <f>-$K51*IFERROR(INDEX('[1]salary allocation'!$E$6:$J$22,MATCH($H51,'[1]salary allocation'!$D$6:$D$22,0),MATCH(P$3,'[1]salary allocation'!$E$3:$J$3,0)),0)</f>
        <v>0</v>
      </c>
      <c r="Q51" s="15">
        <f>-$K51*IFERROR(INDEX('[1]salary allocation'!$E$6:$J$22,MATCH($H51,'[1]salary allocation'!$D$6:$D$22,0),MATCH(Q$3,'[1]salary allocation'!$E$3:$J$3,0)),0)</f>
        <v>0</v>
      </c>
      <c r="R51" s="15">
        <f>-$K51*IFERROR(INDEX('[1]salary allocation'!$E$6:$J$22,MATCH($H51,'[1]salary allocation'!$D$6:$D$22,0),MATCH(R$3,'[1]salary allocation'!$E$3:$J$3,0)),0)</f>
        <v>0</v>
      </c>
      <c r="S51" s="15">
        <f>-$K51*IFERROR(INDEX('[1]salary allocation'!$E$6:$J$22,MATCH($H51,'[1]salary allocation'!$D$6:$D$22,0),MATCH(S$3,'[1]salary allocation'!$E$3:$J$3,0)),0)</f>
        <v>3068751.6</v>
      </c>
      <c r="T51" s="15">
        <f>-$K51*IFERROR(INDEX('[1]salary allocation'!$E$6:$J$22,MATCH($H51,'[1]salary allocation'!$D$6:$D$22,0),MATCH(T$3,'[1]salary allocation'!$E$3:$J$3,0)),0)</f>
        <v>3068751.6</v>
      </c>
      <c r="U51" s="15">
        <f>-$K51*IFERROR(INDEX('[1]salary allocation'!$E$6:$J$22,MATCH($H51,'[1]salary allocation'!$D$6:$D$22,0),MATCH(U$3,'[1]salary allocation'!$E$3:$J$3,0)),0)</f>
        <v>3068751.6</v>
      </c>
      <c r="V51" s="15">
        <f>-$K51*IFERROR(INDEX('[1]salary allocation'!$E$6:$J$22,MATCH($H51,'[1]salary allocation'!$D$6:$D$22,0),MATCH(V$3,'[1]salary allocation'!$E$3:$J$3,0)),0)</f>
        <v>0</v>
      </c>
      <c r="W51" s="15">
        <f>-$K51*IFERROR(INDEX('[1]salary allocation'!$E$6:$J$22,MATCH($H51,'[1]salary allocation'!$D$6:$D$22,0),MATCH(W$3,'[1]salary allocation'!$E$3:$J$3,0)),0)</f>
        <v>6137503.2000000002</v>
      </c>
      <c r="X51" s="15">
        <f>-$K51*IFERROR(INDEX('[1]salary allocation'!$E$6:$J$22,MATCH($H51,'[1]salary allocation'!$D$6:$D$22,0),MATCH(X$3,'[1]salary allocation'!$E$3:$J$3,0)),0)</f>
        <v>0</v>
      </c>
      <c r="Y51" s="15">
        <f>-$K51*IFERROR(INDEX('[1]salary allocation'!$E$6:$J$22,MATCH($H51,'[1]salary allocation'!$D$6:$D$22,0),MATCH(Y$3,'[1]salary allocation'!$E$3:$J$3,0)),0)</f>
        <v>0</v>
      </c>
      <c r="Z51" s="15">
        <f>-$K51*IFERROR(INDEX('[1]salary allocation'!$E$6:$J$22,MATCH($H51,'[1]salary allocation'!$D$6:$D$22,0),MATCH(Z$3,'[1]salary allocation'!$E$3:$J$3,0)),0)</f>
        <v>0</v>
      </c>
      <c r="AA51" s="15">
        <f>-$K51*IFERROR(INDEX('[1]salary allocation'!$E$6:$J$22,MATCH($H51,'[1]salary allocation'!$D$6:$D$22,0),MATCH(AA$3,'[1]salary allocation'!$E$3:$J$3,0)),0)</f>
        <v>0</v>
      </c>
      <c r="AB51" s="15">
        <f>-$K51*IFERROR(INDEX('[1]salary allocation'!$E$6:$J$22,MATCH($H51,'[1]salary allocation'!$D$6:$D$22,0),MATCH(AB$3,'[1]salary allocation'!$E$3:$J$3,0)),0)</f>
        <v>0</v>
      </c>
      <c r="AC51" s="18">
        <f>-$K51*IFERROR(INDEX('[1]salary allocation'!$E$6:$J$22,MATCH($H51,'[1]salary allocation'!$D$6:$D$22,0),MATCH(AC$3,'[1]salary allocation'!$E$3:$J$3,0)),0)</f>
        <v>0</v>
      </c>
      <c r="AD51" s="17"/>
      <c r="AE51" s="16"/>
      <c r="AF51" s="15"/>
      <c r="AG51" s="15">
        <f>-$K51</f>
        <v>15343758</v>
      </c>
      <c r="AH51" s="2">
        <f>K51+SUM(O51:AC51)</f>
        <v>0</v>
      </c>
      <c r="AI51" s="2">
        <f>K51+SUM(AF51:AG51)</f>
        <v>0</v>
      </c>
    </row>
    <row r="52" spans="1:35" x14ac:dyDescent="0.2">
      <c r="A52" s="69" t="s">
        <v>3</v>
      </c>
      <c r="B52" s="69" t="s">
        <v>531</v>
      </c>
      <c r="C52" s="69">
        <v>0</v>
      </c>
      <c r="D52" s="69" t="s">
        <v>796</v>
      </c>
      <c r="E52" s="69" t="s">
        <v>795</v>
      </c>
      <c r="F52" s="69" t="s">
        <v>794</v>
      </c>
      <c r="G52" s="69"/>
      <c r="H52" s="69" t="s">
        <v>53</v>
      </c>
      <c r="I52" s="69" t="s">
        <v>805</v>
      </c>
      <c r="J52" s="69" t="s">
        <v>793</v>
      </c>
      <c r="K52" s="70">
        <v>-15093034</v>
      </c>
      <c r="L52" s="46">
        <v>12025</v>
      </c>
      <c r="M52" s="42" t="str">
        <f>LEFT(I52,(LEN(LEFT(I52,FIND(";",I52)))-8))</f>
        <v>VNOther</v>
      </c>
      <c r="N52" s="42" t="s">
        <v>138</v>
      </c>
      <c r="O52" s="15">
        <f>-$K52*IFERROR(INDEX('[1]salary allocation'!$E$6:$J$22,MATCH($H52,'[1]salary allocation'!$D$6:$D$22,0),MATCH(O$3,'[1]salary allocation'!$E$3:$J$3,0)),0)</f>
        <v>0</v>
      </c>
      <c r="P52" s="15">
        <f>-$K52*IFERROR(INDEX('[1]salary allocation'!$E$6:$J$22,MATCH($H52,'[1]salary allocation'!$D$6:$D$22,0),MATCH(P$3,'[1]salary allocation'!$E$3:$J$3,0)),0)</f>
        <v>2263955.1</v>
      </c>
      <c r="Q52" s="15">
        <f>-$K52*IFERROR(INDEX('[1]salary allocation'!$E$6:$J$22,MATCH($H52,'[1]salary allocation'!$D$6:$D$22,0),MATCH(Q$3,'[1]salary allocation'!$E$3:$J$3,0)),0)</f>
        <v>0</v>
      </c>
      <c r="R52" s="15">
        <f>-$K52*IFERROR(INDEX('[1]salary allocation'!$E$6:$J$22,MATCH($H52,'[1]salary allocation'!$D$6:$D$22,0),MATCH(R$3,'[1]salary allocation'!$E$3:$J$3,0)),0)</f>
        <v>0</v>
      </c>
      <c r="S52" s="15">
        <f>-$K52*IFERROR(INDEX('[1]salary allocation'!$E$6:$J$22,MATCH($H52,'[1]salary allocation'!$D$6:$D$22,0),MATCH(S$3,'[1]salary allocation'!$E$3:$J$3,0)),0)</f>
        <v>2565815.7799999998</v>
      </c>
      <c r="T52" s="15">
        <f>-$K52*IFERROR(INDEX('[1]salary allocation'!$E$6:$J$22,MATCH($H52,'[1]salary allocation'!$D$6:$D$22,0),MATCH(T$3,'[1]salary allocation'!$E$3:$J$3,0)),0)</f>
        <v>2565815.7799999998</v>
      </c>
      <c r="U52" s="15">
        <f>-$K52*IFERROR(INDEX('[1]salary allocation'!$E$6:$J$22,MATCH($H52,'[1]salary allocation'!$D$6:$D$22,0),MATCH(U$3,'[1]salary allocation'!$E$3:$J$3,0)),0)</f>
        <v>2565815.7799999998</v>
      </c>
      <c r="V52" s="15">
        <f>-$K52*IFERROR(INDEX('[1]salary allocation'!$E$6:$J$22,MATCH($H52,'[1]salary allocation'!$D$6:$D$22,0),MATCH(V$3,'[1]salary allocation'!$E$3:$J$3,0)),0)</f>
        <v>0</v>
      </c>
      <c r="W52" s="15">
        <f>-$K52*IFERROR(INDEX('[1]salary allocation'!$E$6:$J$22,MATCH($H52,'[1]salary allocation'!$D$6:$D$22,0),MATCH(W$3,'[1]salary allocation'!$E$3:$J$3,0)),0)</f>
        <v>5131631.5599999996</v>
      </c>
      <c r="X52" s="15">
        <f>-$K52*IFERROR(INDEX('[1]salary allocation'!$E$6:$J$22,MATCH($H52,'[1]salary allocation'!$D$6:$D$22,0),MATCH(X$3,'[1]salary allocation'!$E$3:$J$3,0)),0)</f>
        <v>0</v>
      </c>
      <c r="Y52" s="15">
        <f>-$K52*IFERROR(INDEX('[1]salary allocation'!$E$6:$J$22,MATCH($H52,'[1]salary allocation'!$D$6:$D$22,0),MATCH(Y$3,'[1]salary allocation'!$E$3:$J$3,0)),0)</f>
        <v>0</v>
      </c>
      <c r="Z52" s="15">
        <f>-$K52*IFERROR(INDEX('[1]salary allocation'!$E$6:$J$22,MATCH($H52,'[1]salary allocation'!$D$6:$D$22,0),MATCH(Z$3,'[1]salary allocation'!$E$3:$J$3,0)),0)</f>
        <v>0</v>
      </c>
      <c r="AA52" s="15">
        <f>-$K52*IFERROR(INDEX('[1]salary allocation'!$E$6:$J$22,MATCH($H52,'[1]salary allocation'!$D$6:$D$22,0),MATCH(AA$3,'[1]salary allocation'!$E$3:$J$3,0)),0)</f>
        <v>0</v>
      </c>
      <c r="AB52" s="15">
        <f>-$K52*IFERROR(INDEX('[1]salary allocation'!$E$6:$J$22,MATCH($H52,'[1]salary allocation'!$D$6:$D$22,0),MATCH(AB$3,'[1]salary allocation'!$E$3:$J$3,0)),0)</f>
        <v>0</v>
      </c>
      <c r="AC52" s="18">
        <f>-$K52*IFERROR(INDEX('[1]salary allocation'!$E$6:$J$22,MATCH($H52,'[1]salary allocation'!$D$6:$D$22,0),MATCH(AC$3,'[1]salary allocation'!$E$3:$J$3,0)),0)</f>
        <v>0</v>
      </c>
      <c r="AD52" s="17"/>
      <c r="AE52" s="16"/>
      <c r="AF52" s="15">
        <f>-$K52</f>
        <v>15093034</v>
      </c>
      <c r="AG52" s="15"/>
      <c r="AH52" s="2">
        <f>K52+SUM(O52:AC52)</f>
        <v>0</v>
      </c>
      <c r="AI52" s="2">
        <f>K52+SUM(AF52:AG52)</f>
        <v>0</v>
      </c>
    </row>
    <row r="53" spans="1:35" x14ac:dyDescent="0.2">
      <c r="A53" s="69" t="s">
        <v>3</v>
      </c>
      <c r="B53" s="69" t="s">
        <v>531</v>
      </c>
      <c r="C53" s="69">
        <v>0</v>
      </c>
      <c r="D53" s="69" t="s">
        <v>796</v>
      </c>
      <c r="E53" s="69" t="s">
        <v>795</v>
      </c>
      <c r="F53" s="69" t="s">
        <v>794</v>
      </c>
      <c r="G53" s="69"/>
      <c r="H53" s="69" t="s">
        <v>51</v>
      </c>
      <c r="I53" s="69" t="s">
        <v>804</v>
      </c>
      <c r="J53" s="69" t="s">
        <v>793</v>
      </c>
      <c r="K53" s="70">
        <v>-12621774</v>
      </c>
      <c r="L53" s="46">
        <v>12025</v>
      </c>
      <c r="M53" s="42" t="str">
        <f>LEFT(I53,(LEN(LEFT(I53,FIND(";",I53)))-8))</f>
        <v>VNOther</v>
      </c>
      <c r="N53" s="42" t="s">
        <v>138</v>
      </c>
      <c r="O53" s="15">
        <f>-$K53*IFERROR(INDEX('[1]salary allocation'!$E$6:$J$22,MATCH($H53,'[1]salary allocation'!$D$6:$D$22,0),MATCH(O$3,'[1]salary allocation'!$E$3:$J$3,0)),0)</f>
        <v>0</v>
      </c>
      <c r="P53" s="15">
        <f>-$K53*IFERROR(INDEX('[1]salary allocation'!$E$6:$J$22,MATCH($H53,'[1]salary allocation'!$D$6:$D$22,0),MATCH(P$3,'[1]salary allocation'!$E$3:$J$3,0)),0)</f>
        <v>6310887</v>
      </c>
      <c r="Q53" s="15">
        <f>-$K53*IFERROR(INDEX('[1]salary allocation'!$E$6:$J$22,MATCH($H53,'[1]salary allocation'!$D$6:$D$22,0),MATCH(Q$3,'[1]salary allocation'!$E$3:$J$3,0)),0)</f>
        <v>0</v>
      </c>
      <c r="R53" s="15">
        <f>-$K53*IFERROR(INDEX('[1]salary allocation'!$E$6:$J$22,MATCH($H53,'[1]salary allocation'!$D$6:$D$22,0),MATCH(R$3,'[1]salary allocation'!$E$3:$J$3,0)),0)</f>
        <v>0</v>
      </c>
      <c r="S53" s="15">
        <f>-$K53*IFERROR(INDEX('[1]salary allocation'!$E$6:$J$22,MATCH($H53,'[1]salary allocation'!$D$6:$D$22,0),MATCH(S$3,'[1]salary allocation'!$E$3:$J$3,0)),0)</f>
        <v>1262177.4000000001</v>
      </c>
      <c r="T53" s="15">
        <f>-$K53*IFERROR(INDEX('[1]salary allocation'!$E$6:$J$22,MATCH($H53,'[1]salary allocation'!$D$6:$D$22,0),MATCH(T$3,'[1]salary allocation'!$E$3:$J$3,0)),0)</f>
        <v>1262177.4000000001</v>
      </c>
      <c r="U53" s="15">
        <f>-$K53*IFERROR(INDEX('[1]salary allocation'!$E$6:$J$22,MATCH($H53,'[1]salary allocation'!$D$6:$D$22,0),MATCH(U$3,'[1]salary allocation'!$E$3:$J$3,0)),0)</f>
        <v>1262177.4000000001</v>
      </c>
      <c r="V53" s="15">
        <f>-$K53*IFERROR(INDEX('[1]salary allocation'!$E$6:$J$22,MATCH($H53,'[1]salary allocation'!$D$6:$D$22,0),MATCH(V$3,'[1]salary allocation'!$E$3:$J$3,0)),0)</f>
        <v>0</v>
      </c>
      <c r="W53" s="15">
        <f>-$K53*IFERROR(INDEX('[1]salary allocation'!$E$6:$J$22,MATCH($H53,'[1]salary allocation'!$D$6:$D$22,0),MATCH(W$3,'[1]salary allocation'!$E$3:$J$3,0)),0)</f>
        <v>2524354.8000000003</v>
      </c>
      <c r="X53" s="15">
        <f>-$K53*IFERROR(INDEX('[1]salary allocation'!$E$6:$J$22,MATCH($H53,'[1]salary allocation'!$D$6:$D$22,0),MATCH(X$3,'[1]salary allocation'!$E$3:$J$3,0)),0)</f>
        <v>0</v>
      </c>
      <c r="Y53" s="15">
        <f>-$K53*IFERROR(INDEX('[1]salary allocation'!$E$6:$J$22,MATCH($H53,'[1]salary allocation'!$D$6:$D$22,0),MATCH(Y$3,'[1]salary allocation'!$E$3:$J$3,0)),0)</f>
        <v>0</v>
      </c>
      <c r="Z53" s="15">
        <f>-$K53*IFERROR(INDEX('[1]salary allocation'!$E$6:$J$22,MATCH($H53,'[1]salary allocation'!$D$6:$D$22,0),MATCH(Z$3,'[1]salary allocation'!$E$3:$J$3,0)),0)</f>
        <v>0</v>
      </c>
      <c r="AA53" s="15">
        <f>-$K53*IFERROR(INDEX('[1]salary allocation'!$E$6:$J$22,MATCH($H53,'[1]salary allocation'!$D$6:$D$22,0),MATCH(AA$3,'[1]salary allocation'!$E$3:$J$3,0)),0)</f>
        <v>0</v>
      </c>
      <c r="AB53" s="15">
        <f>-$K53*IFERROR(INDEX('[1]salary allocation'!$E$6:$J$22,MATCH($H53,'[1]salary allocation'!$D$6:$D$22,0),MATCH(AB$3,'[1]salary allocation'!$E$3:$J$3,0)),0)</f>
        <v>0</v>
      </c>
      <c r="AC53" s="18">
        <f>-$K53*IFERROR(INDEX('[1]salary allocation'!$E$6:$J$22,MATCH($H53,'[1]salary allocation'!$D$6:$D$22,0),MATCH(AC$3,'[1]salary allocation'!$E$3:$J$3,0)),0)</f>
        <v>0</v>
      </c>
      <c r="AD53" s="17"/>
      <c r="AE53" s="16"/>
      <c r="AF53" s="15">
        <f>-$K53</f>
        <v>12621774</v>
      </c>
      <c r="AG53" s="15"/>
      <c r="AH53" s="2">
        <f>K53+SUM(O53:AC53)</f>
        <v>0</v>
      </c>
      <c r="AI53" s="2">
        <f>K53+SUM(AF53:AG53)</f>
        <v>0</v>
      </c>
    </row>
    <row r="54" spans="1:35" x14ac:dyDescent="0.2">
      <c r="A54" s="69" t="s">
        <v>3</v>
      </c>
      <c r="B54" s="69" t="s">
        <v>531</v>
      </c>
      <c r="C54" s="69">
        <v>0</v>
      </c>
      <c r="D54" s="69" t="s">
        <v>796</v>
      </c>
      <c r="E54" s="69" t="s">
        <v>795</v>
      </c>
      <c r="F54" s="69" t="s">
        <v>794</v>
      </c>
      <c r="G54" s="69"/>
      <c r="H54" s="69" t="s">
        <v>49</v>
      </c>
      <c r="I54" s="69" t="s">
        <v>803</v>
      </c>
      <c r="J54" s="69" t="s">
        <v>793</v>
      </c>
      <c r="K54" s="70">
        <v>-8023125</v>
      </c>
      <c r="L54" s="46">
        <v>12025</v>
      </c>
      <c r="M54" s="42" t="str">
        <f>LEFT(I54,(LEN(LEFT(I54,FIND(";",I54)))-8))</f>
        <v>VNMOET</v>
      </c>
      <c r="N54" s="42" t="s">
        <v>138</v>
      </c>
      <c r="O54" s="15">
        <f>-$K54*IFERROR(INDEX('[1]salary allocation'!$E$6:$J$22,MATCH($H54,'[1]salary allocation'!$D$6:$D$22,0),MATCH(O$3,'[1]salary allocation'!$E$3:$J$3,0)),0)</f>
        <v>0</v>
      </c>
      <c r="P54" s="15">
        <f>-$K54*IFERROR(INDEX('[1]salary allocation'!$E$6:$J$22,MATCH($H54,'[1]salary allocation'!$D$6:$D$22,0),MATCH(P$3,'[1]salary allocation'!$E$3:$J$3,0)),0)</f>
        <v>0</v>
      </c>
      <c r="Q54" s="15">
        <f>-$K54*IFERROR(INDEX('[1]salary allocation'!$E$6:$J$22,MATCH($H54,'[1]salary allocation'!$D$6:$D$22,0),MATCH(Q$3,'[1]salary allocation'!$E$3:$J$3,0)),0)</f>
        <v>0</v>
      </c>
      <c r="R54" s="15">
        <f>-$K54*IFERROR(INDEX('[1]salary allocation'!$E$6:$J$22,MATCH($H54,'[1]salary allocation'!$D$6:$D$22,0),MATCH(R$3,'[1]salary allocation'!$E$3:$J$3,0)),0)</f>
        <v>0</v>
      </c>
      <c r="S54" s="15">
        <f>-$K54*IFERROR(INDEX('[1]salary allocation'!$E$6:$J$22,MATCH($H54,'[1]salary allocation'!$D$6:$D$22,0),MATCH(S$3,'[1]salary allocation'!$E$3:$J$3,0)),0)</f>
        <v>1604625</v>
      </c>
      <c r="T54" s="15">
        <f>-$K54*IFERROR(INDEX('[1]salary allocation'!$E$6:$J$22,MATCH($H54,'[1]salary allocation'!$D$6:$D$22,0),MATCH(T$3,'[1]salary allocation'!$E$3:$J$3,0)),0)</f>
        <v>1604625</v>
      </c>
      <c r="U54" s="15">
        <f>-$K54*IFERROR(INDEX('[1]salary allocation'!$E$6:$J$22,MATCH($H54,'[1]salary allocation'!$D$6:$D$22,0),MATCH(U$3,'[1]salary allocation'!$E$3:$J$3,0)),0)</f>
        <v>1604625</v>
      </c>
      <c r="V54" s="15">
        <f>-$K54*IFERROR(INDEX('[1]salary allocation'!$E$6:$J$22,MATCH($H54,'[1]salary allocation'!$D$6:$D$22,0),MATCH(V$3,'[1]salary allocation'!$E$3:$J$3,0)),0)</f>
        <v>0</v>
      </c>
      <c r="W54" s="15">
        <f>-$K54*IFERROR(INDEX('[1]salary allocation'!$E$6:$J$22,MATCH($H54,'[1]salary allocation'!$D$6:$D$22,0),MATCH(W$3,'[1]salary allocation'!$E$3:$J$3,0)),0)</f>
        <v>3209250</v>
      </c>
      <c r="X54" s="15">
        <f>-$K54*IFERROR(INDEX('[1]salary allocation'!$E$6:$J$22,MATCH($H54,'[1]salary allocation'!$D$6:$D$22,0),MATCH(X$3,'[1]salary allocation'!$E$3:$J$3,0)),0)</f>
        <v>0</v>
      </c>
      <c r="Y54" s="15">
        <f>-$K54*IFERROR(INDEX('[1]salary allocation'!$E$6:$J$22,MATCH($H54,'[1]salary allocation'!$D$6:$D$22,0),MATCH(Y$3,'[1]salary allocation'!$E$3:$J$3,0)),0)</f>
        <v>0</v>
      </c>
      <c r="Z54" s="15">
        <f>-$K54*IFERROR(INDEX('[1]salary allocation'!$E$6:$J$22,MATCH($H54,'[1]salary allocation'!$D$6:$D$22,0),MATCH(Z$3,'[1]salary allocation'!$E$3:$J$3,0)),0)</f>
        <v>0</v>
      </c>
      <c r="AA54" s="15">
        <f>-$K54*IFERROR(INDEX('[1]salary allocation'!$E$6:$J$22,MATCH($H54,'[1]salary allocation'!$D$6:$D$22,0),MATCH(AA$3,'[1]salary allocation'!$E$3:$J$3,0)),0)</f>
        <v>0</v>
      </c>
      <c r="AB54" s="15">
        <f>-$K54*IFERROR(INDEX('[1]salary allocation'!$E$6:$J$22,MATCH($H54,'[1]salary allocation'!$D$6:$D$22,0),MATCH(AB$3,'[1]salary allocation'!$E$3:$J$3,0)),0)</f>
        <v>0</v>
      </c>
      <c r="AC54" s="18">
        <f>-$K54*IFERROR(INDEX('[1]salary allocation'!$E$6:$J$22,MATCH($H54,'[1]salary allocation'!$D$6:$D$22,0),MATCH(AC$3,'[1]salary allocation'!$E$3:$J$3,0)),0)</f>
        <v>0</v>
      </c>
      <c r="AD54" s="17"/>
      <c r="AE54" s="16"/>
      <c r="AF54" s="15"/>
      <c r="AG54" s="15">
        <f>-$K54</f>
        <v>8023125</v>
      </c>
      <c r="AH54" s="2">
        <f>K54+SUM(O54:AC54)</f>
        <v>0</v>
      </c>
      <c r="AI54" s="2">
        <f>K54+SUM(AF54:AG54)</f>
        <v>0</v>
      </c>
    </row>
    <row r="55" spans="1:35" x14ac:dyDescent="0.2">
      <c r="A55" s="69" t="s">
        <v>3</v>
      </c>
      <c r="B55" s="69" t="s">
        <v>531</v>
      </c>
      <c r="C55" s="69">
        <v>0</v>
      </c>
      <c r="D55" s="69" t="s">
        <v>796</v>
      </c>
      <c r="E55" s="69" t="s">
        <v>795</v>
      </c>
      <c r="F55" s="69" t="s">
        <v>794</v>
      </c>
      <c r="G55" s="69"/>
      <c r="H55" s="69" t="s">
        <v>47</v>
      </c>
      <c r="I55" s="69" t="s">
        <v>802</v>
      </c>
      <c r="J55" s="69" t="s">
        <v>793</v>
      </c>
      <c r="K55" s="70">
        <v>-15193324</v>
      </c>
      <c r="L55" s="46">
        <v>12025</v>
      </c>
      <c r="M55" s="42" t="str">
        <f>LEFT(I55,(LEN(LEFT(I55,FIND(";",I55)))-8))</f>
        <v>VNHBC</v>
      </c>
      <c r="N55" s="42" t="s">
        <v>138</v>
      </c>
      <c r="O55" s="15">
        <f>-$K55*IFERROR(INDEX('[1]salary allocation'!$E$6:$J$22,MATCH($H55,'[1]salary allocation'!$D$6:$D$22,0),MATCH(O$3,'[1]salary allocation'!$E$3:$J$3,0)),0)</f>
        <v>0</v>
      </c>
      <c r="P55" s="15">
        <f>-$K55*IFERROR(INDEX('[1]salary allocation'!$E$6:$J$22,MATCH($H55,'[1]salary allocation'!$D$6:$D$22,0),MATCH(P$3,'[1]salary allocation'!$E$3:$J$3,0)),0)</f>
        <v>0</v>
      </c>
      <c r="Q55" s="15">
        <f>-$K55*IFERROR(INDEX('[1]salary allocation'!$E$6:$J$22,MATCH($H55,'[1]salary allocation'!$D$6:$D$22,0),MATCH(Q$3,'[1]salary allocation'!$E$3:$J$3,0)),0)</f>
        <v>0</v>
      </c>
      <c r="R55" s="15">
        <f>-$K55*IFERROR(INDEX('[1]salary allocation'!$E$6:$J$22,MATCH($H55,'[1]salary allocation'!$D$6:$D$22,0),MATCH(R$3,'[1]salary allocation'!$E$3:$J$3,0)),0)</f>
        <v>0</v>
      </c>
      <c r="S55" s="15">
        <f>-$K55*IFERROR(INDEX('[1]salary allocation'!$E$6:$J$22,MATCH($H55,'[1]salary allocation'!$D$6:$D$22,0),MATCH(S$3,'[1]salary allocation'!$E$3:$J$3,0)),0)</f>
        <v>3038664.8000000003</v>
      </c>
      <c r="T55" s="15">
        <f>-$K55*IFERROR(INDEX('[1]salary allocation'!$E$6:$J$22,MATCH($H55,'[1]salary allocation'!$D$6:$D$22,0),MATCH(T$3,'[1]salary allocation'!$E$3:$J$3,0)),0)</f>
        <v>3038664.8000000003</v>
      </c>
      <c r="U55" s="15">
        <f>-$K55*IFERROR(INDEX('[1]salary allocation'!$E$6:$J$22,MATCH($H55,'[1]salary allocation'!$D$6:$D$22,0),MATCH(U$3,'[1]salary allocation'!$E$3:$J$3,0)),0)</f>
        <v>3038664.8000000003</v>
      </c>
      <c r="V55" s="15">
        <f>-$K55*IFERROR(INDEX('[1]salary allocation'!$E$6:$J$22,MATCH($H55,'[1]salary allocation'!$D$6:$D$22,0),MATCH(V$3,'[1]salary allocation'!$E$3:$J$3,0)),0)</f>
        <v>0</v>
      </c>
      <c r="W55" s="15">
        <f>-$K55*IFERROR(INDEX('[1]salary allocation'!$E$6:$J$22,MATCH($H55,'[1]salary allocation'!$D$6:$D$22,0),MATCH(W$3,'[1]salary allocation'!$E$3:$J$3,0)),0)</f>
        <v>6077329.6000000006</v>
      </c>
      <c r="X55" s="15">
        <f>-$K55*IFERROR(INDEX('[1]salary allocation'!$E$6:$J$22,MATCH($H55,'[1]salary allocation'!$D$6:$D$22,0),MATCH(X$3,'[1]salary allocation'!$E$3:$J$3,0)),0)</f>
        <v>0</v>
      </c>
      <c r="Y55" s="15">
        <f>-$K55*IFERROR(INDEX('[1]salary allocation'!$E$6:$J$22,MATCH($H55,'[1]salary allocation'!$D$6:$D$22,0),MATCH(Y$3,'[1]salary allocation'!$E$3:$J$3,0)),0)</f>
        <v>0</v>
      </c>
      <c r="Z55" s="15">
        <f>-$K55*IFERROR(INDEX('[1]salary allocation'!$E$6:$J$22,MATCH($H55,'[1]salary allocation'!$D$6:$D$22,0),MATCH(Z$3,'[1]salary allocation'!$E$3:$J$3,0)),0)</f>
        <v>0</v>
      </c>
      <c r="AA55" s="15">
        <f>-$K55*IFERROR(INDEX('[1]salary allocation'!$E$6:$J$22,MATCH($H55,'[1]salary allocation'!$D$6:$D$22,0),MATCH(AA$3,'[1]salary allocation'!$E$3:$J$3,0)),0)</f>
        <v>0</v>
      </c>
      <c r="AB55" s="15">
        <f>-$K55*IFERROR(INDEX('[1]salary allocation'!$E$6:$J$22,MATCH($H55,'[1]salary allocation'!$D$6:$D$22,0),MATCH(AB$3,'[1]salary allocation'!$E$3:$J$3,0)),0)</f>
        <v>0</v>
      </c>
      <c r="AC55" s="18">
        <f>-$K55*IFERROR(INDEX('[1]salary allocation'!$E$6:$J$22,MATCH($H55,'[1]salary allocation'!$D$6:$D$22,0),MATCH(AC$3,'[1]salary allocation'!$E$3:$J$3,0)),0)</f>
        <v>0</v>
      </c>
      <c r="AD55" s="17"/>
      <c r="AE55" s="16"/>
      <c r="AF55" s="15">
        <f>-$K55</f>
        <v>15193324</v>
      </c>
      <c r="AG55" s="15"/>
      <c r="AH55" s="2">
        <f>K55+SUM(O55:AC55)</f>
        <v>0</v>
      </c>
      <c r="AI55" s="2">
        <f>K55+SUM(AF55:AG55)</f>
        <v>0</v>
      </c>
    </row>
    <row r="56" spans="1:35" x14ac:dyDescent="0.2">
      <c r="A56" s="69" t="s">
        <v>3</v>
      </c>
      <c r="B56" s="69" t="s">
        <v>531</v>
      </c>
      <c r="C56" s="69">
        <v>0</v>
      </c>
      <c r="D56" s="69" t="s">
        <v>796</v>
      </c>
      <c r="E56" s="69" t="s">
        <v>795</v>
      </c>
      <c r="F56" s="69" t="s">
        <v>794</v>
      </c>
      <c r="G56" s="69"/>
      <c r="H56" s="69" t="s">
        <v>45</v>
      </c>
      <c r="I56" s="69" t="s">
        <v>801</v>
      </c>
      <c r="J56" s="69" t="s">
        <v>793</v>
      </c>
      <c r="K56" s="70">
        <v>-5784671</v>
      </c>
      <c r="L56" s="46">
        <v>12025</v>
      </c>
      <c r="M56" s="42" t="str">
        <f>LEFT(I56,(LEN(LEFT(I56,FIND(";",I56)))-9))</f>
        <v>VNHBC</v>
      </c>
      <c r="N56" s="42" t="s">
        <v>138</v>
      </c>
      <c r="O56" s="15">
        <f>-$K56*IFERROR(INDEX('[1]salary allocation'!$E$6:$J$22,MATCH($H56,'[1]salary allocation'!$D$6:$D$22,0),MATCH(O$3,'[1]salary allocation'!$E$3:$J$3,0)),0)</f>
        <v>0</v>
      </c>
      <c r="P56" s="15">
        <f>-$K56*IFERROR(INDEX('[1]salary allocation'!$E$6:$J$22,MATCH($H56,'[1]salary allocation'!$D$6:$D$22,0),MATCH(P$3,'[1]salary allocation'!$E$3:$J$3,0)),0)</f>
        <v>0</v>
      </c>
      <c r="Q56" s="15">
        <f>-$K56*IFERROR(INDEX('[1]salary allocation'!$E$6:$J$22,MATCH($H56,'[1]salary allocation'!$D$6:$D$22,0),MATCH(Q$3,'[1]salary allocation'!$E$3:$J$3,0)),0)</f>
        <v>0</v>
      </c>
      <c r="R56" s="15">
        <f>-$K56*IFERROR(INDEX('[1]salary allocation'!$E$6:$J$22,MATCH($H56,'[1]salary allocation'!$D$6:$D$22,0),MATCH(R$3,'[1]salary allocation'!$E$3:$J$3,0)),0)</f>
        <v>0</v>
      </c>
      <c r="S56" s="15">
        <f>-$K56*IFERROR(INDEX('[1]salary allocation'!$E$6:$J$22,MATCH($H56,'[1]salary allocation'!$D$6:$D$22,0),MATCH(S$3,'[1]salary allocation'!$E$3:$J$3,0)),0)</f>
        <v>1156934.2</v>
      </c>
      <c r="T56" s="15">
        <f>-$K56*IFERROR(INDEX('[1]salary allocation'!$E$6:$J$22,MATCH($H56,'[1]salary allocation'!$D$6:$D$22,0),MATCH(T$3,'[1]salary allocation'!$E$3:$J$3,0)),0)</f>
        <v>1156934.2</v>
      </c>
      <c r="U56" s="15">
        <f>-$K56*IFERROR(INDEX('[1]salary allocation'!$E$6:$J$22,MATCH($H56,'[1]salary allocation'!$D$6:$D$22,0),MATCH(U$3,'[1]salary allocation'!$E$3:$J$3,0)),0)</f>
        <v>1156934.2</v>
      </c>
      <c r="V56" s="15">
        <f>-$K56*IFERROR(INDEX('[1]salary allocation'!$E$6:$J$22,MATCH($H56,'[1]salary allocation'!$D$6:$D$22,0),MATCH(V$3,'[1]salary allocation'!$E$3:$J$3,0)),0)</f>
        <v>0</v>
      </c>
      <c r="W56" s="15">
        <f>-$K56*IFERROR(INDEX('[1]salary allocation'!$E$6:$J$22,MATCH($H56,'[1]salary allocation'!$D$6:$D$22,0),MATCH(W$3,'[1]salary allocation'!$E$3:$J$3,0)),0)</f>
        <v>2313868.4</v>
      </c>
      <c r="X56" s="15">
        <f>-$K56*IFERROR(INDEX('[1]salary allocation'!$E$6:$J$22,MATCH($H56,'[1]salary allocation'!$D$6:$D$22,0),MATCH(X$3,'[1]salary allocation'!$E$3:$J$3,0)),0)</f>
        <v>0</v>
      </c>
      <c r="Y56" s="15">
        <f>-$K56*IFERROR(INDEX('[1]salary allocation'!$E$6:$J$22,MATCH($H56,'[1]salary allocation'!$D$6:$D$22,0),MATCH(Y$3,'[1]salary allocation'!$E$3:$J$3,0)),0)</f>
        <v>0</v>
      </c>
      <c r="Z56" s="15">
        <f>-$K56*IFERROR(INDEX('[1]salary allocation'!$E$6:$J$22,MATCH($H56,'[1]salary allocation'!$D$6:$D$22,0),MATCH(Z$3,'[1]salary allocation'!$E$3:$J$3,0)),0)</f>
        <v>0</v>
      </c>
      <c r="AA56" s="15">
        <f>-$K56*IFERROR(INDEX('[1]salary allocation'!$E$6:$J$22,MATCH($H56,'[1]salary allocation'!$D$6:$D$22,0),MATCH(AA$3,'[1]salary allocation'!$E$3:$J$3,0)),0)</f>
        <v>0</v>
      </c>
      <c r="AB56" s="15">
        <f>-$K56*IFERROR(INDEX('[1]salary allocation'!$E$6:$J$22,MATCH($H56,'[1]salary allocation'!$D$6:$D$22,0),MATCH(AB$3,'[1]salary allocation'!$E$3:$J$3,0)),0)</f>
        <v>0</v>
      </c>
      <c r="AC56" s="18">
        <f>-$K56*IFERROR(INDEX('[1]salary allocation'!$E$6:$J$22,MATCH($H56,'[1]salary allocation'!$D$6:$D$22,0),MATCH(AC$3,'[1]salary allocation'!$E$3:$J$3,0)),0)</f>
        <v>0</v>
      </c>
      <c r="AD56" s="17"/>
      <c r="AE56" s="16"/>
      <c r="AF56" s="15"/>
      <c r="AG56" s="15">
        <f>-$K56</f>
        <v>5784671</v>
      </c>
      <c r="AH56" s="2">
        <f>K56+SUM(O56:AC56)</f>
        <v>0</v>
      </c>
      <c r="AI56" s="2">
        <f>K56+SUM(AF56:AG56)</f>
        <v>0</v>
      </c>
    </row>
    <row r="57" spans="1:35" x14ac:dyDescent="0.2">
      <c r="A57" s="69" t="s">
        <v>3</v>
      </c>
      <c r="B57" s="69" t="s">
        <v>531</v>
      </c>
      <c r="C57" s="69">
        <v>0</v>
      </c>
      <c r="D57" s="69" t="s">
        <v>796</v>
      </c>
      <c r="E57" s="69" t="s">
        <v>795</v>
      </c>
      <c r="F57" s="69" t="s">
        <v>794</v>
      </c>
      <c r="G57" s="69"/>
      <c r="H57" s="69" t="s">
        <v>43</v>
      </c>
      <c r="I57" s="69" t="s">
        <v>800</v>
      </c>
      <c r="J57" s="69" t="s">
        <v>793</v>
      </c>
      <c r="K57" s="70">
        <v>-15013680</v>
      </c>
      <c r="L57" s="46">
        <v>12025</v>
      </c>
      <c r="M57" s="42" t="str">
        <f>LEFT(I57,(LEN(LEFT(I57,FIND(";",I57)))-8))</f>
        <v>VNMOET</v>
      </c>
      <c r="N57" s="42" t="s">
        <v>138</v>
      </c>
      <c r="O57" s="15">
        <f>-$K57*IFERROR(INDEX('[1]salary allocation'!$E$6:$J$22,MATCH($H57,'[1]salary allocation'!$D$6:$D$22,0),MATCH(O$3,'[1]salary allocation'!$E$3:$J$3,0)),0)</f>
        <v>0</v>
      </c>
      <c r="P57" s="15">
        <f>-$K57*IFERROR(INDEX('[1]salary allocation'!$E$6:$J$22,MATCH($H57,'[1]salary allocation'!$D$6:$D$22,0),MATCH(P$3,'[1]salary allocation'!$E$3:$J$3,0)),0)</f>
        <v>0</v>
      </c>
      <c r="Q57" s="15">
        <f>-$K57*IFERROR(INDEX('[1]salary allocation'!$E$6:$J$22,MATCH($H57,'[1]salary allocation'!$D$6:$D$22,0),MATCH(Q$3,'[1]salary allocation'!$E$3:$J$3,0)),0)</f>
        <v>0</v>
      </c>
      <c r="R57" s="15">
        <f>-$K57*IFERROR(INDEX('[1]salary allocation'!$E$6:$J$22,MATCH($H57,'[1]salary allocation'!$D$6:$D$22,0),MATCH(R$3,'[1]salary allocation'!$E$3:$J$3,0)),0)</f>
        <v>0</v>
      </c>
      <c r="S57" s="15">
        <f>-$K57*IFERROR(INDEX('[1]salary allocation'!$E$6:$J$22,MATCH($H57,'[1]salary allocation'!$D$6:$D$22,0),MATCH(S$3,'[1]salary allocation'!$E$3:$J$3,0)),0)</f>
        <v>3002736</v>
      </c>
      <c r="T57" s="15">
        <f>-$K57*IFERROR(INDEX('[1]salary allocation'!$E$6:$J$22,MATCH($H57,'[1]salary allocation'!$D$6:$D$22,0),MATCH(T$3,'[1]salary allocation'!$E$3:$J$3,0)),0)</f>
        <v>3002736</v>
      </c>
      <c r="U57" s="15">
        <f>-$K57*IFERROR(INDEX('[1]salary allocation'!$E$6:$J$22,MATCH($H57,'[1]salary allocation'!$D$6:$D$22,0),MATCH(U$3,'[1]salary allocation'!$E$3:$J$3,0)),0)</f>
        <v>3002736</v>
      </c>
      <c r="V57" s="15">
        <f>-$K57*IFERROR(INDEX('[1]salary allocation'!$E$6:$J$22,MATCH($H57,'[1]salary allocation'!$D$6:$D$22,0),MATCH(V$3,'[1]salary allocation'!$E$3:$J$3,0)),0)</f>
        <v>0</v>
      </c>
      <c r="W57" s="15">
        <f>-$K57*IFERROR(INDEX('[1]salary allocation'!$E$6:$J$22,MATCH($H57,'[1]salary allocation'!$D$6:$D$22,0),MATCH(W$3,'[1]salary allocation'!$E$3:$J$3,0)),0)</f>
        <v>6005472</v>
      </c>
      <c r="X57" s="15">
        <f>-$K57*IFERROR(INDEX('[1]salary allocation'!$E$6:$J$22,MATCH($H57,'[1]salary allocation'!$D$6:$D$22,0),MATCH(X$3,'[1]salary allocation'!$E$3:$J$3,0)),0)</f>
        <v>0</v>
      </c>
      <c r="Y57" s="15">
        <f>-$K57*IFERROR(INDEX('[1]salary allocation'!$E$6:$J$22,MATCH($H57,'[1]salary allocation'!$D$6:$D$22,0),MATCH(Y$3,'[1]salary allocation'!$E$3:$J$3,0)),0)</f>
        <v>0</v>
      </c>
      <c r="Z57" s="15">
        <f>-$K57*IFERROR(INDEX('[1]salary allocation'!$E$6:$J$22,MATCH($H57,'[1]salary allocation'!$D$6:$D$22,0),MATCH(Z$3,'[1]salary allocation'!$E$3:$J$3,0)),0)</f>
        <v>0</v>
      </c>
      <c r="AA57" s="15">
        <f>-$K57*IFERROR(INDEX('[1]salary allocation'!$E$6:$J$22,MATCH($H57,'[1]salary allocation'!$D$6:$D$22,0),MATCH(AA$3,'[1]salary allocation'!$E$3:$J$3,0)),0)</f>
        <v>0</v>
      </c>
      <c r="AB57" s="15">
        <f>-$K57*IFERROR(INDEX('[1]salary allocation'!$E$6:$J$22,MATCH($H57,'[1]salary allocation'!$D$6:$D$22,0),MATCH(AB$3,'[1]salary allocation'!$E$3:$J$3,0)),0)</f>
        <v>0</v>
      </c>
      <c r="AC57" s="18">
        <f>-$K57*IFERROR(INDEX('[1]salary allocation'!$E$6:$J$22,MATCH($H57,'[1]salary allocation'!$D$6:$D$22,0),MATCH(AC$3,'[1]salary allocation'!$E$3:$J$3,0)),0)</f>
        <v>0</v>
      </c>
      <c r="AD57" s="17"/>
      <c r="AE57" s="16"/>
      <c r="AF57" s="15">
        <f>-$K57</f>
        <v>15013680</v>
      </c>
      <c r="AG57" s="15"/>
      <c r="AH57" s="2">
        <f>K57+SUM(O57:AC57)</f>
        <v>0</v>
      </c>
      <c r="AI57" s="2">
        <f>K57+SUM(AF57:AG57)</f>
        <v>0</v>
      </c>
    </row>
    <row r="58" spans="1:35" x14ac:dyDescent="0.2">
      <c r="A58" s="69" t="s">
        <v>3</v>
      </c>
      <c r="B58" s="69" t="s">
        <v>531</v>
      </c>
      <c r="C58" s="69">
        <v>0</v>
      </c>
      <c r="D58" s="69" t="s">
        <v>796</v>
      </c>
      <c r="E58" s="69" t="s">
        <v>795</v>
      </c>
      <c r="F58" s="69" t="s">
        <v>794</v>
      </c>
      <c r="G58" s="69"/>
      <c r="H58" s="69" t="s">
        <v>41</v>
      </c>
      <c r="I58" s="69" t="s">
        <v>799</v>
      </c>
      <c r="J58" s="69" t="s">
        <v>793</v>
      </c>
      <c r="K58" s="70">
        <v>-14799936</v>
      </c>
      <c r="L58" s="46">
        <v>12025</v>
      </c>
      <c r="M58" s="42" t="str">
        <f>LEFT(I58,(LEN(LEFT(I58,FIND(";",I58)))-8))</f>
        <v>VNMOET</v>
      </c>
      <c r="N58" s="42" t="s">
        <v>138</v>
      </c>
      <c r="O58" s="15">
        <f>-$K58*IFERROR(INDEX('[1]salary allocation'!$E$6:$J$22,MATCH($H58,'[1]salary allocation'!$D$6:$D$22,0),MATCH(O$3,'[1]salary allocation'!$E$3:$J$3,0)),0)</f>
        <v>0</v>
      </c>
      <c r="P58" s="15">
        <f>-$K58*IFERROR(INDEX('[1]salary allocation'!$E$6:$J$22,MATCH($H58,'[1]salary allocation'!$D$6:$D$22,0),MATCH(P$3,'[1]salary allocation'!$E$3:$J$3,0)),0)</f>
        <v>0</v>
      </c>
      <c r="Q58" s="15">
        <f>-$K58*IFERROR(INDEX('[1]salary allocation'!$E$6:$J$22,MATCH($H58,'[1]salary allocation'!$D$6:$D$22,0),MATCH(Q$3,'[1]salary allocation'!$E$3:$J$3,0)),0)</f>
        <v>0</v>
      </c>
      <c r="R58" s="15">
        <f>-$K58*IFERROR(INDEX('[1]salary allocation'!$E$6:$J$22,MATCH($H58,'[1]salary allocation'!$D$6:$D$22,0),MATCH(R$3,'[1]salary allocation'!$E$3:$J$3,0)),0)</f>
        <v>0</v>
      </c>
      <c r="S58" s="15">
        <f>-$K58*IFERROR(INDEX('[1]salary allocation'!$E$6:$J$22,MATCH($H58,'[1]salary allocation'!$D$6:$D$22,0),MATCH(S$3,'[1]salary allocation'!$E$3:$J$3,0)),0)</f>
        <v>0</v>
      </c>
      <c r="T58" s="15">
        <f>-$K58*IFERROR(INDEX('[1]salary allocation'!$E$6:$J$22,MATCH($H58,'[1]salary allocation'!$D$6:$D$22,0),MATCH(T$3,'[1]salary allocation'!$E$3:$J$3,0)),0)</f>
        <v>0</v>
      </c>
      <c r="U58" s="15">
        <f>-$K58*IFERROR(INDEX('[1]salary allocation'!$E$6:$J$22,MATCH($H58,'[1]salary allocation'!$D$6:$D$22,0),MATCH(U$3,'[1]salary allocation'!$E$3:$J$3,0)),0)</f>
        <v>0</v>
      </c>
      <c r="V58" s="15">
        <f>-$K58*IFERROR(INDEX('[1]salary allocation'!$E$6:$J$22,MATCH($H58,'[1]salary allocation'!$D$6:$D$22,0),MATCH(V$3,'[1]salary allocation'!$E$3:$J$3,0)),0)</f>
        <v>0</v>
      </c>
      <c r="W58" s="15">
        <f>-$K58*IFERROR(INDEX('[1]salary allocation'!$E$6:$J$22,MATCH($H58,'[1]salary allocation'!$D$6:$D$22,0),MATCH(W$3,'[1]salary allocation'!$E$3:$J$3,0)),0)</f>
        <v>14799936</v>
      </c>
      <c r="X58" s="15">
        <f>-$K58*IFERROR(INDEX('[1]salary allocation'!$E$6:$J$22,MATCH($H58,'[1]salary allocation'!$D$6:$D$22,0),MATCH(X$3,'[1]salary allocation'!$E$3:$J$3,0)),0)</f>
        <v>0</v>
      </c>
      <c r="Y58" s="15">
        <f>-$K58*IFERROR(INDEX('[1]salary allocation'!$E$6:$J$22,MATCH($H58,'[1]salary allocation'!$D$6:$D$22,0),MATCH(Y$3,'[1]salary allocation'!$E$3:$J$3,0)),0)</f>
        <v>0</v>
      </c>
      <c r="Z58" s="15">
        <f>-$K58*IFERROR(INDEX('[1]salary allocation'!$E$6:$J$22,MATCH($H58,'[1]salary allocation'!$D$6:$D$22,0),MATCH(Z$3,'[1]salary allocation'!$E$3:$J$3,0)),0)</f>
        <v>0</v>
      </c>
      <c r="AA58" s="15">
        <f>-$K58*IFERROR(INDEX('[1]salary allocation'!$E$6:$J$22,MATCH($H58,'[1]salary allocation'!$D$6:$D$22,0),MATCH(AA$3,'[1]salary allocation'!$E$3:$J$3,0)),0)</f>
        <v>0</v>
      </c>
      <c r="AB58" s="15">
        <f>-$K58*IFERROR(INDEX('[1]salary allocation'!$E$6:$J$22,MATCH($H58,'[1]salary allocation'!$D$6:$D$22,0),MATCH(AB$3,'[1]salary allocation'!$E$3:$J$3,0)),0)</f>
        <v>0</v>
      </c>
      <c r="AC58" s="18">
        <f>-$K58*IFERROR(INDEX('[1]salary allocation'!$E$6:$J$22,MATCH($H58,'[1]salary allocation'!$D$6:$D$22,0),MATCH(AC$3,'[1]salary allocation'!$E$3:$J$3,0)),0)</f>
        <v>0</v>
      </c>
      <c r="AD58" s="17"/>
      <c r="AE58" s="16"/>
      <c r="AF58" s="15">
        <f>-$K58</f>
        <v>14799936</v>
      </c>
      <c r="AG58" s="15"/>
      <c r="AH58" s="2">
        <f>K58+SUM(O58:AC58)</f>
        <v>0</v>
      </c>
      <c r="AI58" s="2">
        <f>K58+SUM(AF58:AG58)</f>
        <v>0</v>
      </c>
    </row>
    <row r="59" spans="1:35" x14ac:dyDescent="0.2">
      <c r="A59" s="69" t="s">
        <v>3</v>
      </c>
      <c r="B59" s="69" t="s">
        <v>531</v>
      </c>
      <c r="C59" s="69">
        <v>0</v>
      </c>
      <c r="D59" s="69" t="s">
        <v>796</v>
      </c>
      <c r="E59" s="69" t="s">
        <v>795</v>
      </c>
      <c r="F59" s="69" t="s">
        <v>794</v>
      </c>
      <c r="G59" s="69"/>
      <c r="H59" s="69" t="s">
        <v>39</v>
      </c>
      <c r="I59" s="69" t="s">
        <v>798</v>
      </c>
      <c r="J59" s="69" t="s">
        <v>793</v>
      </c>
      <c r="K59" s="70">
        <v>-15013680</v>
      </c>
      <c r="L59" s="46">
        <v>12025</v>
      </c>
      <c r="M59" s="42" t="str">
        <f>LEFT(I59,(LEN(LEFT(I59,FIND(";",I59)))-8))</f>
        <v>VNMOET</v>
      </c>
      <c r="N59" s="42" t="s">
        <v>138</v>
      </c>
      <c r="O59" s="15">
        <f>-$K59*IFERROR(INDEX('[1]salary allocation'!$E$6:$J$22,MATCH($H59,'[1]salary allocation'!$D$6:$D$22,0),MATCH(O$3,'[1]salary allocation'!$E$3:$J$3,0)),0)</f>
        <v>0</v>
      </c>
      <c r="P59" s="15">
        <f>-$K59*IFERROR(INDEX('[1]salary allocation'!$E$6:$J$22,MATCH($H59,'[1]salary allocation'!$D$6:$D$22,0),MATCH(P$3,'[1]salary allocation'!$E$3:$J$3,0)),0)</f>
        <v>0</v>
      </c>
      <c r="Q59" s="15">
        <f>-$K59*IFERROR(INDEX('[1]salary allocation'!$E$6:$J$22,MATCH($H59,'[1]salary allocation'!$D$6:$D$22,0),MATCH(Q$3,'[1]salary allocation'!$E$3:$J$3,0)),0)</f>
        <v>0</v>
      </c>
      <c r="R59" s="15">
        <f>-$K59*IFERROR(INDEX('[1]salary allocation'!$E$6:$J$22,MATCH($H59,'[1]salary allocation'!$D$6:$D$22,0),MATCH(R$3,'[1]salary allocation'!$E$3:$J$3,0)),0)</f>
        <v>0</v>
      </c>
      <c r="S59" s="15">
        <f>-$K59*IFERROR(INDEX('[1]salary allocation'!$E$6:$J$22,MATCH($H59,'[1]salary allocation'!$D$6:$D$22,0),MATCH(S$3,'[1]salary allocation'!$E$3:$J$3,0)),0)</f>
        <v>0</v>
      </c>
      <c r="T59" s="15">
        <f>-$K59*IFERROR(INDEX('[1]salary allocation'!$E$6:$J$22,MATCH($H59,'[1]salary allocation'!$D$6:$D$22,0),MATCH(T$3,'[1]salary allocation'!$E$3:$J$3,0)),0)</f>
        <v>0</v>
      </c>
      <c r="U59" s="15">
        <f>-$K59*IFERROR(INDEX('[1]salary allocation'!$E$6:$J$22,MATCH($H59,'[1]salary allocation'!$D$6:$D$22,0),MATCH(U$3,'[1]salary allocation'!$E$3:$J$3,0)),0)</f>
        <v>0</v>
      </c>
      <c r="V59" s="15">
        <f>-$K59*IFERROR(INDEX('[1]salary allocation'!$E$6:$J$22,MATCH($H59,'[1]salary allocation'!$D$6:$D$22,0),MATCH(V$3,'[1]salary allocation'!$E$3:$J$3,0)),0)</f>
        <v>0</v>
      </c>
      <c r="W59" s="15">
        <f>-$K59*IFERROR(INDEX('[1]salary allocation'!$E$6:$J$22,MATCH($H59,'[1]salary allocation'!$D$6:$D$22,0),MATCH(W$3,'[1]salary allocation'!$E$3:$J$3,0)),0)</f>
        <v>15013680</v>
      </c>
      <c r="X59" s="15">
        <f>-$K59*IFERROR(INDEX('[1]salary allocation'!$E$6:$J$22,MATCH($H59,'[1]salary allocation'!$D$6:$D$22,0),MATCH(X$3,'[1]salary allocation'!$E$3:$J$3,0)),0)</f>
        <v>0</v>
      </c>
      <c r="Y59" s="15">
        <f>-$K59*IFERROR(INDEX('[1]salary allocation'!$E$6:$J$22,MATCH($H59,'[1]salary allocation'!$D$6:$D$22,0),MATCH(Y$3,'[1]salary allocation'!$E$3:$J$3,0)),0)</f>
        <v>0</v>
      </c>
      <c r="Z59" s="15">
        <f>-$K59*IFERROR(INDEX('[1]salary allocation'!$E$6:$J$22,MATCH($H59,'[1]salary allocation'!$D$6:$D$22,0),MATCH(Z$3,'[1]salary allocation'!$E$3:$J$3,0)),0)</f>
        <v>0</v>
      </c>
      <c r="AA59" s="15">
        <f>-$K59*IFERROR(INDEX('[1]salary allocation'!$E$6:$J$22,MATCH($H59,'[1]salary allocation'!$D$6:$D$22,0),MATCH(AA$3,'[1]salary allocation'!$E$3:$J$3,0)),0)</f>
        <v>0</v>
      </c>
      <c r="AB59" s="15">
        <f>-$K59*IFERROR(INDEX('[1]salary allocation'!$E$6:$J$22,MATCH($H59,'[1]salary allocation'!$D$6:$D$22,0),MATCH(AB$3,'[1]salary allocation'!$E$3:$J$3,0)),0)</f>
        <v>0</v>
      </c>
      <c r="AC59" s="18">
        <f>-$K59*IFERROR(INDEX('[1]salary allocation'!$E$6:$J$22,MATCH($H59,'[1]salary allocation'!$D$6:$D$22,0),MATCH(AC$3,'[1]salary allocation'!$E$3:$J$3,0)),0)</f>
        <v>0</v>
      </c>
      <c r="AD59" s="17"/>
      <c r="AE59" s="16"/>
      <c r="AF59" s="15">
        <f>-$K59</f>
        <v>15013680</v>
      </c>
      <c r="AG59" s="15"/>
      <c r="AH59" s="2">
        <f>K59+SUM(O59:AC59)</f>
        <v>0</v>
      </c>
      <c r="AI59" s="2">
        <f>K59+SUM(AF59:AG59)</f>
        <v>0</v>
      </c>
    </row>
    <row r="60" spans="1:35" x14ac:dyDescent="0.2">
      <c r="A60" s="69" t="s">
        <v>3</v>
      </c>
      <c r="B60" s="69" t="s">
        <v>531</v>
      </c>
      <c r="C60" s="69">
        <v>0</v>
      </c>
      <c r="D60" s="69" t="s">
        <v>796</v>
      </c>
      <c r="E60" s="69" t="s">
        <v>795</v>
      </c>
      <c r="F60" s="69" t="s">
        <v>794</v>
      </c>
      <c r="G60" s="69"/>
      <c r="H60" s="69" t="s">
        <v>37</v>
      </c>
      <c r="I60" s="69" t="s">
        <v>757</v>
      </c>
      <c r="J60" s="69" t="s">
        <v>793</v>
      </c>
      <c r="K60" s="70">
        <v>-13242048</v>
      </c>
      <c r="L60" s="46">
        <v>12025</v>
      </c>
      <c r="M60" s="42" t="str">
        <f>LEFT(I60,(LEN(LEFT(I60,FIND(";",I60)))-8))</f>
        <v>VNOther</v>
      </c>
      <c r="N60" s="42" t="s">
        <v>138</v>
      </c>
      <c r="O60" s="15">
        <f>-$K60*IFERROR(INDEX('[1]salary allocation'!$E$6:$J$22,MATCH($H60,'[1]salary allocation'!$D$6:$D$22,0),MATCH(O$3,'[1]salary allocation'!$E$3:$J$3,0)),0)</f>
        <v>0</v>
      </c>
      <c r="P60" s="15">
        <f>-$K60*IFERROR(INDEX('[1]salary allocation'!$E$6:$J$22,MATCH($H60,'[1]salary allocation'!$D$6:$D$22,0),MATCH(P$3,'[1]salary allocation'!$E$3:$J$3,0)),0)</f>
        <v>1986307.2</v>
      </c>
      <c r="Q60" s="15">
        <f>-$K60*IFERROR(INDEX('[1]salary allocation'!$E$6:$J$22,MATCH($H60,'[1]salary allocation'!$D$6:$D$22,0),MATCH(Q$3,'[1]salary allocation'!$E$3:$J$3,0)),0)</f>
        <v>0</v>
      </c>
      <c r="R60" s="15">
        <f>-$K60*IFERROR(INDEX('[1]salary allocation'!$E$6:$J$22,MATCH($H60,'[1]salary allocation'!$D$6:$D$22,0),MATCH(R$3,'[1]salary allocation'!$E$3:$J$3,0)),0)</f>
        <v>0</v>
      </c>
      <c r="S60" s="15">
        <f>-$K60*IFERROR(INDEX('[1]salary allocation'!$E$6:$J$22,MATCH($H60,'[1]salary allocation'!$D$6:$D$22,0),MATCH(S$3,'[1]salary allocation'!$E$3:$J$3,0)),0)</f>
        <v>2251148.1599999997</v>
      </c>
      <c r="T60" s="15">
        <f>-$K60*IFERROR(INDEX('[1]salary allocation'!$E$6:$J$22,MATCH($H60,'[1]salary allocation'!$D$6:$D$22,0),MATCH(T$3,'[1]salary allocation'!$E$3:$J$3,0)),0)</f>
        <v>2251148.1599999997</v>
      </c>
      <c r="U60" s="15">
        <f>-$K60*IFERROR(INDEX('[1]salary allocation'!$E$6:$J$22,MATCH($H60,'[1]salary allocation'!$D$6:$D$22,0),MATCH(U$3,'[1]salary allocation'!$E$3:$J$3,0)),0)</f>
        <v>2251148.1599999997</v>
      </c>
      <c r="V60" s="15">
        <f>-$K60*IFERROR(INDEX('[1]salary allocation'!$E$6:$J$22,MATCH($H60,'[1]salary allocation'!$D$6:$D$22,0),MATCH(V$3,'[1]salary allocation'!$E$3:$J$3,0)),0)</f>
        <v>0</v>
      </c>
      <c r="W60" s="15">
        <f>-$K60*IFERROR(INDEX('[1]salary allocation'!$E$6:$J$22,MATCH($H60,'[1]salary allocation'!$D$6:$D$22,0),MATCH(W$3,'[1]salary allocation'!$E$3:$J$3,0)),0)</f>
        <v>4502296.3199999994</v>
      </c>
      <c r="X60" s="15">
        <f>-$K60*IFERROR(INDEX('[1]salary allocation'!$E$6:$J$22,MATCH($H60,'[1]salary allocation'!$D$6:$D$22,0),MATCH(X$3,'[1]salary allocation'!$E$3:$J$3,0)),0)</f>
        <v>0</v>
      </c>
      <c r="Y60" s="15">
        <f>-$K60*IFERROR(INDEX('[1]salary allocation'!$E$6:$J$22,MATCH($H60,'[1]salary allocation'!$D$6:$D$22,0),MATCH(Y$3,'[1]salary allocation'!$E$3:$J$3,0)),0)</f>
        <v>0</v>
      </c>
      <c r="Z60" s="15">
        <f>-$K60*IFERROR(INDEX('[1]salary allocation'!$E$6:$J$22,MATCH($H60,'[1]salary allocation'!$D$6:$D$22,0),MATCH(Z$3,'[1]salary allocation'!$E$3:$J$3,0)),0)</f>
        <v>0</v>
      </c>
      <c r="AA60" s="15">
        <f>-$K60*IFERROR(INDEX('[1]salary allocation'!$E$6:$J$22,MATCH($H60,'[1]salary allocation'!$D$6:$D$22,0),MATCH(AA$3,'[1]salary allocation'!$E$3:$J$3,0)),0)</f>
        <v>0</v>
      </c>
      <c r="AB60" s="15">
        <f>-$K60*IFERROR(INDEX('[1]salary allocation'!$E$6:$J$22,MATCH($H60,'[1]salary allocation'!$D$6:$D$22,0),MATCH(AB$3,'[1]salary allocation'!$E$3:$J$3,0)),0)</f>
        <v>0</v>
      </c>
      <c r="AC60" s="18">
        <f>-$K60*IFERROR(INDEX('[1]salary allocation'!$E$6:$J$22,MATCH($H60,'[1]salary allocation'!$D$6:$D$22,0),MATCH(AC$3,'[1]salary allocation'!$E$3:$J$3,0)),0)</f>
        <v>0</v>
      </c>
      <c r="AD60" s="17"/>
      <c r="AE60" s="16"/>
      <c r="AF60" s="15">
        <f>-$K60</f>
        <v>13242048</v>
      </c>
      <c r="AG60" s="15"/>
      <c r="AH60" s="2">
        <f>K60+SUM(O60:AC60)</f>
        <v>0</v>
      </c>
      <c r="AI60" s="2">
        <f>K60+SUM(AF60:AG60)</f>
        <v>0</v>
      </c>
    </row>
    <row r="61" spans="1:35" x14ac:dyDescent="0.2">
      <c r="A61" s="69" t="s">
        <v>3</v>
      </c>
      <c r="B61" s="69" t="s">
        <v>531</v>
      </c>
      <c r="C61" s="69">
        <v>0</v>
      </c>
      <c r="D61" s="69" t="s">
        <v>796</v>
      </c>
      <c r="E61" s="69" t="s">
        <v>795</v>
      </c>
      <c r="F61" s="69" t="s">
        <v>794</v>
      </c>
      <c r="G61" s="69"/>
      <c r="H61" s="69" t="s">
        <v>35</v>
      </c>
      <c r="I61" s="69" t="s">
        <v>797</v>
      </c>
      <c r="J61" s="69" t="s">
        <v>793</v>
      </c>
      <c r="K61" s="70">
        <v>-15390494</v>
      </c>
      <c r="L61" s="46">
        <v>12025</v>
      </c>
      <c r="M61" s="42" t="str">
        <f>LEFT(I61,(LEN(LEFT(I61,FIND(";",I61)))-8))</f>
        <v>VNOther</v>
      </c>
      <c r="N61" s="42" t="s">
        <v>138</v>
      </c>
      <c r="O61" s="15">
        <f>-$K61*IFERROR(INDEX('[1]salary allocation'!$E$6:$J$22,MATCH($H61,'[1]salary allocation'!$D$6:$D$22,0),MATCH(O$3,'[1]salary allocation'!$E$3:$J$3,0)),0)</f>
        <v>0</v>
      </c>
      <c r="P61" s="15">
        <f>-$K61*IFERROR(INDEX('[1]salary allocation'!$E$6:$J$22,MATCH($H61,'[1]salary allocation'!$D$6:$D$22,0),MATCH(P$3,'[1]salary allocation'!$E$3:$J$3,0)),0)</f>
        <v>2308574.1</v>
      </c>
      <c r="Q61" s="15">
        <f>-$K61*IFERROR(INDEX('[1]salary allocation'!$E$6:$J$22,MATCH($H61,'[1]salary allocation'!$D$6:$D$22,0),MATCH(Q$3,'[1]salary allocation'!$E$3:$J$3,0)),0)</f>
        <v>0</v>
      </c>
      <c r="R61" s="15">
        <f>-$K61*IFERROR(INDEX('[1]salary allocation'!$E$6:$J$22,MATCH($H61,'[1]salary allocation'!$D$6:$D$22,0),MATCH(R$3,'[1]salary allocation'!$E$3:$J$3,0)),0)</f>
        <v>0</v>
      </c>
      <c r="S61" s="15">
        <f>-$K61*IFERROR(INDEX('[1]salary allocation'!$E$6:$J$22,MATCH($H61,'[1]salary allocation'!$D$6:$D$22,0),MATCH(S$3,'[1]salary allocation'!$E$3:$J$3,0)),0)</f>
        <v>2616383.98</v>
      </c>
      <c r="T61" s="15">
        <f>-$K61*IFERROR(INDEX('[1]salary allocation'!$E$6:$J$22,MATCH($H61,'[1]salary allocation'!$D$6:$D$22,0),MATCH(T$3,'[1]salary allocation'!$E$3:$J$3,0)),0)</f>
        <v>2616383.98</v>
      </c>
      <c r="U61" s="15">
        <f>-$K61*IFERROR(INDEX('[1]salary allocation'!$E$6:$J$22,MATCH($H61,'[1]salary allocation'!$D$6:$D$22,0),MATCH(U$3,'[1]salary allocation'!$E$3:$J$3,0)),0)</f>
        <v>2616383.98</v>
      </c>
      <c r="V61" s="15">
        <f>-$K61*IFERROR(INDEX('[1]salary allocation'!$E$6:$J$22,MATCH($H61,'[1]salary allocation'!$D$6:$D$22,0),MATCH(V$3,'[1]salary allocation'!$E$3:$J$3,0)),0)</f>
        <v>0</v>
      </c>
      <c r="W61" s="15">
        <f>-$K61*IFERROR(INDEX('[1]salary allocation'!$E$6:$J$22,MATCH($H61,'[1]salary allocation'!$D$6:$D$22,0),MATCH(W$3,'[1]salary allocation'!$E$3:$J$3,0)),0)</f>
        <v>5232767.96</v>
      </c>
      <c r="X61" s="15">
        <f>-$K61*IFERROR(INDEX('[1]salary allocation'!$E$6:$J$22,MATCH($H61,'[1]salary allocation'!$D$6:$D$22,0),MATCH(X$3,'[1]salary allocation'!$E$3:$J$3,0)),0)</f>
        <v>0</v>
      </c>
      <c r="Y61" s="15">
        <f>-$K61*IFERROR(INDEX('[1]salary allocation'!$E$6:$J$22,MATCH($H61,'[1]salary allocation'!$D$6:$D$22,0),MATCH(Y$3,'[1]salary allocation'!$E$3:$J$3,0)),0)</f>
        <v>0</v>
      </c>
      <c r="Z61" s="15">
        <f>-$K61*IFERROR(INDEX('[1]salary allocation'!$E$6:$J$22,MATCH($H61,'[1]salary allocation'!$D$6:$D$22,0),MATCH(Z$3,'[1]salary allocation'!$E$3:$J$3,0)),0)</f>
        <v>0</v>
      </c>
      <c r="AA61" s="15">
        <f>-$K61*IFERROR(INDEX('[1]salary allocation'!$E$6:$J$22,MATCH($H61,'[1]salary allocation'!$D$6:$D$22,0),MATCH(AA$3,'[1]salary allocation'!$E$3:$J$3,0)),0)</f>
        <v>0</v>
      </c>
      <c r="AB61" s="15">
        <f>-$K61*IFERROR(INDEX('[1]salary allocation'!$E$6:$J$22,MATCH($H61,'[1]salary allocation'!$D$6:$D$22,0),MATCH(AB$3,'[1]salary allocation'!$E$3:$J$3,0)),0)</f>
        <v>0</v>
      </c>
      <c r="AC61" s="18">
        <f>-$K61*IFERROR(INDEX('[1]salary allocation'!$E$6:$J$22,MATCH($H61,'[1]salary allocation'!$D$6:$D$22,0),MATCH(AC$3,'[1]salary allocation'!$E$3:$J$3,0)),0)</f>
        <v>0</v>
      </c>
      <c r="AD61" s="17"/>
      <c r="AE61" s="16"/>
      <c r="AF61" s="15">
        <f>-$K61</f>
        <v>15390494</v>
      </c>
      <c r="AG61" s="15"/>
      <c r="AH61" s="2">
        <f>K61+SUM(O61:AC61)</f>
        <v>0</v>
      </c>
      <c r="AI61" s="2">
        <f>K61+SUM(AF61:AG61)</f>
        <v>0</v>
      </c>
    </row>
    <row r="62" spans="1:35" x14ac:dyDescent="0.2">
      <c r="A62" s="69" t="s">
        <v>3</v>
      </c>
      <c r="B62" s="69" t="s">
        <v>531</v>
      </c>
      <c r="C62" s="69">
        <v>0</v>
      </c>
      <c r="D62" s="69" t="s">
        <v>796</v>
      </c>
      <c r="E62" s="69" t="s">
        <v>795</v>
      </c>
      <c r="F62" s="69" t="s">
        <v>794</v>
      </c>
      <c r="G62" s="69"/>
      <c r="H62" s="69" t="s">
        <v>121</v>
      </c>
      <c r="I62" s="69" t="s">
        <v>755</v>
      </c>
      <c r="J62" s="69" t="s">
        <v>793</v>
      </c>
      <c r="K62" s="70">
        <v>-4308352</v>
      </c>
      <c r="L62" s="46">
        <v>12025</v>
      </c>
      <c r="M62" s="42" t="str">
        <f>LEFT(I62,(LEN(LEFT(I62,FIND(";",I62)))-8))</f>
        <v>VNLA</v>
      </c>
      <c r="N62" s="42" t="s">
        <v>138</v>
      </c>
      <c r="O62" s="2">
        <f>IF($M62=O$3,-$K62,0)</f>
        <v>0</v>
      </c>
      <c r="P62" s="2">
        <f>IF($M62=P$3,-$K62,0)</f>
        <v>0</v>
      </c>
      <c r="Q62" s="2">
        <f>IF($M62=Q$3,-$K62,0)</f>
        <v>0</v>
      </c>
      <c r="R62" s="2">
        <f>IF($M62=R$3,-$K62,0)</f>
        <v>0</v>
      </c>
      <c r="S62" s="2">
        <f>IF($M62=S$3,-$K62,0)</f>
        <v>0</v>
      </c>
      <c r="T62" s="2">
        <f>IF($M62=T$3,-$K62,0)</f>
        <v>0</v>
      </c>
      <c r="U62" s="2">
        <f>IF($M62=U$3,-$K62,0)</f>
        <v>0</v>
      </c>
      <c r="V62" s="2">
        <f>IF($M62=V$3,-$K62,0)</f>
        <v>0</v>
      </c>
      <c r="W62" s="2">
        <f>IF($M62=W$3,-$K62,0)</f>
        <v>0</v>
      </c>
      <c r="X62" s="2">
        <f>IF($M62=X$3,-$K62,0)</f>
        <v>4308352</v>
      </c>
      <c r="Y62" s="2">
        <f>IF($M62=Y$3,-$K62,0)</f>
        <v>0</v>
      </c>
      <c r="Z62" s="2">
        <f>IF($M62=Z$3,-$K62,0)</f>
        <v>0</v>
      </c>
      <c r="AA62" s="2">
        <f>IF($M62=AA$3,-$K62,0)</f>
        <v>0</v>
      </c>
      <c r="AB62" s="2">
        <f>IF($M62=AB$3,-$K62,0)</f>
        <v>0</v>
      </c>
      <c r="AC62" s="21">
        <f>IF($M62=AC$3,-$K62,0)</f>
        <v>0</v>
      </c>
      <c r="AD62" s="20"/>
      <c r="AE62" s="19"/>
      <c r="AF62" s="2"/>
      <c r="AG62" s="2">
        <f>-$K62</f>
        <v>4308352</v>
      </c>
      <c r="AH62" s="2">
        <f>K62+SUM(O62:AC62)</f>
        <v>0</v>
      </c>
      <c r="AI62" s="2">
        <f>K62+SUM(AF62:AG62)</f>
        <v>0</v>
      </c>
    </row>
    <row r="63" spans="1:35" x14ac:dyDescent="0.2">
      <c r="A63" s="69" t="s">
        <v>3</v>
      </c>
      <c r="B63" s="69" t="s">
        <v>531</v>
      </c>
      <c r="C63" s="69">
        <v>0</v>
      </c>
      <c r="D63" s="69" t="s">
        <v>796</v>
      </c>
      <c r="E63" s="69" t="s">
        <v>795</v>
      </c>
      <c r="F63" s="69" t="s">
        <v>794</v>
      </c>
      <c r="G63" s="69"/>
      <c r="H63" s="69" t="s">
        <v>33</v>
      </c>
      <c r="I63" s="69" t="s">
        <v>754</v>
      </c>
      <c r="J63" s="69" t="s">
        <v>793</v>
      </c>
      <c r="K63" s="70">
        <v>-3984832</v>
      </c>
      <c r="L63" s="46">
        <v>12025</v>
      </c>
      <c r="M63" s="42" t="str">
        <f>LEFT(I63,(LEN(LEFT(I63,FIND(";",I63)))-8))</f>
        <v>VNDN</v>
      </c>
      <c r="N63" s="42" t="s">
        <v>138</v>
      </c>
      <c r="O63" s="2">
        <f>IF($M63=O$3,-$K63,0)</f>
        <v>0</v>
      </c>
      <c r="P63" s="2">
        <f>IF($M63=P$3,-$K63,0)</f>
        <v>0</v>
      </c>
      <c r="Q63" s="2">
        <f>IF($M63=Q$3,-$K63,0)</f>
        <v>0</v>
      </c>
      <c r="R63" s="2">
        <f>IF($M63=R$3,-$K63,0)</f>
        <v>0</v>
      </c>
      <c r="S63" s="2">
        <f>IF($M63=S$3,-$K63,0)</f>
        <v>3984832</v>
      </c>
      <c r="T63" s="2">
        <f>IF($M63=T$3,-$K63,0)</f>
        <v>0</v>
      </c>
      <c r="U63" s="2">
        <f>IF($M63=U$3,-$K63,0)</f>
        <v>0</v>
      </c>
      <c r="V63" s="2">
        <f>IF($M63=V$3,-$K63,0)</f>
        <v>0</v>
      </c>
      <c r="W63" s="2">
        <f>IF($M63=W$3,-$K63,0)</f>
        <v>0</v>
      </c>
      <c r="X63" s="2">
        <f>IF($M63=X$3,-$K63,0)</f>
        <v>0</v>
      </c>
      <c r="Y63" s="2">
        <f>IF($M63=Y$3,-$K63,0)</f>
        <v>0</v>
      </c>
      <c r="Z63" s="2">
        <f>IF($M63=Z$3,-$K63,0)</f>
        <v>0</v>
      </c>
      <c r="AA63" s="2">
        <f>IF($M63=AA$3,-$K63,0)</f>
        <v>0</v>
      </c>
      <c r="AB63" s="2">
        <f>IF($M63=AB$3,-$K63,0)</f>
        <v>0</v>
      </c>
      <c r="AC63" s="21">
        <f>IF($M63=AC$3,-$K63,0)</f>
        <v>0</v>
      </c>
      <c r="AD63" s="20"/>
      <c r="AE63" s="19"/>
      <c r="AF63" s="2"/>
      <c r="AG63" s="2">
        <f>-$K63</f>
        <v>3984832</v>
      </c>
      <c r="AH63" s="2">
        <f>K63+SUM(O63:AC63)</f>
        <v>0</v>
      </c>
      <c r="AI63" s="2">
        <f>K63+SUM(AF63:AG63)</f>
        <v>0</v>
      </c>
    </row>
    <row r="64" spans="1:35" x14ac:dyDescent="0.2">
      <c r="A64" s="69" t="s">
        <v>3</v>
      </c>
      <c r="B64" s="69" t="s">
        <v>531</v>
      </c>
      <c r="C64" s="69">
        <v>0</v>
      </c>
      <c r="D64" s="69" t="s">
        <v>796</v>
      </c>
      <c r="E64" s="69" t="s">
        <v>795</v>
      </c>
      <c r="F64" s="69" t="s">
        <v>794</v>
      </c>
      <c r="G64" s="69"/>
      <c r="H64" s="69" t="s">
        <v>31</v>
      </c>
      <c r="I64" s="69" t="s">
        <v>753</v>
      </c>
      <c r="J64" s="69" t="s">
        <v>793</v>
      </c>
      <c r="K64" s="70">
        <v>-5064512</v>
      </c>
      <c r="L64" s="46">
        <v>12025</v>
      </c>
      <c r="M64" s="42" t="str">
        <f>LEFT(I64,(LEN(LEFT(I64,FIND(";",I64)))-8))</f>
        <v>VNDN</v>
      </c>
      <c r="N64" s="42" t="s">
        <v>138</v>
      </c>
      <c r="O64" s="2">
        <f>IF($M64=O$3,-$K64,0)</f>
        <v>0</v>
      </c>
      <c r="P64" s="2">
        <f>IF($M64=P$3,-$K64,0)</f>
        <v>0</v>
      </c>
      <c r="Q64" s="2">
        <f>IF($M64=Q$3,-$K64,0)</f>
        <v>0</v>
      </c>
      <c r="R64" s="2">
        <f>IF($M64=R$3,-$K64,0)</f>
        <v>0</v>
      </c>
      <c r="S64" s="2">
        <f>IF($M64=S$3,-$K64,0)</f>
        <v>5064512</v>
      </c>
      <c r="T64" s="2">
        <f>IF($M64=T$3,-$K64,0)</f>
        <v>0</v>
      </c>
      <c r="U64" s="2">
        <f>IF($M64=U$3,-$K64,0)</f>
        <v>0</v>
      </c>
      <c r="V64" s="2">
        <f>IF($M64=V$3,-$K64,0)</f>
        <v>0</v>
      </c>
      <c r="W64" s="2">
        <f>IF($M64=W$3,-$K64,0)</f>
        <v>0</v>
      </c>
      <c r="X64" s="2">
        <f>IF($M64=X$3,-$K64,0)</f>
        <v>0</v>
      </c>
      <c r="Y64" s="2">
        <f>IF($M64=Y$3,-$K64,0)</f>
        <v>0</v>
      </c>
      <c r="Z64" s="2">
        <f>IF($M64=Z$3,-$K64,0)</f>
        <v>0</v>
      </c>
      <c r="AA64" s="2">
        <f>IF($M64=AA$3,-$K64,0)</f>
        <v>0</v>
      </c>
      <c r="AB64" s="2">
        <f>IF($M64=AB$3,-$K64,0)</f>
        <v>0</v>
      </c>
      <c r="AC64" s="21">
        <f>IF($M64=AC$3,-$K64,0)</f>
        <v>0</v>
      </c>
      <c r="AD64" s="20"/>
      <c r="AE64" s="19"/>
      <c r="AF64" s="2"/>
      <c r="AG64" s="2">
        <f>-$K64</f>
        <v>5064512</v>
      </c>
      <c r="AH64" s="2">
        <f>K64+SUM(O64:AC64)</f>
        <v>0</v>
      </c>
      <c r="AI64" s="2">
        <f>K64+SUM(AF64:AG64)</f>
        <v>0</v>
      </c>
    </row>
    <row r="65" spans="1:35" x14ac:dyDescent="0.2">
      <c r="A65" s="69" t="s">
        <v>3</v>
      </c>
      <c r="B65" s="69" t="s">
        <v>531</v>
      </c>
      <c r="C65" s="69">
        <v>0</v>
      </c>
      <c r="D65" s="69" t="s">
        <v>796</v>
      </c>
      <c r="E65" s="69" t="s">
        <v>795</v>
      </c>
      <c r="F65" s="69" t="s">
        <v>794</v>
      </c>
      <c r="G65" s="69"/>
      <c r="H65" s="69" t="s">
        <v>29</v>
      </c>
      <c r="I65" s="69" t="s">
        <v>752</v>
      </c>
      <c r="J65" s="69" t="s">
        <v>793</v>
      </c>
      <c r="K65" s="70">
        <v>-6516352</v>
      </c>
      <c r="L65" s="46">
        <v>12025</v>
      </c>
      <c r="M65" s="42" t="str">
        <f>LEFT(I65,(LEN(LEFT(I65,FIND(";",I65)))-8))</f>
        <v>VNDN</v>
      </c>
      <c r="N65" s="42" t="s">
        <v>138</v>
      </c>
      <c r="O65" s="2">
        <f>IF($M65=O$3,-$K65,0)</f>
        <v>0</v>
      </c>
      <c r="P65" s="2">
        <f>IF($M65=P$3,-$K65,0)</f>
        <v>0</v>
      </c>
      <c r="Q65" s="2">
        <f>IF($M65=Q$3,-$K65,0)</f>
        <v>0</v>
      </c>
      <c r="R65" s="2">
        <f>IF($M65=R$3,-$K65,0)</f>
        <v>0</v>
      </c>
      <c r="S65" s="2">
        <f>IF($M65=S$3,-$K65,0)</f>
        <v>6516352</v>
      </c>
      <c r="T65" s="2">
        <f>IF($M65=T$3,-$K65,0)</f>
        <v>0</v>
      </c>
      <c r="U65" s="2">
        <f>IF($M65=U$3,-$K65,0)</f>
        <v>0</v>
      </c>
      <c r="V65" s="2">
        <f>IF($M65=V$3,-$K65,0)</f>
        <v>0</v>
      </c>
      <c r="W65" s="2">
        <f>IF($M65=W$3,-$K65,0)</f>
        <v>0</v>
      </c>
      <c r="X65" s="2">
        <f>IF($M65=X$3,-$K65,0)</f>
        <v>0</v>
      </c>
      <c r="Y65" s="2">
        <f>IF($M65=Y$3,-$K65,0)</f>
        <v>0</v>
      </c>
      <c r="Z65" s="2">
        <f>IF($M65=Z$3,-$K65,0)</f>
        <v>0</v>
      </c>
      <c r="AA65" s="2">
        <f>IF($M65=AA$3,-$K65,0)</f>
        <v>0</v>
      </c>
      <c r="AB65" s="2">
        <f>IF($M65=AB$3,-$K65,0)</f>
        <v>0</v>
      </c>
      <c r="AC65" s="21">
        <f>IF($M65=AC$3,-$K65,0)</f>
        <v>0</v>
      </c>
      <c r="AD65" s="20"/>
      <c r="AE65" s="19"/>
      <c r="AF65" s="2"/>
      <c r="AG65" s="2">
        <f>-$K65</f>
        <v>6516352</v>
      </c>
      <c r="AH65" s="2">
        <f>K65+SUM(O65:AC65)</f>
        <v>0</v>
      </c>
      <c r="AI65" s="2">
        <f>K65+SUM(AF65:AG65)</f>
        <v>0</v>
      </c>
    </row>
    <row r="66" spans="1:35" x14ac:dyDescent="0.2">
      <c r="A66" s="69" t="s">
        <v>3</v>
      </c>
      <c r="B66" s="69" t="s">
        <v>531</v>
      </c>
      <c r="C66" s="69">
        <v>0</v>
      </c>
      <c r="D66" s="69" t="s">
        <v>796</v>
      </c>
      <c r="E66" s="69" t="s">
        <v>795</v>
      </c>
      <c r="F66" s="69" t="s">
        <v>794</v>
      </c>
      <c r="G66" s="69"/>
      <c r="H66" s="69" t="s">
        <v>27</v>
      </c>
      <c r="I66" s="69" t="s">
        <v>751</v>
      </c>
      <c r="J66" s="69" t="s">
        <v>793</v>
      </c>
      <c r="K66" s="70">
        <v>-4564352</v>
      </c>
      <c r="L66" s="46">
        <v>12025</v>
      </c>
      <c r="M66" s="42" t="str">
        <f>LEFT(I66,(LEN(LEFT(I66,FIND(";",I66)))-8))</f>
        <v>VNDN</v>
      </c>
      <c r="N66" s="42" t="s">
        <v>138</v>
      </c>
      <c r="O66" s="2">
        <f>IF($M66=O$3,-$K66,0)</f>
        <v>0</v>
      </c>
      <c r="P66" s="2">
        <f>IF($M66=P$3,-$K66,0)</f>
        <v>0</v>
      </c>
      <c r="Q66" s="2">
        <f>IF($M66=Q$3,-$K66,0)</f>
        <v>0</v>
      </c>
      <c r="R66" s="2">
        <f>IF($M66=R$3,-$K66,0)</f>
        <v>0</v>
      </c>
      <c r="S66" s="2">
        <f>IF($M66=S$3,-$K66,0)</f>
        <v>4564352</v>
      </c>
      <c r="T66" s="2">
        <f>IF($M66=T$3,-$K66,0)</f>
        <v>0</v>
      </c>
      <c r="U66" s="2">
        <f>IF($M66=U$3,-$K66,0)</f>
        <v>0</v>
      </c>
      <c r="V66" s="2">
        <f>IF($M66=V$3,-$K66,0)</f>
        <v>0</v>
      </c>
      <c r="W66" s="2">
        <f>IF($M66=W$3,-$K66,0)</f>
        <v>0</v>
      </c>
      <c r="X66" s="2">
        <f>IF($M66=X$3,-$K66,0)</f>
        <v>0</v>
      </c>
      <c r="Y66" s="2">
        <f>IF($M66=Y$3,-$K66,0)</f>
        <v>0</v>
      </c>
      <c r="Z66" s="2">
        <f>IF($M66=Z$3,-$K66,0)</f>
        <v>0</v>
      </c>
      <c r="AA66" s="2">
        <f>IF($M66=AA$3,-$K66,0)</f>
        <v>0</v>
      </c>
      <c r="AB66" s="2">
        <f>IF($M66=AB$3,-$K66,0)</f>
        <v>0</v>
      </c>
      <c r="AC66" s="21">
        <f>IF($M66=AC$3,-$K66,0)</f>
        <v>0</v>
      </c>
      <c r="AD66" s="20"/>
      <c r="AE66" s="19"/>
      <c r="AF66" s="2"/>
      <c r="AG66" s="2">
        <f>-$K66</f>
        <v>4564352</v>
      </c>
      <c r="AH66" s="2">
        <f>K66+SUM(O66:AC66)</f>
        <v>0</v>
      </c>
      <c r="AI66" s="2">
        <f>K66+SUM(AF66:AG66)</f>
        <v>0</v>
      </c>
    </row>
    <row r="67" spans="1:35" x14ac:dyDescent="0.2">
      <c r="A67" s="69" t="s">
        <v>3</v>
      </c>
      <c r="B67" s="69" t="s">
        <v>531</v>
      </c>
      <c r="C67" s="69">
        <v>0</v>
      </c>
      <c r="D67" s="69" t="s">
        <v>796</v>
      </c>
      <c r="E67" s="69" t="s">
        <v>795</v>
      </c>
      <c r="F67" s="69" t="s">
        <v>794</v>
      </c>
      <c r="G67" s="69"/>
      <c r="H67" s="69" t="s">
        <v>25</v>
      </c>
      <c r="I67" s="69" t="s">
        <v>750</v>
      </c>
      <c r="J67" s="69" t="s">
        <v>793</v>
      </c>
      <c r="K67" s="70">
        <v>-5039552</v>
      </c>
      <c r="L67" s="46">
        <v>12025</v>
      </c>
      <c r="M67" s="42" t="str">
        <f>LEFT(I67,(LEN(LEFT(I67,FIND(";",I67)))-8))</f>
        <v>VNQN</v>
      </c>
      <c r="N67" s="42" t="s">
        <v>138</v>
      </c>
      <c r="O67" s="2">
        <f>IF($M67=O$3,-$K67,0)</f>
        <v>0</v>
      </c>
      <c r="P67" s="2">
        <f>IF($M67=P$3,-$K67,0)</f>
        <v>0</v>
      </c>
      <c r="Q67" s="2">
        <f>IF($M67=Q$3,-$K67,0)</f>
        <v>0</v>
      </c>
      <c r="R67" s="2">
        <f>IF($M67=R$3,-$K67,0)</f>
        <v>0</v>
      </c>
      <c r="S67" s="2">
        <f>IF($M67=S$3,-$K67,0)</f>
        <v>0</v>
      </c>
      <c r="T67" s="2">
        <f>IF($M67=T$3,-$K67,0)</f>
        <v>5039552</v>
      </c>
      <c r="U67" s="2">
        <f>IF($M67=U$3,-$K67,0)</f>
        <v>0</v>
      </c>
      <c r="V67" s="2">
        <f>IF($M67=V$3,-$K67,0)</f>
        <v>0</v>
      </c>
      <c r="W67" s="2">
        <f>IF($M67=W$3,-$K67,0)</f>
        <v>0</v>
      </c>
      <c r="X67" s="2">
        <f>IF($M67=X$3,-$K67,0)</f>
        <v>0</v>
      </c>
      <c r="Y67" s="2">
        <f>IF($M67=Y$3,-$K67,0)</f>
        <v>0</v>
      </c>
      <c r="Z67" s="2">
        <f>IF($M67=Z$3,-$K67,0)</f>
        <v>0</v>
      </c>
      <c r="AA67" s="2">
        <f>IF($M67=AA$3,-$K67,0)</f>
        <v>0</v>
      </c>
      <c r="AB67" s="2">
        <f>IF($M67=AB$3,-$K67,0)</f>
        <v>0</v>
      </c>
      <c r="AC67" s="21">
        <f>IF($M67=AC$3,-$K67,0)</f>
        <v>0</v>
      </c>
      <c r="AD67" s="20"/>
      <c r="AE67" s="19"/>
      <c r="AF67" s="2"/>
      <c r="AG67" s="2">
        <f>-$K67</f>
        <v>5039552</v>
      </c>
      <c r="AH67" s="2">
        <f>K67+SUM(O67:AC67)</f>
        <v>0</v>
      </c>
      <c r="AI67" s="2">
        <f>K67+SUM(AF67:AG67)</f>
        <v>0</v>
      </c>
    </row>
    <row r="68" spans="1:35" x14ac:dyDescent="0.2">
      <c r="A68" s="69" t="s">
        <v>3</v>
      </c>
      <c r="B68" s="69" t="s">
        <v>531</v>
      </c>
      <c r="C68" s="69">
        <v>0</v>
      </c>
      <c r="D68" s="69" t="s">
        <v>796</v>
      </c>
      <c r="E68" s="69" t="s">
        <v>795</v>
      </c>
      <c r="F68" s="69" t="s">
        <v>794</v>
      </c>
      <c r="G68" s="69"/>
      <c r="H68" s="69" t="s">
        <v>81</v>
      </c>
      <c r="I68" s="69" t="s">
        <v>749</v>
      </c>
      <c r="J68" s="69" t="s">
        <v>793</v>
      </c>
      <c r="K68" s="70">
        <v>-4069952</v>
      </c>
      <c r="L68" s="46">
        <v>12025</v>
      </c>
      <c r="M68" s="42" t="str">
        <f>LEFT(I68,(LEN(LEFT(I68,FIND(";",I68)))-8))</f>
        <v>VNQN</v>
      </c>
      <c r="N68" s="42" t="s">
        <v>138</v>
      </c>
      <c r="O68" s="2">
        <f>IF($M68=O$3,-$K68,0)</f>
        <v>0</v>
      </c>
      <c r="P68" s="2">
        <f>IF($M68=P$3,-$K68,0)</f>
        <v>0</v>
      </c>
      <c r="Q68" s="2">
        <f>IF($M68=Q$3,-$K68,0)</f>
        <v>0</v>
      </c>
      <c r="R68" s="2">
        <f>IF($M68=R$3,-$K68,0)</f>
        <v>0</v>
      </c>
      <c r="S68" s="2">
        <f>IF($M68=S$3,-$K68,0)</f>
        <v>0</v>
      </c>
      <c r="T68" s="2">
        <f>IF($M68=T$3,-$K68,0)</f>
        <v>4069952</v>
      </c>
      <c r="U68" s="2">
        <f>IF($M68=U$3,-$K68,0)</f>
        <v>0</v>
      </c>
      <c r="V68" s="2">
        <f>IF($M68=V$3,-$K68,0)</f>
        <v>0</v>
      </c>
      <c r="W68" s="2">
        <f>IF($M68=W$3,-$K68,0)</f>
        <v>0</v>
      </c>
      <c r="X68" s="2">
        <f>IF($M68=X$3,-$K68,0)</f>
        <v>0</v>
      </c>
      <c r="Y68" s="2">
        <f>IF($M68=Y$3,-$K68,0)</f>
        <v>0</v>
      </c>
      <c r="Z68" s="2">
        <f>IF($M68=Z$3,-$K68,0)</f>
        <v>0</v>
      </c>
      <c r="AA68" s="2">
        <f>IF($M68=AA$3,-$K68,0)</f>
        <v>0</v>
      </c>
      <c r="AB68" s="2">
        <f>IF($M68=AB$3,-$K68,0)</f>
        <v>0</v>
      </c>
      <c r="AC68" s="21">
        <f>IF($M68=AC$3,-$K68,0)</f>
        <v>0</v>
      </c>
      <c r="AD68" s="20"/>
      <c r="AE68" s="19"/>
      <c r="AF68" s="2"/>
      <c r="AG68" s="2">
        <f>-$K68</f>
        <v>4069952</v>
      </c>
      <c r="AH68" s="2">
        <f>K68+SUM(O68:AC68)</f>
        <v>0</v>
      </c>
      <c r="AI68" s="2">
        <f>K68+SUM(AF68:AG68)</f>
        <v>0</v>
      </c>
    </row>
    <row r="69" spans="1:35" x14ac:dyDescent="0.2">
      <c r="A69" s="69" t="s">
        <v>3</v>
      </c>
      <c r="B69" s="69" t="s">
        <v>531</v>
      </c>
      <c r="C69" s="69">
        <v>0</v>
      </c>
      <c r="D69" s="69" t="s">
        <v>796</v>
      </c>
      <c r="E69" s="69" t="s">
        <v>795</v>
      </c>
      <c r="F69" s="69" t="s">
        <v>794</v>
      </c>
      <c r="G69" s="69"/>
      <c r="H69" s="69" t="s">
        <v>23</v>
      </c>
      <c r="I69" s="69" t="s">
        <v>748</v>
      </c>
      <c r="J69" s="69" t="s">
        <v>793</v>
      </c>
      <c r="K69" s="70">
        <v>-4069952</v>
      </c>
      <c r="L69" s="46">
        <v>12025</v>
      </c>
      <c r="M69" s="42" t="str">
        <f>LEFT(I69,(LEN(LEFT(I69,FIND(";",I69)))-8))</f>
        <v>VNHD</v>
      </c>
      <c r="N69" s="42" t="s">
        <v>138</v>
      </c>
      <c r="O69" s="2">
        <f>IF($M69=O$3,-$K69,0)</f>
        <v>0</v>
      </c>
      <c r="P69" s="2">
        <f>IF($M69=P$3,-$K69,0)</f>
        <v>0</v>
      </c>
      <c r="Q69" s="2">
        <f>IF($M69=Q$3,-$K69,0)</f>
        <v>0</v>
      </c>
      <c r="R69" s="2">
        <f>IF($M69=R$3,-$K69,0)</f>
        <v>0</v>
      </c>
      <c r="S69" s="2">
        <f>IF($M69=S$3,-$K69,0)</f>
        <v>0</v>
      </c>
      <c r="T69" s="2">
        <f>IF($M69=T$3,-$K69,0)</f>
        <v>0</v>
      </c>
      <c r="U69" s="2">
        <f>IF($M69=U$3,-$K69,0)</f>
        <v>4069952</v>
      </c>
      <c r="V69" s="2">
        <f>IF($M69=V$3,-$K69,0)</f>
        <v>0</v>
      </c>
      <c r="W69" s="2">
        <f>IF($M69=W$3,-$K69,0)</f>
        <v>0</v>
      </c>
      <c r="X69" s="2">
        <f>IF($M69=X$3,-$K69,0)</f>
        <v>0</v>
      </c>
      <c r="Y69" s="2">
        <f>IF($M69=Y$3,-$K69,0)</f>
        <v>0</v>
      </c>
      <c r="Z69" s="2">
        <f>IF($M69=Z$3,-$K69,0)</f>
        <v>0</v>
      </c>
      <c r="AA69" s="2">
        <f>IF($M69=AA$3,-$K69,0)</f>
        <v>0</v>
      </c>
      <c r="AB69" s="2">
        <f>IF($M69=AB$3,-$K69,0)</f>
        <v>0</v>
      </c>
      <c r="AC69" s="21">
        <f>IF($M69=AC$3,-$K69,0)</f>
        <v>0</v>
      </c>
      <c r="AD69" s="20"/>
      <c r="AE69" s="19"/>
      <c r="AF69" s="2"/>
      <c r="AG69" s="2">
        <f>-$K69</f>
        <v>4069952</v>
      </c>
      <c r="AH69" s="2">
        <f>K69+SUM(O69:AC69)</f>
        <v>0</v>
      </c>
      <c r="AI69" s="2">
        <f>K69+SUM(AF69:AG69)</f>
        <v>0</v>
      </c>
    </row>
    <row r="70" spans="1:35" x14ac:dyDescent="0.2">
      <c r="A70" s="69" t="s">
        <v>3</v>
      </c>
      <c r="B70" s="69" t="s">
        <v>531</v>
      </c>
      <c r="C70" s="69">
        <v>0</v>
      </c>
      <c r="D70" s="69" t="s">
        <v>796</v>
      </c>
      <c r="E70" s="69" t="s">
        <v>795</v>
      </c>
      <c r="F70" s="69" t="s">
        <v>794</v>
      </c>
      <c r="G70" s="69"/>
      <c r="H70" s="69" t="s">
        <v>21</v>
      </c>
      <c r="I70" s="69" t="s">
        <v>747</v>
      </c>
      <c r="J70" s="69" t="s">
        <v>793</v>
      </c>
      <c r="K70" s="70">
        <v>-4564352</v>
      </c>
      <c r="L70" s="46">
        <v>12025</v>
      </c>
      <c r="M70" s="42" t="str">
        <f>LEFT(I70,(LEN(LEFT(I70,FIND(";",I70)))-8))</f>
        <v>VNHCM</v>
      </c>
      <c r="N70" s="42" t="s">
        <v>138</v>
      </c>
      <c r="O70" s="2">
        <f>IF($M70=O$3,-$K70,0)</f>
        <v>0</v>
      </c>
      <c r="P70" s="2">
        <f>IF($M70=P$3,-$K70,0)</f>
        <v>0</v>
      </c>
      <c r="Q70" s="2">
        <f>IF($M70=Q$3,-$K70,0)</f>
        <v>0</v>
      </c>
      <c r="R70" s="2">
        <f>IF($M70=R$3,-$K70,0)</f>
        <v>0</v>
      </c>
      <c r="S70" s="2">
        <f>IF($M70=S$3,-$K70,0)</f>
        <v>0</v>
      </c>
      <c r="T70" s="2">
        <f>IF($M70=T$3,-$K70,0)</f>
        <v>0</v>
      </c>
      <c r="U70" s="2">
        <f>IF($M70=U$3,-$K70,0)</f>
        <v>0</v>
      </c>
      <c r="V70" s="2">
        <f>IF($M70=V$3,-$K70,0)</f>
        <v>0</v>
      </c>
      <c r="W70" s="2">
        <f>IF($M70=W$3,-$K70,0)</f>
        <v>0</v>
      </c>
      <c r="X70" s="2">
        <f>IF($M70=X$3,-$K70,0)</f>
        <v>0</v>
      </c>
      <c r="Y70" s="2">
        <f>IF($M70=Y$3,-$K70,0)</f>
        <v>4564352</v>
      </c>
      <c r="Z70" s="2">
        <f>IF($M70=Z$3,-$K70,0)</f>
        <v>0</v>
      </c>
      <c r="AA70" s="2">
        <f>IF($M70=AA$3,-$K70,0)</f>
        <v>0</v>
      </c>
      <c r="AB70" s="2">
        <f>IF($M70=AB$3,-$K70,0)</f>
        <v>0</v>
      </c>
      <c r="AC70" s="21">
        <f>IF($M70=AC$3,-$K70,0)</f>
        <v>0</v>
      </c>
      <c r="AD70" s="20"/>
      <c r="AE70" s="19"/>
      <c r="AF70" s="2"/>
      <c r="AG70" s="2">
        <f>-$K70</f>
        <v>4564352</v>
      </c>
      <c r="AH70" s="2">
        <f>K70+SUM(O70:AC70)</f>
        <v>0</v>
      </c>
      <c r="AI70" s="2">
        <f>K70+SUM(AF70:AG70)</f>
        <v>0</v>
      </c>
    </row>
    <row r="71" spans="1:35" x14ac:dyDescent="0.2">
      <c r="A71" s="69" t="s">
        <v>3</v>
      </c>
      <c r="B71" s="69" t="s">
        <v>531</v>
      </c>
      <c r="C71" s="69">
        <v>0</v>
      </c>
      <c r="D71" s="69" t="s">
        <v>796</v>
      </c>
      <c r="E71" s="69" t="s">
        <v>795</v>
      </c>
      <c r="F71" s="69" t="s">
        <v>794</v>
      </c>
      <c r="G71" s="69"/>
      <c r="H71" s="69" t="s">
        <v>19</v>
      </c>
      <c r="I71" s="69" t="s">
        <v>745</v>
      </c>
      <c r="J71" s="69" t="s">
        <v>793</v>
      </c>
      <c r="K71" s="70">
        <v>-4564352</v>
      </c>
      <c r="L71" s="46">
        <v>12025</v>
      </c>
      <c r="M71" s="42" t="str">
        <f>LEFT(I71,(LEN(LEFT(I71,FIND(";",I71)))-8))</f>
        <v>VNQN</v>
      </c>
      <c r="N71" s="42" t="s">
        <v>138</v>
      </c>
      <c r="O71" s="2">
        <f>IF($M71=O$3,-$K71,0)</f>
        <v>0</v>
      </c>
      <c r="P71" s="2">
        <f>IF($M71=P$3,-$K71,0)</f>
        <v>0</v>
      </c>
      <c r="Q71" s="2">
        <f>IF($M71=Q$3,-$K71,0)</f>
        <v>0</v>
      </c>
      <c r="R71" s="2">
        <f>IF($M71=R$3,-$K71,0)</f>
        <v>0</v>
      </c>
      <c r="S71" s="2">
        <f>IF($M71=S$3,-$K71,0)</f>
        <v>0</v>
      </c>
      <c r="T71" s="2">
        <f>IF($M71=T$3,-$K71,0)</f>
        <v>4564352</v>
      </c>
      <c r="U71" s="2">
        <f>IF($M71=U$3,-$K71,0)</f>
        <v>0</v>
      </c>
      <c r="V71" s="2">
        <f>IF($M71=V$3,-$K71,0)</f>
        <v>0</v>
      </c>
      <c r="W71" s="2">
        <f>IF($M71=W$3,-$K71,0)</f>
        <v>0</v>
      </c>
      <c r="X71" s="2">
        <f>IF($M71=X$3,-$K71,0)</f>
        <v>0</v>
      </c>
      <c r="Y71" s="2">
        <f>IF($M71=Y$3,-$K71,0)</f>
        <v>0</v>
      </c>
      <c r="Z71" s="2">
        <f>IF($M71=Z$3,-$K71,0)</f>
        <v>0</v>
      </c>
      <c r="AA71" s="2">
        <f>IF($M71=AA$3,-$K71,0)</f>
        <v>0</v>
      </c>
      <c r="AB71" s="2">
        <f>IF($M71=AB$3,-$K71,0)</f>
        <v>0</v>
      </c>
      <c r="AC71" s="21">
        <f>IF($M71=AC$3,-$K71,0)</f>
        <v>0</v>
      </c>
      <c r="AD71" s="20"/>
      <c r="AE71" s="19"/>
      <c r="AF71" s="2"/>
      <c r="AG71" s="2">
        <f>-$K71</f>
        <v>4564352</v>
      </c>
      <c r="AH71" s="2">
        <f>K71+SUM(O71:AC71)</f>
        <v>0</v>
      </c>
      <c r="AI71" s="2">
        <f>K71+SUM(AF71:AG71)</f>
        <v>0</v>
      </c>
    </row>
    <row r="72" spans="1:35" x14ac:dyDescent="0.2">
      <c r="A72" s="69" t="s">
        <v>3</v>
      </c>
      <c r="B72" s="69" t="s">
        <v>531</v>
      </c>
      <c r="H72" s="1" t="s">
        <v>153</v>
      </c>
      <c r="I72" s="1" t="s">
        <v>744</v>
      </c>
      <c r="K72" s="2">
        <v>-4244352</v>
      </c>
      <c r="L72" s="46">
        <v>12025</v>
      </c>
      <c r="M72" s="42" t="str">
        <f>LEFT(I72,(LEN(LEFT(I72,FIND(";",I72)))-8))</f>
        <v>VNBN</v>
      </c>
      <c r="N72" s="42" t="s">
        <v>138</v>
      </c>
      <c r="O72" s="2">
        <f>IF($M72=O$3,-$K72,0)</f>
        <v>0</v>
      </c>
      <c r="P72" s="2">
        <f>IF($M72=P$3,-$K72,0)</f>
        <v>0</v>
      </c>
      <c r="Q72" s="2">
        <f>IF($M72=Q$3,-$K72,0)</f>
        <v>0</v>
      </c>
      <c r="R72" s="2">
        <f>IF($M72=R$3,-$K72,0)</f>
        <v>0</v>
      </c>
      <c r="S72" s="2">
        <f>IF($M72=S$3,-$K72,0)</f>
        <v>0</v>
      </c>
      <c r="T72" s="2">
        <f>IF($M72=T$3,-$K72,0)</f>
        <v>0</v>
      </c>
      <c r="U72" s="2">
        <f>IF($M72=U$3,-$K72,0)</f>
        <v>0</v>
      </c>
      <c r="V72" s="2">
        <f>IF($M72=V$3,-$K72,0)</f>
        <v>0</v>
      </c>
      <c r="W72" s="2">
        <f>IF($M72=W$3,-$K72,0)</f>
        <v>0</v>
      </c>
      <c r="X72" s="2">
        <f>IF($M72=X$3,-$K72,0)</f>
        <v>0</v>
      </c>
      <c r="Y72" s="2">
        <f>IF($M72=Y$3,-$K72,0)</f>
        <v>0</v>
      </c>
      <c r="Z72" s="2">
        <f>IF($M72=Z$3,-$K72,0)</f>
        <v>0</v>
      </c>
      <c r="AA72" s="2">
        <f>IF($M72=AA$3,-$K72,0)</f>
        <v>4244352</v>
      </c>
      <c r="AB72" s="2">
        <f>IF($M72=AB$3,-$K72,0)</f>
        <v>0</v>
      </c>
      <c r="AC72" s="21">
        <f>IF($M72=AC$3,-$K72,0)</f>
        <v>0</v>
      </c>
      <c r="AD72" s="20"/>
      <c r="AE72" s="19"/>
      <c r="AF72" s="2"/>
      <c r="AG72" s="2">
        <f>-$K72</f>
        <v>4244352</v>
      </c>
      <c r="AH72" s="2">
        <f>K72+SUM(O72:AC72)</f>
        <v>0</v>
      </c>
      <c r="AI72" s="2">
        <f>K72+SUM(AF72:AG72)</f>
        <v>0</v>
      </c>
    </row>
    <row r="73" spans="1:35" x14ac:dyDescent="0.2">
      <c r="A73" s="69" t="s">
        <v>3</v>
      </c>
      <c r="B73" s="69" t="s">
        <v>531</v>
      </c>
      <c r="H73" s="1" t="s">
        <v>151</v>
      </c>
      <c r="I73" s="1" t="s">
        <v>743</v>
      </c>
      <c r="K73" s="2">
        <v>-3924352</v>
      </c>
      <c r="L73" s="46">
        <v>12025</v>
      </c>
      <c r="M73" s="42" t="str">
        <f>LEFT(I73,(LEN(LEFT(I73,FIND(";",I73)))-8))</f>
        <v>VNQN</v>
      </c>
      <c r="N73" s="42" t="s">
        <v>138</v>
      </c>
      <c r="O73" s="2">
        <f>IF($M73=O$3,-$K73,0)</f>
        <v>0</v>
      </c>
      <c r="P73" s="2">
        <f>IF($M73=P$3,-$K73,0)</f>
        <v>0</v>
      </c>
      <c r="Q73" s="2">
        <f>IF($M73=Q$3,-$K73,0)</f>
        <v>0</v>
      </c>
      <c r="R73" s="2">
        <f>IF($M73=R$3,-$K73,0)</f>
        <v>0</v>
      </c>
      <c r="S73" s="2">
        <f>IF($M73=S$3,-$K73,0)</f>
        <v>0</v>
      </c>
      <c r="T73" s="2">
        <f>IF($M73=T$3,-$K73,0)</f>
        <v>3924352</v>
      </c>
      <c r="U73" s="2">
        <f>IF($M73=U$3,-$K73,0)</f>
        <v>0</v>
      </c>
      <c r="V73" s="2">
        <f>IF($M73=V$3,-$K73,0)</f>
        <v>0</v>
      </c>
      <c r="W73" s="2">
        <f>IF($M73=W$3,-$K73,0)</f>
        <v>0</v>
      </c>
      <c r="X73" s="2">
        <f>IF($M73=X$3,-$K73,0)</f>
        <v>0</v>
      </c>
      <c r="Y73" s="2">
        <f>IF($M73=Y$3,-$K73,0)</f>
        <v>0</v>
      </c>
      <c r="Z73" s="2">
        <f>IF($M73=Z$3,-$K73,0)</f>
        <v>0</v>
      </c>
      <c r="AA73" s="2">
        <f>IF($M73=AA$3,-$K73,0)</f>
        <v>0</v>
      </c>
      <c r="AB73" s="2">
        <f>IF($M73=AB$3,-$K73,0)</f>
        <v>0</v>
      </c>
      <c r="AC73" s="21">
        <f>IF($M73=AC$3,-$K73,0)</f>
        <v>0</v>
      </c>
      <c r="AD73" s="20"/>
      <c r="AE73" s="19"/>
      <c r="AF73" s="2"/>
      <c r="AG73" s="2">
        <f>-$K73</f>
        <v>3924352</v>
      </c>
      <c r="AH73" s="2">
        <f>K73+SUM(O73:AC73)</f>
        <v>0</v>
      </c>
      <c r="AI73" s="2">
        <f>K73+SUM(AF73:AG73)</f>
        <v>0</v>
      </c>
    </row>
    <row r="74" spans="1:35" x14ac:dyDescent="0.2">
      <c r="A74" s="69" t="s">
        <v>3</v>
      </c>
      <c r="B74" s="69" t="s">
        <v>531</v>
      </c>
      <c r="H74" s="1" t="s">
        <v>76</v>
      </c>
      <c r="I74" s="1" t="s">
        <v>742</v>
      </c>
      <c r="K74" s="2">
        <v>0</v>
      </c>
      <c r="L74" s="46">
        <v>12025</v>
      </c>
      <c r="M74" s="42" t="str">
        <f>LEFT(I74,(LEN(LEFT(I74,FIND(";",I74)))-8))</f>
        <v>VNMOET</v>
      </c>
      <c r="N74" s="42" t="s">
        <v>138</v>
      </c>
      <c r="O74" s="2">
        <f>IF($M74=O$3,-$K74,0)</f>
        <v>0</v>
      </c>
      <c r="P74" s="2">
        <f>IF($M74=P$3,-$K74,0)</f>
        <v>0</v>
      </c>
      <c r="Q74" s="2">
        <f>IF($M74=Q$3,-$K74,0)</f>
        <v>0</v>
      </c>
      <c r="R74" s="2">
        <f>IF($M74=R$3,-$K74,0)</f>
        <v>0</v>
      </c>
      <c r="S74" s="2">
        <f>IF($M74=S$3,-$K74,0)</f>
        <v>0</v>
      </c>
      <c r="T74" s="2">
        <f>IF($M74=T$3,-$K74,0)</f>
        <v>0</v>
      </c>
      <c r="U74" s="2">
        <f>IF($M74=U$3,-$K74,0)</f>
        <v>0</v>
      </c>
      <c r="V74" s="2">
        <f>IF($M74=V$3,-$K74,0)</f>
        <v>0</v>
      </c>
      <c r="W74" s="2">
        <f>IF($M74=W$3,-$K74,0)</f>
        <v>0</v>
      </c>
      <c r="X74" s="2">
        <f>IF($M74=X$3,-$K74,0)</f>
        <v>0</v>
      </c>
      <c r="Y74" s="2">
        <f>IF($M74=Y$3,-$K74,0)</f>
        <v>0</v>
      </c>
      <c r="Z74" s="2">
        <f>IF($M74=Z$3,-$K74,0)</f>
        <v>0</v>
      </c>
      <c r="AA74" s="2">
        <f>IF($M74=AA$3,-$K74,0)</f>
        <v>0</v>
      </c>
      <c r="AB74" s="2">
        <f>IF($M74=AB$3,-$K74,0)</f>
        <v>0</v>
      </c>
      <c r="AC74" s="21">
        <f>IF($M74=AC$3,-$K74,0)</f>
        <v>0</v>
      </c>
      <c r="AD74" s="20"/>
      <c r="AE74" s="19"/>
      <c r="AF74" s="2">
        <f>-$K74</f>
        <v>0</v>
      </c>
      <c r="AG74" s="2"/>
      <c r="AH74" s="2">
        <f>K74+SUM(O74:AC74)</f>
        <v>0</v>
      </c>
      <c r="AI74" s="2">
        <f>K74+SUM(AF74:AG74)</f>
        <v>0</v>
      </c>
    </row>
    <row r="75" spans="1:35" x14ac:dyDescent="0.2">
      <c r="A75" s="69" t="s">
        <v>3</v>
      </c>
      <c r="B75" s="69" t="s">
        <v>531</v>
      </c>
      <c r="H75" s="1" t="s">
        <v>17</v>
      </c>
      <c r="I75" s="1" t="s">
        <v>792</v>
      </c>
      <c r="K75" s="2">
        <v>-3200000</v>
      </c>
      <c r="L75" s="46">
        <v>12025</v>
      </c>
      <c r="M75" s="42" t="s">
        <v>394</v>
      </c>
      <c r="N75" s="42" t="s">
        <v>138</v>
      </c>
      <c r="O75" s="2">
        <f>IF($M75=O$3,-$K75,0)</f>
        <v>0</v>
      </c>
      <c r="P75" s="2">
        <f>IF($M75=P$3,-$K75,0)</f>
        <v>0</v>
      </c>
      <c r="Q75" s="2">
        <f>IF($M75=Q$3,-$K75,0)</f>
        <v>0</v>
      </c>
      <c r="R75" s="2">
        <f>IF($M75=R$3,-$K75,0)</f>
        <v>0</v>
      </c>
      <c r="S75" s="2">
        <f>IF($M75=S$3,-$K75,0)</f>
        <v>3200000</v>
      </c>
      <c r="T75" s="2">
        <f>IF($M75=T$3,-$K75,0)</f>
        <v>0</v>
      </c>
      <c r="U75" s="2">
        <f>IF($M75=U$3,-$K75,0)</f>
        <v>0</v>
      </c>
      <c r="V75" s="2">
        <f>IF($M75=V$3,-$K75,0)</f>
        <v>0</v>
      </c>
      <c r="W75" s="2">
        <f>IF($M75=W$3,-$K75,0)</f>
        <v>0</v>
      </c>
      <c r="X75" s="2">
        <f>IF($M75=X$3,-$K75,0)</f>
        <v>0</v>
      </c>
      <c r="Y75" s="2">
        <f>IF($M75=Y$3,-$K75,0)</f>
        <v>0</v>
      </c>
      <c r="Z75" s="2">
        <f>IF($M75=Z$3,-$K75,0)</f>
        <v>0</v>
      </c>
      <c r="AA75" s="2">
        <f>IF($M75=AA$3,-$K75,0)</f>
        <v>0</v>
      </c>
      <c r="AB75" s="2">
        <f>IF($M75=AB$3,-$K75,0)</f>
        <v>0</v>
      </c>
      <c r="AC75" s="21">
        <f>IF($M75=AC$3,-$K75,0)</f>
        <v>0</v>
      </c>
      <c r="AD75" s="20"/>
      <c r="AE75" s="19"/>
      <c r="AF75" s="2"/>
      <c r="AG75" s="2">
        <f>-$K75</f>
        <v>3200000</v>
      </c>
      <c r="AH75" s="2">
        <f>K75+SUM(O75:AC75)</f>
        <v>0</v>
      </c>
      <c r="AI75" s="2">
        <f>K75+SUM(AF75:AG75)</f>
        <v>0</v>
      </c>
    </row>
    <row r="76" spans="1:35" x14ac:dyDescent="0.2">
      <c r="A76" s="69" t="s">
        <v>61</v>
      </c>
      <c r="B76" s="1" t="s">
        <v>770</v>
      </c>
      <c r="H76" s="1" t="s">
        <v>135</v>
      </c>
      <c r="I76" s="1" t="s">
        <v>791</v>
      </c>
      <c r="K76" s="2">
        <v>-38369938</v>
      </c>
      <c r="L76" s="46">
        <v>22025</v>
      </c>
      <c r="M76" s="42" t="str">
        <f>LEFT(I76,(LEN(LEFT(I76,FIND(";",I76)))-8))</f>
        <v>VNOther</v>
      </c>
      <c r="N76" s="42" t="s">
        <v>138</v>
      </c>
      <c r="O76" s="15">
        <f>-$K76*IFERROR(INDEX('[1]salary allocation'!$E$6:$J$22,MATCH($H76,'[1]salary allocation'!$D$6:$D$22,0),MATCH(O$3,'[1]salary allocation'!$E$3:$J$3,0)),0)</f>
        <v>0</v>
      </c>
      <c r="P76" s="15">
        <f>-$K76*IFERROR(INDEX('[1]salary allocation'!$E$6:$J$22,MATCH($H76,'[1]salary allocation'!$D$6:$D$22,0),MATCH(P$3,'[1]salary allocation'!$E$3:$J$3,0)),0)</f>
        <v>19184969</v>
      </c>
      <c r="Q76" s="15">
        <f>-$K76*IFERROR(INDEX('[1]salary allocation'!$E$6:$J$22,MATCH($H76,'[1]salary allocation'!$D$6:$D$22,0),MATCH(Q$3,'[1]salary allocation'!$E$3:$J$3,0)),0)</f>
        <v>0</v>
      </c>
      <c r="R76" s="15">
        <f>-$K76*IFERROR(INDEX('[1]salary allocation'!$E$6:$J$22,MATCH($H76,'[1]salary allocation'!$D$6:$D$22,0),MATCH(R$3,'[1]salary allocation'!$E$3:$J$3,0)),0)</f>
        <v>0</v>
      </c>
      <c r="S76" s="15">
        <f>-$K76*IFERROR(INDEX('[1]salary allocation'!$E$6:$J$22,MATCH($H76,'[1]salary allocation'!$D$6:$D$22,0),MATCH(S$3,'[1]salary allocation'!$E$3:$J$3,0)),0)</f>
        <v>3836993.8000000003</v>
      </c>
      <c r="T76" s="15">
        <f>-$K76*IFERROR(INDEX('[1]salary allocation'!$E$6:$J$22,MATCH($H76,'[1]salary allocation'!$D$6:$D$22,0),MATCH(T$3,'[1]salary allocation'!$E$3:$J$3,0)),0)</f>
        <v>3836993.8000000003</v>
      </c>
      <c r="U76" s="15">
        <f>-$K76*IFERROR(INDEX('[1]salary allocation'!$E$6:$J$22,MATCH($H76,'[1]salary allocation'!$D$6:$D$22,0),MATCH(U$3,'[1]salary allocation'!$E$3:$J$3,0)),0)</f>
        <v>3836993.8000000003</v>
      </c>
      <c r="V76" s="15">
        <f>-$K76*IFERROR(INDEX('[1]salary allocation'!$E$6:$J$22,MATCH($H76,'[1]salary allocation'!$D$6:$D$22,0),MATCH(V$3,'[1]salary allocation'!$E$3:$J$3,0)),0)</f>
        <v>0</v>
      </c>
      <c r="W76" s="15">
        <f>-$K76*IFERROR(INDEX('[1]salary allocation'!$E$6:$J$22,MATCH($H76,'[1]salary allocation'!$D$6:$D$22,0),MATCH(W$3,'[1]salary allocation'!$E$3:$J$3,0)),0)</f>
        <v>7673987.6000000006</v>
      </c>
      <c r="X76" s="15">
        <f>-$K76*IFERROR(INDEX('[1]salary allocation'!$E$6:$J$22,MATCH($H76,'[1]salary allocation'!$D$6:$D$22,0),MATCH(X$3,'[1]salary allocation'!$E$3:$J$3,0)),0)</f>
        <v>0</v>
      </c>
      <c r="Y76" s="15">
        <f>-$K76*IFERROR(INDEX('[1]salary allocation'!$E$6:$J$22,MATCH($H76,'[1]salary allocation'!$D$6:$D$22,0),MATCH(Y$3,'[1]salary allocation'!$E$3:$J$3,0)),0)</f>
        <v>0</v>
      </c>
      <c r="Z76" s="15">
        <f>-$K76*IFERROR(INDEX('[1]salary allocation'!$E$6:$J$22,MATCH($H76,'[1]salary allocation'!$D$6:$D$22,0),MATCH(Z$3,'[1]salary allocation'!$E$3:$J$3,0)),0)</f>
        <v>0</v>
      </c>
      <c r="AA76" s="15">
        <f>-$K76*IFERROR(INDEX('[1]salary allocation'!$E$6:$J$22,MATCH($H76,'[1]salary allocation'!$D$6:$D$22,0),MATCH(AA$3,'[1]salary allocation'!$E$3:$J$3,0)),0)</f>
        <v>0</v>
      </c>
      <c r="AB76" s="15">
        <f>-$K76*IFERROR(INDEX('[1]salary allocation'!$E$6:$J$22,MATCH($H76,'[1]salary allocation'!$D$6:$D$22,0),MATCH(AB$3,'[1]salary allocation'!$E$3:$J$3,0)),0)</f>
        <v>0</v>
      </c>
      <c r="AC76" s="18">
        <f>-$K76*IFERROR(INDEX('[1]salary allocation'!$E$6:$J$22,MATCH($H76,'[1]salary allocation'!$D$6:$D$22,0),MATCH(AC$3,'[1]salary allocation'!$E$3:$J$3,0)),0)</f>
        <v>0</v>
      </c>
      <c r="AD76" s="17"/>
      <c r="AE76" s="16"/>
      <c r="AF76" s="15">
        <f>-$K76</f>
        <v>38369938</v>
      </c>
      <c r="AG76" s="15"/>
      <c r="AH76" s="2">
        <f>K76+SUM(O76:AC76)</f>
        <v>0</v>
      </c>
      <c r="AI76" s="2">
        <f>K76+SUM(AF76:AG76)</f>
        <v>0</v>
      </c>
    </row>
    <row r="77" spans="1:35" x14ac:dyDescent="0.2">
      <c r="A77" s="69" t="s">
        <v>61</v>
      </c>
      <c r="B77" s="1" t="s">
        <v>770</v>
      </c>
      <c r="H77" s="1" t="s">
        <v>57</v>
      </c>
      <c r="I77" s="1" t="s">
        <v>790</v>
      </c>
      <c r="K77" s="2">
        <v>-6130310</v>
      </c>
      <c r="L77" s="46">
        <v>22025</v>
      </c>
      <c r="M77" s="42" t="str">
        <f>LEFT(I77,(LEN(LEFT(I77,FIND(";",I77)))-8))</f>
        <v>VNOther</v>
      </c>
      <c r="N77" s="42" t="s">
        <v>138</v>
      </c>
      <c r="O77" s="15">
        <f>-$K77*IFERROR(INDEX('[1]salary allocation'!$E$6:$J$22,MATCH($H77,'[1]salary allocation'!$D$6:$D$22,0),MATCH(O$3,'[1]salary allocation'!$E$3:$J$3,0)),0)</f>
        <v>0</v>
      </c>
      <c r="P77" s="15">
        <f>-$K77*IFERROR(INDEX('[1]salary allocation'!$E$6:$J$22,MATCH($H77,'[1]salary allocation'!$D$6:$D$22,0),MATCH(P$3,'[1]salary allocation'!$E$3:$J$3,0)),0)</f>
        <v>3065155</v>
      </c>
      <c r="Q77" s="15">
        <f>-$K77*IFERROR(INDEX('[1]salary allocation'!$E$6:$J$22,MATCH($H77,'[1]salary allocation'!$D$6:$D$22,0),MATCH(Q$3,'[1]salary allocation'!$E$3:$J$3,0)),0)</f>
        <v>0</v>
      </c>
      <c r="R77" s="15">
        <f>-$K77*IFERROR(INDEX('[1]salary allocation'!$E$6:$J$22,MATCH($H77,'[1]salary allocation'!$D$6:$D$22,0),MATCH(R$3,'[1]salary allocation'!$E$3:$J$3,0)),0)</f>
        <v>0</v>
      </c>
      <c r="S77" s="15">
        <f>-$K77*IFERROR(INDEX('[1]salary allocation'!$E$6:$J$22,MATCH($H77,'[1]salary allocation'!$D$6:$D$22,0),MATCH(S$3,'[1]salary allocation'!$E$3:$J$3,0)),0)</f>
        <v>613031</v>
      </c>
      <c r="T77" s="15">
        <f>-$K77*IFERROR(INDEX('[1]salary allocation'!$E$6:$J$22,MATCH($H77,'[1]salary allocation'!$D$6:$D$22,0),MATCH(T$3,'[1]salary allocation'!$E$3:$J$3,0)),0)</f>
        <v>613031</v>
      </c>
      <c r="U77" s="15">
        <f>-$K77*IFERROR(INDEX('[1]salary allocation'!$E$6:$J$22,MATCH($H77,'[1]salary allocation'!$D$6:$D$22,0),MATCH(U$3,'[1]salary allocation'!$E$3:$J$3,0)),0)</f>
        <v>613031</v>
      </c>
      <c r="V77" s="15">
        <f>-$K77*IFERROR(INDEX('[1]salary allocation'!$E$6:$J$22,MATCH($H77,'[1]salary allocation'!$D$6:$D$22,0),MATCH(V$3,'[1]salary allocation'!$E$3:$J$3,0)),0)</f>
        <v>0</v>
      </c>
      <c r="W77" s="15">
        <f>-$K77*IFERROR(INDEX('[1]salary allocation'!$E$6:$J$22,MATCH($H77,'[1]salary allocation'!$D$6:$D$22,0),MATCH(W$3,'[1]salary allocation'!$E$3:$J$3,0)),0)</f>
        <v>1226062</v>
      </c>
      <c r="X77" s="15">
        <f>-$K77*IFERROR(INDEX('[1]salary allocation'!$E$6:$J$22,MATCH($H77,'[1]salary allocation'!$D$6:$D$22,0),MATCH(X$3,'[1]salary allocation'!$E$3:$J$3,0)),0)</f>
        <v>0</v>
      </c>
      <c r="Y77" s="15">
        <f>-$K77*IFERROR(INDEX('[1]salary allocation'!$E$6:$J$22,MATCH($H77,'[1]salary allocation'!$D$6:$D$22,0),MATCH(Y$3,'[1]salary allocation'!$E$3:$J$3,0)),0)</f>
        <v>0</v>
      </c>
      <c r="Z77" s="15">
        <f>-$K77*IFERROR(INDEX('[1]salary allocation'!$E$6:$J$22,MATCH($H77,'[1]salary allocation'!$D$6:$D$22,0),MATCH(Z$3,'[1]salary allocation'!$E$3:$J$3,0)),0)</f>
        <v>0</v>
      </c>
      <c r="AA77" s="15">
        <f>-$K77*IFERROR(INDEX('[1]salary allocation'!$E$6:$J$22,MATCH($H77,'[1]salary allocation'!$D$6:$D$22,0),MATCH(AA$3,'[1]salary allocation'!$E$3:$J$3,0)),0)</f>
        <v>0</v>
      </c>
      <c r="AB77" s="15">
        <f>-$K77*IFERROR(INDEX('[1]salary allocation'!$E$6:$J$22,MATCH($H77,'[1]salary allocation'!$D$6:$D$22,0),MATCH(AB$3,'[1]salary allocation'!$E$3:$J$3,0)),0)</f>
        <v>0</v>
      </c>
      <c r="AC77" s="18">
        <f>-$K77*IFERROR(INDEX('[1]salary allocation'!$E$6:$J$22,MATCH($H77,'[1]salary allocation'!$D$6:$D$22,0),MATCH(AC$3,'[1]salary allocation'!$E$3:$J$3,0)),0)</f>
        <v>0</v>
      </c>
      <c r="AD77" s="17"/>
      <c r="AE77" s="16"/>
      <c r="AF77" s="15">
        <f>-$K77</f>
        <v>6130310</v>
      </c>
      <c r="AG77" s="15"/>
      <c r="AH77" s="2">
        <f>K77+SUM(O77:AC77)</f>
        <v>0</v>
      </c>
      <c r="AI77" s="2">
        <f>K77+SUM(AF77:AG77)</f>
        <v>0</v>
      </c>
    </row>
    <row r="78" spans="1:35" x14ac:dyDescent="0.2">
      <c r="A78" s="69" t="s">
        <v>61</v>
      </c>
      <c r="B78" s="1" t="s">
        <v>770</v>
      </c>
      <c r="H78" s="1" t="s">
        <v>55</v>
      </c>
      <c r="I78" s="1" t="s">
        <v>789</v>
      </c>
      <c r="K78" s="2">
        <v>-7249640</v>
      </c>
      <c r="L78" s="46">
        <v>22025</v>
      </c>
      <c r="M78" s="42" t="str">
        <f>LEFT(I78,(LEN(LEFT(I78,FIND(";",I78)))-8))</f>
        <v>VNHBC</v>
      </c>
      <c r="N78" s="42" t="s">
        <v>138</v>
      </c>
      <c r="O78" s="15">
        <f>-$K78*IFERROR(INDEX('[1]salary allocation'!$E$6:$J$22,MATCH($H78,'[1]salary allocation'!$D$6:$D$22,0),MATCH(O$3,'[1]salary allocation'!$E$3:$J$3,0)),0)</f>
        <v>0</v>
      </c>
      <c r="P78" s="15">
        <f>-$K78*IFERROR(INDEX('[1]salary allocation'!$E$6:$J$22,MATCH($H78,'[1]salary allocation'!$D$6:$D$22,0),MATCH(P$3,'[1]salary allocation'!$E$3:$J$3,0)),0)</f>
        <v>0</v>
      </c>
      <c r="Q78" s="15">
        <f>-$K78*IFERROR(INDEX('[1]salary allocation'!$E$6:$J$22,MATCH($H78,'[1]salary allocation'!$D$6:$D$22,0),MATCH(Q$3,'[1]salary allocation'!$E$3:$J$3,0)),0)</f>
        <v>0</v>
      </c>
      <c r="R78" s="15">
        <f>-$K78*IFERROR(INDEX('[1]salary allocation'!$E$6:$J$22,MATCH($H78,'[1]salary allocation'!$D$6:$D$22,0),MATCH(R$3,'[1]salary allocation'!$E$3:$J$3,0)),0)</f>
        <v>0</v>
      </c>
      <c r="S78" s="15">
        <f>-$K78*IFERROR(INDEX('[1]salary allocation'!$E$6:$J$22,MATCH($H78,'[1]salary allocation'!$D$6:$D$22,0),MATCH(S$3,'[1]salary allocation'!$E$3:$J$3,0)),0)</f>
        <v>1449928</v>
      </c>
      <c r="T78" s="15">
        <f>-$K78*IFERROR(INDEX('[1]salary allocation'!$E$6:$J$22,MATCH($H78,'[1]salary allocation'!$D$6:$D$22,0),MATCH(T$3,'[1]salary allocation'!$E$3:$J$3,0)),0)</f>
        <v>1449928</v>
      </c>
      <c r="U78" s="15">
        <f>-$K78*IFERROR(INDEX('[1]salary allocation'!$E$6:$J$22,MATCH($H78,'[1]salary allocation'!$D$6:$D$22,0),MATCH(U$3,'[1]salary allocation'!$E$3:$J$3,0)),0)</f>
        <v>1449928</v>
      </c>
      <c r="V78" s="15">
        <f>-$K78*IFERROR(INDEX('[1]salary allocation'!$E$6:$J$22,MATCH($H78,'[1]salary allocation'!$D$6:$D$22,0),MATCH(V$3,'[1]salary allocation'!$E$3:$J$3,0)),0)</f>
        <v>0</v>
      </c>
      <c r="W78" s="15">
        <f>-$K78*IFERROR(INDEX('[1]salary allocation'!$E$6:$J$22,MATCH($H78,'[1]salary allocation'!$D$6:$D$22,0),MATCH(W$3,'[1]salary allocation'!$E$3:$J$3,0)),0)</f>
        <v>2899856</v>
      </c>
      <c r="X78" s="15">
        <f>-$K78*IFERROR(INDEX('[1]salary allocation'!$E$6:$J$22,MATCH($H78,'[1]salary allocation'!$D$6:$D$22,0),MATCH(X$3,'[1]salary allocation'!$E$3:$J$3,0)),0)</f>
        <v>0</v>
      </c>
      <c r="Y78" s="15">
        <f>-$K78*IFERROR(INDEX('[1]salary allocation'!$E$6:$J$22,MATCH($H78,'[1]salary allocation'!$D$6:$D$22,0),MATCH(Y$3,'[1]salary allocation'!$E$3:$J$3,0)),0)</f>
        <v>0</v>
      </c>
      <c r="Z78" s="15">
        <f>-$K78*IFERROR(INDEX('[1]salary allocation'!$E$6:$J$22,MATCH($H78,'[1]salary allocation'!$D$6:$D$22,0),MATCH(Z$3,'[1]salary allocation'!$E$3:$J$3,0)),0)</f>
        <v>0</v>
      </c>
      <c r="AA78" s="15">
        <f>-$K78*IFERROR(INDEX('[1]salary allocation'!$E$6:$J$22,MATCH($H78,'[1]salary allocation'!$D$6:$D$22,0),MATCH(AA$3,'[1]salary allocation'!$E$3:$J$3,0)),0)</f>
        <v>0</v>
      </c>
      <c r="AB78" s="15">
        <f>-$K78*IFERROR(INDEX('[1]salary allocation'!$E$6:$J$22,MATCH($H78,'[1]salary allocation'!$D$6:$D$22,0),MATCH(AB$3,'[1]salary allocation'!$E$3:$J$3,0)),0)</f>
        <v>0</v>
      </c>
      <c r="AC78" s="18">
        <f>-$K78*IFERROR(INDEX('[1]salary allocation'!$E$6:$J$22,MATCH($H78,'[1]salary allocation'!$D$6:$D$22,0),MATCH(AC$3,'[1]salary allocation'!$E$3:$J$3,0)),0)</f>
        <v>0</v>
      </c>
      <c r="AD78" s="17"/>
      <c r="AE78" s="16"/>
      <c r="AF78" s="15"/>
      <c r="AG78" s="15">
        <f>-$K78</f>
        <v>7249640</v>
      </c>
      <c r="AH78" s="2">
        <f>K78+SUM(O78:AC78)</f>
        <v>0</v>
      </c>
      <c r="AI78" s="2">
        <f>K78+SUM(AF78:AG78)</f>
        <v>0</v>
      </c>
    </row>
    <row r="79" spans="1:35" x14ac:dyDescent="0.2">
      <c r="A79" s="69" t="s">
        <v>61</v>
      </c>
      <c r="B79" s="1" t="s">
        <v>770</v>
      </c>
      <c r="H79" s="1" t="s">
        <v>53</v>
      </c>
      <c r="I79" s="1" t="s">
        <v>788</v>
      </c>
      <c r="K79" s="2">
        <v>-4201845</v>
      </c>
      <c r="L79" s="46">
        <v>22025</v>
      </c>
      <c r="M79" s="42" t="str">
        <f>LEFT(I79,(LEN(LEFT(I79,FIND(";",I79)))-8))</f>
        <v>VNOther</v>
      </c>
      <c r="N79" s="42" t="s">
        <v>138</v>
      </c>
      <c r="O79" s="15">
        <f>-$K79*IFERROR(INDEX('[1]salary allocation'!$E$6:$J$22,MATCH($H79,'[1]salary allocation'!$D$6:$D$22,0),MATCH(O$3,'[1]salary allocation'!$E$3:$J$3,0)),0)</f>
        <v>0</v>
      </c>
      <c r="P79" s="15">
        <f>-$K79*IFERROR(INDEX('[1]salary allocation'!$E$6:$J$22,MATCH($H79,'[1]salary allocation'!$D$6:$D$22,0),MATCH(P$3,'[1]salary allocation'!$E$3:$J$3,0)),0)</f>
        <v>630276.75</v>
      </c>
      <c r="Q79" s="15">
        <f>-$K79*IFERROR(INDEX('[1]salary allocation'!$E$6:$J$22,MATCH($H79,'[1]salary allocation'!$D$6:$D$22,0),MATCH(Q$3,'[1]salary allocation'!$E$3:$J$3,0)),0)</f>
        <v>0</v>
      </c>
      <c r="R79" s="15">
        <f>-$K79*IFERROR(INDEX('[1]salary allocation'!$E$6:$J$22,MATCH($H79,'[1]salary allocation'!$D$6:$D$22,0),MATCH(R$3,'[1]salary allocation'!$E$3:$J$3,0)),0)</f>
        <v>0</v>
      </c>
      <c r="S79" s="15">
        <f>-$K79*IFERROR(INDEX('[1]salary allocation'!$E$6:$J$22,MATCH($H79,'[1]salary allocation'!$D$6:$D$22,0),MATCH(S$3,'[1]salary allocation'!$E$3:$J$3,0)),0)</f>
        <v>714313.64999999991</v>
      </c>
      <c r="T79" s="15">
        <f>-$K79*IFERROR(INDEX('[1]salary allocation'!$E$6:$J$22,MATCH($H79,'[1]salary allocation'!$D$6:$D$22,0),MATCH(T$3,'[1]salary allocation'!$E$3:$J$3,0)),0)</f>
        <v>714313.64999999991</v>
      </c>
      <c r="U79" s="15">
        <f>-$K79*IFERROR(INDEX('[1]salary allocation'!$E$6:$J$22,MATCH($H79,'[1]salary allocation'!$D$6:$D$22,0),MATCH(U$3,'[1]salary allocation'!$E$3:$J$3,0)),0)</f>
        <v>714313.64999999991</v>
      </c>
      <c r="V79" s="15">
        <f>-$K79*IFERROR(INDEX('[1]salary allocation'!$E$6:$J$22,MATCH($H79,'[1]salary allocation'!$D$6:$D$22,0),MATCH(V$3,'[1]salary allocation'!$E$3:$J$3,0)),0)</f>
        <v>0</v>
      </c>
      <c r="W79" s="15">
        <f>-$K79*IFERROR(INDEX('[1]salary allocation'!$E$6:$J$22,MATCH($H79,'[1]salary allocation'!$D$6:$D$22,0),MATCH(W$3,'[1]salary allocation'!$E$3:$J$3,0)),0)</f>
        <v>1428627.2999999998</v>
      </c>
      <c r="X79" s="15">
        <f>-$K79*IFERROR(INDEX('[1]salary allocation'!$E$6:$J$22,MATCH($H79,'[1]salary allocation'!$D$6:$D$22,0),MATCH(X$3,'[1]salary allocation'!$E$3:$J$3,0)),0)</f>
        <v>0</v>
      </c>
      <c r="Y79" s="15">
        <f>-$K79*IFERROR(INDEX('[1]salary allocation'!$E$6:$J$22,MATCH($H79,'[1]salary allocation'!$D$6:$D$22,0),MATCH(Y$3,'[1]salary allocation'!$E$3:$J$3,0)),0)</f>
        <v>0</v>
      </c>
      <c r="Z79" s="15">
        <f>-$K79*IFERROR(INDEX('[1]salary allocation'!$E$6:$J$22,MATCH($H79,'[1]salary allocation'!$D$6:$D$22,0),MATCH(Z$3,'[1]salary allocation'!$E$3:$J$3,0)),0)</f>
        <v>0</v>
      </c>
      <c r="AA79" s="15">
        <f>-$K79*IFERROR(INDEX('[1]salary allocation'!$E$6:$J$22,MATCH($H79,'[1]salary allocation'!$D$6:$D$22,0),MATCH(AA$3,'[1]salary allocation'!$E$3:$J$3,0)),0)</f>
        <v>0</v>
      </c>
      <c r="AB79" s="15">
        <f>-$K79*IFERROR(INDEX('[1]salary allocation'!$E$6:$J$22,MATCH($H79,'[1]salary allocation'!$D$6:$D$22,0),MATCH(AB$3,'[1]salary allocation'!$E$3:$J$3,0)),0)</f>
        <v>0</v>
      </c>
      <c r="AC79" s="18">
        <f>-$K79*IFERROR(INDEX('[1]salary allocation'!$E$6:$J$22,MATCH($H79,'[1]salary allocation'!$D$6:$D$22,0),MATCH(AC$3,'[1]salary allocation'!$E$3:$J$3,0)),0)</f>
        <v>0</v>
      </c>
      <c r="AD79" s="17"/>
      <c r="AE79" s="16"/>
      <c r="AF79" s="15">
        <f>-$K79</f>
        <v>4201845</v>
      </c>
      <c r="AG79" s="15"/>
      <c r="AH79" s="2">
        <f>K79+SUM(O79:AC79)</f>
        <v>0</v>
      </c>
      <c r="AI79" s="2">
        <f>K79+SUM(AF79:AG79)</f>
        <v>0</v>
      </c>
    </row>
    <row r="80" spans="1:35" x14ac:dyDescent="0.2">
      <c r="A80" s="69" t="s">
        <v>61</v>
      </c>
      <c r="B80" s="1" t="s">
        <v>770</v>
      </c>
      <c r="H80" s="1" t="s">
        <v>51</v>
      </c>
      <c r="I80" s="1" t="s">
        <v>787</v>
      </c>
      <c r="K80" s="2">
        <v>-1730298</v>
      </c>
      <c r="L80" s="46">
        <v>22025</v>
      </c>
      <c r="M80" s="42" t="str">
        <f>LEFT(I80,(LEN(LEFT(I80,FIND(";",I80)))-8))</f>
        <v>VNOther</v>
      </c>
      <c r="N80" s="42" t="s">
        <v>138</v>
      </c>
      <c r="O80" s="15">
        <f>-$K80*IFERROR(INDEX('[1]salary allocation'!$E$6:$J$22,MATCH($H80,'[1]salary allocation'!$D$6:$D$22,0),MATCH(O$3,'[1]salary allocation'!$E$3:$J$3,0)),0)</f>
        <v>0</v>
      </c>
      <c r="P80" s="15">
        <f>-$K80*IFERROR(INDEX('[1]salary allocation'!$E$6:$J$22,MATCH($H80,'[1]salary allocation'!$D$6:$D$22,0),MATCH(P$3,'[1]salary allocation'!$E$3:$J$3,0)),0)</f>
        <v>865149</v>
      </c>
      <c r="Q80" s="15">
        <f>-$K80*IFERROR(INDEX('[1]salary allocation'!$E$6:$J$22,MATCH($H80,'[1]salary allocation'!$D$6:$D$22,0),MATCH(Q$3,'[1]salary allocation'!$E$3:$J$3,0)),0)</f>
        <v>0</v>
      </c>
      <c r="R80" s="15">
        <f>-$K80*IFERROR(INDEX('[1]salary allocation'!$E$6:$J$22,MATCH($H80,'[1]salary allocation'!$D$6:$D$22,0),MATCH(R$3,'[1]salary allocation'!$E$3:$J$3,0)),0)</f>
        <v>0</v>
      </c>
      <c r="S80" s="15">
        <f>-$K80*IFERROR(INDEX('[1]salary allocation'!$E$6:$J$22,MATCH($H80,'[1]salary allocation'!$D$6:$D$22,0),MATCH(S$3,'[1]salary allocation'!$E$3:$J$3,0)),0)</f>
        <v>173029.80000000002</v>
      </c>
      <c r="T80" s="15">
        <f>-$K80*IFERROR(INDEX('[1]salary allocation'!$E$6:$J$22,MATCH($H80,'[1]salary allocation'!$D$6:$D$22,0),MATCH(T$3,'[1]salary allocation'!$E$3:$J$3,0)),0)</f>
        <v>173029.80000000002</v>
      </c>
      <c r="U80" s="15">
        <f>-$K80*IFERROR(INDEX('[1]salary allocation'!$E$6:$J$22,MATCH($H80,'[1]salary allocation'!$D$6:$D$22,0),MATCH(U$3,'[1]salary allocation'!$E$3:$J$3,0)),0)</f>
        <v>173029.80000000002</v>
      </c>
      <c r="V80" s="15">
        <f>-$K80*IFERROR(INDEX('[1]salary allocation'!$E$6:$J$22,MATCH($H80,'[1]salary allocation'!$D$6:$D$22,0),MATCH(V$3,'[1]salary allocation'!$E$3:$J$3,0)),0)</f>
        <v>0</v>
      </c>
      <c r="W80" s="15">
        <f>-$K80*IFERROR(INDEX('[1]salary allocation'!$E$6:$J$22,MATCH($H80,'[1]salary allocation'!$D$6:$D$22,0),MATCH(W$3,'[1]salary allocation'!$E$3:$J$3,0)),0)</f>
        <v>346059.60000000003</v>
      </c>
      <c r="X80" s="15">
        <f>-$K80*IFERROR(INDEX('[1]salary allocation'!$E$6:$J$22,MATCH($H80,'[1]salary allocation'!$D$6:$D$22,0),MATCH(X$3,'[1]salary allocation'!$E$3:$J$3,0)),0)</f>
        <v>0</v>
      </c>
      <c r="Y80" s="15">
        <f>-$K80*IFERROR(INDEX('[1]salary allocation'!$E$6:$J$22,MATCH($H80,'[1]salary allocation'!$D$6:$D$22,0),MATCH(Y$3,'[1]salary allocation'!$E$3:$J$3,0)),0)</f>
        <v>0</v>
      </c>
      <c r="Z80" s="15">
        <f>-$K80*IFERROR(INDEX('[1]salary allocation'!$E$6:$J$22,MATCH($H80,'[1]salary allocation'!$D$6:$D$22,0),MATCH(Z$3,'[1]salary allocation'!$E$3:$J$3,0)),0)</f>
        <v>0</v>
      </c>
      <c r="AA80" s="15">
        <f>-$K80*IFERROR(INDEX('[1]salary allocation'!$E$6:$J$22,MATCH($H80,'[1]salary allocation'!$D$6:$D$22,0),MATCH(AA$3,'[1]salary allocation'!$E$3:$J$3,0)),0)</f>
        <v>0</v>
      </c>
      <c r="AB80" s="15">
        <f>-$K80*IFERROR(INDEX('[1]salary allocation'!$E$6:$J$22,MATCH($H80,'[1]salary allocation'!$D$6:$D$22,0),MATCH(AB$3,'[1]salary allocation'!$E$3:$J$3,0)),0)</f>
        <v>0</v>
      </c>
      <c r="AC80" s="18">
        <f>-$K80*IFERROR(INDEX('[1]salary allocation'!$E$6:$J$22,MATCH($H80,'[1]salary allocation'!$D$6:$D$22,0),MATCH(AC$3,'[1]salary allocation'!$E$3:$J$3,0)),0)</f>
        <v>0</v>
      </c>
      <c r="AD80" s="17"/>
      <c r="AE80" s="16"/>
      <c r="AF80" s="15">
        <f>-$K80</f>
        <v>1730298</v>
      </c>
      <c r="AG80" s="15"/>
      <c r="AH80" s="2">
        <f>K80+SUM(O80:AC80)</f>
        <v>0</v>
      </c>
      <c r="AI80" s="2">
        <f>K80+SUM(AF80:AG80)</f>
        <v>0</v>
      </c>
    </row>
    <row r="81" spans="1:35" x14ac:dyDescent="0.2">
      <c r="A81" s="69" t="s">
        <v>61</v>
      </c>
      <c r="B81" s="1" t="s">
        <v>770</v>
      </c>
      <c r="H81" s="1" t="s">
        <v>49</v>
      </c>
      <c r="I81" s="1" t="s">
        <v>786</v>
      </c>
      <c r="K81" s="2">
        <v>-1064522</v>
      </c>
      <c r="L81" s="46">
        <v>22025</v>
      </c>
      <c r="M81" s="42" t="str">
        <f>LEFT(I81,(LEN(LEFT(I81,FIND(";",I81)))-8))</f>
        <v>VNMOET</v>
      </c>
      <c r="N81" s="42" t="s">
        <v>138</v>
      </c>
      <c r="O81" s="15">
        <f>-$K81*IFERROR(INDEX('[1]salary allocation'!$E$6:$J$22,MATCH($H81,'[1]salary allocation'!$D$6:$D$22,0),MATCH(O$3,'[1]salary allocation'!$E$3:$J$3,0)),0)</f>
        <v>0</v>
      </c>
      <c r="P81" s="15">
        <f>-$K81*IFERROR(INDEX('[1]salary allocation'!$E$6:$J$22,MATCH($H81,'[1]salary allocation'!$D$6:$D$22,0),MATCH(P$3,'[1]salary allocation'!$E$3:$J$3,0)),0)</f>
        <v>0</v>
      </c>
      <c r="Q81" s="15">
        <f>-$K81*IFERROR(INDEX('[1]salary allocation'!$E$6:$J$22,MATCH($H81,'[1]salary allocation'!$D$6:$D$22,0),MATCH(Q$3,'[1]salary allocation'!$E$3:$J$3,0)),0)</f>
        <v>0</v>
      </c>
      <c r="R81" s="15">
        <f>-$K81*IFERROR(INDEX('[1]salary allocation'!$E$6:$J$22,MATCH($H81,'[1]salary allocation'!$D$6:$D$22,0),MATCH(R$3,'[1]salary allocation'!$E$3:$J$3,0)),0)</f>
        <v>0</v>
      </c>
      <c r="S81" s="15">
        <f>-$K81*IFERROR(INDEX('[1]salary allocation'!$E$6:$J$22,MATCH($H81,'[1]salary allocation'!$D$6:$D$22,0),MATCH(S$3,'[1]salary allocation'!$E$3:$J$3,0)),0)</f>
        <v>212904.40000000002</v>
      </c>
      <c r="T81" s="15">
        <f>-$K81*IFERROR(INDEX('[1]salary allocation'!$E$6:$J$22,MATCH($H81,'[1]salary allocation'!$D$6:$D$22,0),MATCH(T$3,'[1]salary allocation'!$E$3:$J$3,0)),0)</f>
        <v>212904.40000000002</v>
      </c>
      <c r="U81" s="15">
        <f>-$K81*IFERROR(INDEX('[1]salary allocation'!$E$6:$J$22,MATCH($H81,'[1]salary allocation'!$D$6:$D$22,0),MATCH(U$3,'[1]salary allocation'!$E$3:$J$3,0)),0)</f>
        <v>212904.40000000002</v>
      </c>
      <c r="V81" s="15">
        <f>-$K81*IFERROR(INDEX('[1]salary allocation'!$E$6:$J$22,MATCH($H81,'[1]salary allocation'!$D$6:$D$22,0),MATCH(V$3,'[1]salary allocation'!$E$3:$J$3,0)),0)</f>
        <v>0</v>
      </c>
      <c r="W81" s="15">
        <f>-$K81*IFERROR(INDEX('[1]salary allocation'!$E$6:$J$22,MATCH($H81,'[1]salary allocation'!$D$6:$D$22,0),MATCH(W$3,'[1]salary allocation'!$E$3:$J$3,0)),0)</f>
        <v>425808.80000000005</v>
      </c>
      <c r="X81" s="15">
        <f>-$K81*IFERROR(INDEX('[1]salary allocation'!$E$6:$J$22,MATCH($H81,'[1]salary allocation'!$D$6:$D$22,0),MATCH(X$3,'[1]salary allocation'!$E$3:$J$3,0)),0)</f>
        <v>0</v>
      </c>
      <c r="Y81" s="15">
        <f>-$K81*IFERROR(INDEX('[1]salary allocation'!$E$6:$J$22,MATCH($H81,'[1]salary allocation'!$D$6:$D$22,0),MATCH(Y$3,'[1]salary allocation'!$E$3:$J$3,0)),0)</f>
        <v>0</v>
      </c>
      <c r="Z81" s="15">
        <f>-$K81*IFERROR(INDEX('[1]salary allocation'!$E$6:$J$22,MATCH($H81,'[1]salary allocation'!$D$6:$D$22,0),MATCH(Z$3,'[1]salary allocation'!$E$3:$J$3,0)),0)</f>
        <v>0</v>
      </c>
      <c r="AA81" s="15">
        <f>-$K81*IFERROR(INDEX('[1]salary allocation'!$E$6:$J$22,MATCH($H81,'[1]salary allocation'!$D$6:$D$22,0),MATCH(AA$3,'[1]salary allocation'!$E$3:$J$3,0)),0)</f>
        <v>0</v>
      </c>
      <c r="AB81" s="15">
        <f>-$K81*IFERROR(INDEX('[1]salary allocation'!$E$6:$J$22,MATCH($H81,'[1]salary allocation'!$D$6:$D$22,0),MATCH(AB$3,'[1]salary allocation'!$E$3:$J$3,0)),0)</f>
        <v>0</v>
      </c>
      <c r="AC81" s="18">
        <f>-$K81*IFERROR(INDEX('[1]salary allocation'!$E$6:$J$22,MATCH($H81,'[1]salary allocation'!$D$6:$D$22,0),MATCH(AC$3,'[1]salary allocation'!$E$3:$J$3,0)),0)</f>
        <v>0</v>
      </c>
      <c r="AD81" s="17"/>
      <c r="AE81" s="16"/>
      <c r="AF81" s="15"/>
      <c r="AG81" s="15">
        <f>-K81</f>
        <v>1064522</v>
      </c>
      <c r="AH81" s="2">
        <f>K81+SUM(O81:AC81)</f>
        <v>0</v>
      </c>
      <c r="AI81" s="2">
        <f>K81+SUM(AF81:AG81)</f>
        <v>0</v>
      </c>
    </row>
    <row r="82" spans="1:35" x14ac:dyDescent="0.2">
      <c r="A82" s="69" t="s">
        <v>61</v>
      </c>
      <c r="B82" s="1" t="s">
        <v>770</v>
      </c>
      <c r="H82" s="1" t="s">
        <v>47</v>
      </c>
      <c r="I82" s="1" t="s">
        <v>785</v>
      </c>
      <c r="K82" s="2">
        <v>-3460992</v>
      </c>
      <c r="L82" s="46">
        <v>22025</v>
      </c>
      <c r="M82" s="42" t="str">
        <f>LEFT(I82,(LEN(LEFT(I82,FIND(";",I82)))-8))</f>
        <v>VNHBC</v>
      </c>
      <c r="N82" s="42" t="s">
        <v>138</v>
      </c>
      <c r="O82" s="15">
        <f>-$K82*IFERROR(INDEX('[1]salary allocation'!$E$6:$J$22,MATCH($H82,'[1]salary allocation'!$D$6:$D$22,0),MATCH(O$3,'[1]salary allocation'!$E$3:$J$3,0)),0)</f>
        <v>0</v>
      </c>
      <c r="P82" s="15">
        <f>-$K82*IFERROR(INDEX('[1]salary allocation'!$E$6:$J$22,MATCH($H82,'[1]salary allocation'!$D$6:$D$22,0),MATCH(P$3,'[1]salary allocation'!$E$3:$J$3,0)),0)</f>
        <v>0</v>
      </c>
      <c r="Q82" s="15">
        <f>-$K82*IFERROR(INDEX('[1]salary allocation'!$E$6:$J$22,MATCH($H82,'[1]salary allocation'!$D$6:$D$22,0),MATCH(Q$3,'[1]salary allocation'!$E$3:$J$3,0)),0)</f>
        <v>0</v>
      </c>
      <c r="R82" s="15">
        <f>-$K82*IFERROR(INDEX('[1]salary allocation'!$E$6:$J$22,MATCH($H82,'[1]salary allocation'!$D$6:$D$22,0),MATCH(R$3,'[1]salary allocation'!$E$3:$J$3,0)),0)</f>
        <v>0</v>
      </c>
      <c r="S82" s="15">
        <f>-$K82*IFERROR(INDEX('[1]salary allocation'!$E$6:$J$22,MATCH($H82,'[1]salary allocation'!$D$6:$D$22,0),MATCH(S$3,'[1]salary allocation'!$E$3:$J$3,0)),0)</f>
        <v>692198.40000000002</v>
      </c>
      <c r="T82" s="15">
        <f>-$K82*IFERROR(INDEX('[1]salary allocation'!$E$6:$J$22,MATCH($H82,'[1]salary allocation'!$D$6:$D$22,0),MATCH(T$3,'[1]salary allocation'!$E$3:$J$3,0)),0)</f>
        <v>692198.40000000002</v>
      </c>
      <c r="U82" s="15">
        <f>-$K82*IFERROR(INDEX('[1]salary allocation'!$E$6:$J$22,MATCH($H82,'[1]salary allocation'!$D$6:$D$22,0),MATCH(U$3,'[1]salary allocation'!$E$3:$J$3,0)),0)</f>
        <v>692198.40000000002</v>
      </c>
      <c r="V82" s="15">
        <f>-$K82*IFERROR(INDEX('[1]salary allocation'!$E$6:$J$22,MATCH($H82,'[1]salary allocation'!$D$6:$D$22,0),MATCH(V$3,'[1]salary allocation'!$E$3:$J$3,0)),0)</f>
        <v>0</v>
      </c>
      <c r="W82" s="15">
        <f>-$K82*IFERROR(INDEX('[1]salary allocation'!$E$6:$J$22,MATCH($H82,'[1]salary allocation'!$D$6:$D$22,0),MATCH(W$3,'[1]salary allocation'!$E$3:$J$3,0)),0)</f>
        <v>1384396.8</v>
      </c>
      <c r="X82" s="15">
        <f>-$K82*IFERROR(INDEX('[1]salary allocation'!$E$6:$J$22,MATCH($H82,'[1]salary allocation'!$D$6:$D$22,0),MATCH(X$3,'[1]salary allocation'!$E$3:$J$3,0)),0)</f>
        <v>0</v>
      </c>
      <c r="Y82" s="15">
        <f>-$K82*IFERROR(INDEX('[1]salary allocation'!$E$6:$J$22,MATCH($H82,'[1]salary allocation'!$D$6:$D$22,0),MATCH(Y$3,'[1]salary allocation'!$E$3:$J$3,0)),0)</f>
        <v>0</v>
      </c>
      <c r="Z82" s="15">
        <f>-$K82*IFERROR(INDEX('[1]salary allocation'!$E$6:$J$22,MATCH($H82,'[1]salary allocation'!$D$6:$D$22,0),MATCH(Z$3,'[1]salary allocation'!$E$3:$J$3,0)),0)</f>
        <v>0</v>
      </c>
      <c r="AA82" s="15">
        <f>-$K82*IFERROR(INDEX('[1]salary allocation'!$E$6:$J$22,MATCH($H82,'[1]salary allocation'!$D$6:$D$22,0),MATCH(AA$3,'[1]salary allocation'!$E$3:$J$3,0)),0)</f>
        <v>0</v>
      </c>
      <c r="AB82" s="15">
        <f>-$K82*IFERROR(INDEX('[1]salary allocation'!$E$6:$J$22,MATCH($H82,'[1]salary allocation'!$D$6:$D$22,0),MATCH(AB$3,'[1]salary allocation'!$E$3:$J$3,0)),0)</f>
        <v>0</v>
      </c>
      <c r="AC82" s="18">
        <f>-$K82*IFERROR(INDEX('[1]salary allocation'!$E$6:$J$22,MATCH($H82,'[1]salary allocation'!$D$6:$D$22,0),MATCH(AC$3,'[1]salary allocation'!$E$3:$J$3,0)),0)</f>
        <v>0</v>
      </c>
      <c r="AD82" s="17"/>
      <c r="AE82" s="16"/>
      <c r="AF82" s="15">
        <f>-$K82</f>
        <v>3460992</v>
      </c>
      <c r="AG82" s="15"/>
      <c r="AH82" s="2">
        <f>K82+SUM(O82:AC82)</f>
        <v>0</v>
      </c>
      <c r="AI82" s="2">
        <f>K82+SUM(AF82:AG82)</f>
        <v>0</v>
      </c>
    </row>
    <row r="83" spans="1:35" x14ac:dyDescent="0.2">
      <c r="A83" s="69" t="s">
        <v>61</v>
      </c>
      <c r="B83" s="1" t="s">
        <v>770</v>
      </c>
      <c r="H83" s="1" t="s">
        <v>45</v>
      </c>
      <c r="I83" s="1" t="s">
        <v>784</v>
      </c>
      <c r="K83" s="2">
        <v>-62640</v>
      </c>
      <c r="L83" s="46">
        <v>22025</v>
      </c>
      <c r="M83" s="42" t="str">
        <f>LEFT(I83,(LEN(LEFT(I83,FIND(";",I83)))-9))</f>
        <v>VNHBC</v>
      </c>
      <c r="N83" s="42" t="s">
        <v>138</v>
      </c>
      <c r="O83" s="15">
        <f>-$K83*IFERROR(INDEX('[1]salary allocation'!$E$6:$J$22,MATCH($H83,'[1]salary allocation'!$D$6:$D$22,0),MATCH(O$3,'[1]salary allocation'!$E$3:$J$3,0)),0)</f>
        <v>0</v>
      </c>
      <c r="P83" s="15">
        <f>-$K83*IFERROR(INDEX('[1]salary allocation'!$E$6:$J$22,MATCH($H83,'[1]salary allocation'!$D$6:$D$22,0),MATCH(P$3,'[1]salary allocation'!$E$3:$J$3,0)),0)</f>
        <v>0</v>
      </c>
      <c r="Q83" s="15">
        <f>-$K83*IFERROR(INDEX('[1]salary allocation'!$E$6:$J$22,MATCH($H83,'[1]salary allocation'!$D$6:$D$22,0),MATCH(Q$3,'[1]salary allocation'!$E$3:$J$3,0)),0)</f>
        <v>0</v>
      </c>
      <c r="R83" s="15">
        <f>-$K83*IFERROR(INDEX('[1]salary allocation'!$E$6:$J$22,MATCH($H83,'[1]salary allocation'!$D$6:$D$22,0),MATCH(R$3,'[1]salary allocation'!$E$3:$J$3,0)),0)</f>
        <v>0</v>
      </c>
      <c r="S83" s="15">
        <f>-$K83*IFERROR(INDEX('[1]salary allocation'!$E$6:$J$22,MATCH($H83,'[1]salary allocation'!$D$6:$D$22,0),MATCH(S$3,'[1]salary allocation'!$E$3:$J$3,0)),0)</f>
        <v>12528</v>
      </c>
      <c r="T83" s="15">
        <f>-$K83*IFERROR(INDEX('[1]salary allocation'!$E$6:$J$22,MATCH($H83,'[1]salary allocation'!$D$6:$D$22,0),MATCH(T$3,'[1]salary allocation'!$E$3:$J$3,0)),0)</f>
        <v>12528</v>
      </c>
      <c r="U83" s="15">
        <f>-$K83*IFERROR(INDEX('[1]salary allocation'!$E$6:$J$22,MATCH($H83,'[1]salary allocation'!$D$6:$D$22,0),MATCH(U$3,'[1]salary allocation'!$E$3:$J$3,0)),0)</f>
        <v>12528</v>
      </c>
      <c r="V83" s="15">
        <f>-$K83*IFERROR(INDEX('[1]salary allocation'!$E$6:$J$22,MATCH($H83,'[1]salary allocation'!$D$6:$D$22,0),MATCH(V$3,'[1]salary allocation'!$E$3:$J$3,0)),0)</f>
        <v>0</v>
      </c>
      <c r="W83" s="15">
        <f>-$K83*IFERROR(INDEX('[1]salary allocation'!$E$6:$J$22,MATCH($H83,'[1]salary allocation'!$D$6:$D$22,0),MATCH(W$3,'[1]salary allocation'!$E$3:$J$3,0)),0)</f>
        <v>25056</v>
      </c>
      <c r="X83" s="15">
        <f>-$K83*IFERROR(INDEX('[1]salary allocation'!$E$6:$J$22,MATCH($H83,'[1]salary allocation'!$D$6:$D$22,0),MATCH(X$3,'[1]salary allocation'!$E$3:$J$3,0)),0)</f>
        <v>0</v>
      </c>
      <c r="Y83" s="15">
        <f>-$K83*IFERROR(INDEX('[1]salary allocation'!$E$6:$J$22,MATCH($H83,'[1]salary allocation'!$D$6:$D$22,0),MATCH(Y$3,'[1]salary allocation'!$E$3:$J$3,0)),0)</f>
        <v>0</v>
      </c>
      <c r="Z83" s="15">
        <f>-$K83*IFERROR(INDEX('[1]salary allocation'!$E$6:$J$22,MATCH($H83,'[1]salary allocation'!$D$6:$D$22,0),MATCH(Z$3,'[1]salary allocation'!$E$3:$J$3,0)),0)</f>
        <v>0</v>
      </c>
      <c r="AA83" s="15">
        <f>-$K83*IFERROR(INDEX('[1]salary allocation'!$E$6:$J$22,MATCH($H83,'[1]salary allocation'!$D$6:$D$22,0),MATCH(AA$3,'[1]salary allocation'!$E$3:$J$3,0)),0)</f>
        <v>0</v>
      </c>
      <c r="AB83" s="15">
        <f>-$K83*IFERROR(INDEX('[1]salary allocation'!$E$6:$J$22,MATCH($H83,'[1]salary allocation'!$D$6:$D$22,0),MATCH(AB$3,'[1]salary allocation'!$E$3:$J$3,0)),0)</f>
        <v>0</v>
      </c>
      <c r="AC83" s="18">
        <f>-$K83*IFERROR(INDEX('[1]salary allocation'!$E$6:$J$22,MATCH($H83,'[1]salary allocation'!$D$6:$D$22,0),MATCH(AC$3,'[1]salary allocation'!$E$3:$J$3,0)),0)</f>
        <v>0</v>
      </c>
      <c r="AD83" s="17"/>
      <c r="AE83" s="16"/>
      <c r="AF83" s="15"/>
      <c r="AG83" s="15">
        <f>-K83</f>
        <v>62640</v>
      </c>
      <c r="AH83" s="2">
        <f>K83+SUM(O83:AC83)</f>
        <v>0</v>
      </c>
      <c r="AI83" s="2">
        <f>K83+SUM(AF83:AG83)</f>
        <v>0</v>
      </c>
    </row>
    <row r="84" spans="1:35" x14ac:dyDescent="0.2">
      <c r="A84" s="69" t="s">
        <v>61</v>
      </c>
      <c r="B84" s="1" t="s">
        <v>770</v>
      </c>
      <c r="H84" s="1" t="s">
        <v>43</v>
      </c>
      <c r="I84" s="1" t="s">
        <v>783</v>
      </c>
      <c r="K84" s="2">
        <v>-4275432</v>
      </c>
      <c r="L84" s="46">
        <v>22025</v>
      </c>
      <c r="M84" s="42" t="str">
        <f>LEFT(I84,(LEN(LEFT(I84,FIND(";",I84)))-8))</f>
        <v>VNMOET</v>
      </c>
      <c r="N84" s="42" t="s">
        <v>138</v>
      </c>
      <c r="O84" s="15">
        <f>-$K84*IFERROR(INDEX('[1]salary allocation'!$E$6:$J$22,MATCH($H84,'[1]salary allocation'!$D$6:$D$22,0),MATCH(O$3,'[1]salary allocation'!$E$3:$J$3,0)),0)</f>
        <v>0</v>
      </c>
      <c r="P84" s="15">
        <f>-$K84*IFERROR(INDEX('[1]salary allocation'!$E$6:$J$22,MATCH($H84,'[1]salary allocation'!$D$6:$D$22,0),MATCH(P$3,'[1]salary allocation'!$E$3:$J$3,0)),0)</f>
        <v>0</v>
      </c>
      <c r="Q84" s="15">
        <f>-$K84*IFERROR(INDEX('[1]salary allocation'!$E$6:$J$22,MATCH($H84,'[1]salary allocation'!$D$6:$D$22,0),MATCH(Q$3,'[1]salary allocation'!$E$3:$J$3,0)),0)</f>
        <v>0</v>
      </c>
      <c r="R84" s="15">
        <f>-$K84*IFERROR(INDEX('[1]salary allocation'!$E$6:$J$22,MATCH($H84,'[1]salary allocation'!$D$6:$D$22,0),MATCH(R$3,'[1]salary allocation'!$E$3:$J$3,0)),0)</f>
        <v>0</v>
      </c>
      <c r="S84" s="15">
        <f>-$K84*IFERROR(INDEX('[1]salary allocation'!$E$6:$J$22,MATCH($H84,'[1]salary allocation'!$D$6:$D$22,0),MATCH(S$3,'[1]salary allocation'!$E$3:$J$3,0)),0)</f>
        <v>855086.4</v>
      </c>
      <c r="T84" s="15">
        <f>-$K84*IFERROR(INDEX('[1]salary allocation'!$E$6:$J$22,MATCH($H84,'[1]salary allocation'!$D$6:$D$22,0),MATCH(T$3,'[1]salary allocation'!$E$3:$J$3,0)),0)</f>
        <v>855086.4</v>
      </c>
      <c r="U84" s="15">
        <f>-$K84*IFERROR(INDEX('[1]salary allocation'!$E$6:$J$22,MATCH($H84,'[1]salary allocation'!$D$6:$D$22,0),MATCH(U$3,'[1]salary allocation'!$E$3:$J$3,0)),0)</f>
        <v>855086.4</v>
      </c>
      <c r="V84" s="15">
        <f>-$K84*IFERROR(INDEX('[1]salary allocation'!$E$6:$J$22,MATCH($H84,'[1]salary allocation'!$D$6:$D$22,0),MATCH(V$3,'[1]salary allocation'!$E$3:$J$3,0)),0)</f>
        <v>0</v>
      </c>
      <c r="W84" s="15">
        <f>-$K84*IFERROR(INDEX('[1]salary allocation'!$E$6:$J$22,MATCH($H84,'[1]salary allocation'!$D$6:$D$22,0),MATCH(W$3,'[1]salary allocation'!$E$3:$J$3,0)),0)</f>
        <v>1710172.8</v>
      </c>
      <c r="X84" s="15">
        <f>-$K84*IFERROR(INDEX('[1]salary allocation'!$E$6:$J$22,MATCH($H84,'[1]salary allocation'!$D$6:$D$22,0),MATCH(X$3,'[1]salary allocation'!$E$3:$J$3,0)),0)</f>
        <v>0</v>
      </c>
      <c r="Y84" s="15">
        <f>-$K84*IFERROR(INDEX('[1]salary allocation'!$E$6:$J$22,MATCH($H84,'[1]salary allocation'!$D$6:$D$22,0),MATCH(Y$3,'[1]salary allocation'!$E$3:$J$3,0)),0)</f>
        <v>0</v>
      </c>
      <c r="Z84" s="15">
        <f>-$K84*IFERROR(INDEX('[1]salary allocation'!$E$6:$J$22,MATCH($H84,'[1]salary allocation'!$D$6:$D$22,0),MATCH(Z$3,'[1]salary allocation'!$E$3:$J$3,0)),0)</f>
        <v>0</v>
      </c>
      <c r="AA84" s="15">
        <f>-$K84*IFERROR(INDEX('[1]salary allocation'!$E$6:$J$22,MATCH($H84,'[1]salary allocation'!$D$6:$D$22,0),MATCH(AA$3,'[1]salary allocation'!$E$3:$J$3,0)),0)</f>
        <v>0</v>
      </c>
      <c r="AB84" s="15">
        <f>-$K84*IFERROR(INDEX('[1]salary allocation'!$E$6:$J$22,MATCH($H84,'[1]salary allocation'!$D$6:$D$22,0),MATCH(AB$3,'[1]salary allocation'!$E$3:$J$3,0)),0)</f>
        <v>0</v>
      </c>
      <c r="AC84" s="18">
        <f>-$K84*IFERROR(INDEX('[1]salary allocation'!$E$6:$J$22,MATCH($H84,'[1]salary allocation'!$D$6:$D$22,0),MATCH(AC$3,'[1]salary allocation'!$E$3:$J$3,0)),0)</f>
        <v>0</v>
      </c>
      <c r="AD84" s="17"/>
      <c r="AE84" s="16"/>
      <c r="AF84" s="15">
        <f>-$K84</f>
        <v>4275432</v>
      </c>
      <c r="AG84" s="15"/>
      <c r="AH84" s="2">
        <f>K84+SUM(O84:AC84)</f>
        <v>0</v>
      </c>
      <c r="AI84" s="2">
        <f>K84+SUM(AF84:AG84)</f>
        <v>0</v>
      </c>
    </row>
    <row r="85" spans="1:35" x14ac:dyDescent="0.2">
      <c r="A85" s="69" t="s">
        <v>61</v>
      </c>
      <c r="B85" s="1" t="s">
        <v>770</v>
      </c>
      <c r="H85" s="1" t="s">
        <v>41</v>
      </c>
      <c r="I85" s="1" t="s">
        <v>782</v>
      </c>
      <c r="K85" s="2">
        <v>-3791154</v>
      </c>
      <c r="L85" s="46">
        <v>22025</v>
      </c>
      <c r="M85" s="42" t="str">
        <f>LEFT(I85,(LEN(LEFT(I85,FIND(";",I85)))-8))</f>
        <v>VNMOET</v>
      </c>
      <c r="N85" s="42" t="s">
        <v>138</v>
      </c>
      <c r="O85" s="15">
        <f>-$K85*IFERROR(INDEX('[1]salary allocation'!$E$6:$J$22,MATCH($H85,'[1]salary allocation'!$D$6:$D$22,0),MATCH(O$3,'[1]salary allocation'!$E$3:$J$3,0)),0)</f>
        <v>0</v>
      </c>
      <c r="P85" s="15">
        <f>-$K85*IFERROR(INDEX('[1]salary allocation'!$E$6:$J$22,MATCH($H85,'[1]salary allocation'!$D$6:$D$22,0),MATCH(P$3,'[1]salary allocation'!$E$3:$J$3,0)),0)</f>
        <v>0</v>
      </c>
      <c r="Q85" s="15">
        <f>-$K85*IFERROR(INDEX('[1]salary allocation'!$E$6:$J$22,MATCH($H85,'[1]salary allocation'!$D$6:$D$22,0),MATCH(Q$3,'[1]salary allocation'!$E$3:$J$3,0)),0)</f>
        <v>0</v>
      </c>
      <c r="R85" s="15">
        <f>-$K85*IFERROR(INDEX('[1]salary allocation'!$E$6:$J$22,MATCH($H85,'[1]salary allocation'!$D$6:$D$22,0),MATCH(R$3,'[1]salary allocation'!$E$3:$J$3,0)),0)</f>
        <v>0</v>
      </c>
      <c r="S85" s="15">
        <f>-$K85*IFERROR(INDEX('[1]salary allocation'!$E$6:$J$22,MATCH($H85,'[1]salary allocation'!$D$6:$D$22,0),MATCH(S$3,'[1]salary allocation'!$E$3:$J$3,0)),0)</f>
        <v>0</v>
      </c>
      <c r="T85" s="15">
        <f>-$K85*IFERROR(INDEX('[1]salary allocation'!$E$6:$J$22,MATCH($H85,'[1]salary allocation'!$D$6:$D$22,0),MATCH(T$3,'[1]salary allocation'!$E$3:$J$3,0)),0)</f>
        <v>0</v>
      </c>
      <c r="U85" s="15">
        <f>-$K85*IFERROR(INDEX('[1]salary allocation'!$E$6:$J$22,MATCH($H85,'[1]salary allocation'!$D$6:$D$22,0),MATCH(U$3,'[1]salary allocation'!$E$3:$J$3,0)),0)</f>
        <v>0</v>
      </c>
      <c r="V85" s="15">
        <f>-$K85*IFERROR(INDEX('[1]salary allocation'!$E$6:$J$22,MATCH($H85,'[1]salary allocation'!$D$6:$D$22,0),MATCH(V$3,'[1]salary allocation'!$E$3:$J$3,0)),0)</f>
        <v>0</v>
      </c>
      <c r="W85" s="15">
        <f>-$K85*IFERROR(INDEX('[1]salary allocation'!$E$6:$J$22,MATCH($H85,'[1]salary allocation'!$D$6:$D$22,0),MATCH(W$3,'[1]salary allocation'!$E$3:$J$3,0)),0)</f>
        <v>3791154</v>
      </c>
      <c r="X85" s="15">
        <f>-$K85*IFERROR(INDEX('[1]salary allocation'!$E$6:$J$22,MATCH($H85,'[1]salary allocation'!$D$6:$D$22,0),MATCH(X$3,'[1]salary allocation'!$E$3:$J$3,0)),0)</f>
        <v>0</v>
      </c>
      <c r="Y85" s="15">
        <f>-$K85*IFERROR(INDEX('[1]salary allocation'!$E$6:$J$22,MATCH($H85,'[1]salary allocation'!$D$6:$D$22,0),MATCH(Y$3,'[1]salary allocation'!$E$3:$J$3,0)),0)</f>
        <v>0</v>
      </c>
      <c r="Z85" s="15">
        <f>-$K85*IFERROR(INDEX('[1]salary allocation'!$E$6:$J$22,MATCH($H85,'[1]salary allocation'!$D$6:$D$22,0),MATCH(Z$3,'[1]salary allocation'!$E$3:$J$3,0)),0)</f>
        <v>0</v>
      </c>
      <c r="AA85" s="15">
        <f>-$K85*IFERROR(INDEX('[1]salary allocation'!$E$6:$J$22,MATCH($H85,'[1]salary allocation'!$D$6:$D$22,0),MATCH(AA$3,'[1]salary allocation'!$E$3:$J$3,0)),0)</f>
        <v>0</v>
      </c>
      <c r="AB85" s="15">
        <f>-$K85*IFERROR(INDEX('[1]salary allocation'!$E$6:$J$22,MATCH($H85,'[1]salary allocation'!$D$6:$D$22,0),MATCH(AB$3,'[1]salary allocation'!$E$3:$J$3,0)),0)</f>
        <v>0</v>
      </c>
      <c r="AC85" s="18">
        <f>-$K85*IFERROR(INDEX('[1]salary allocation'!$E$6:$J$22,MATCH($H85,'[1]salary allocation'!$D$6:$D$22,0),MATCH(AC$3,'[1]salary allocation'!$E$3:$J$3,0)),0)</f>
        <v>0</v>
      </c>
      <c r="AD85" s="17"/>
      <c r="AE85" s="16"/>
      <c r="AF85" s="15">
        <f>-$K85</f>
        <v>3791154</v>
      </c>
      <c r="AG85" s="15"/>
      <c r="AH85" s="2">
        <f>K85+SUM(O85:AC85)</f>
        <v>0</v>
      </c>
      <c r="AI85" s="2">
        <f>K85+SUM(AF85:AG85)</f>
        <v>0</v>
      </c>
    </row>
    <row r="86" spans="1:35" x14ac:dyDescent="0.2">
      <c r="A86" s="69" t="s">
        <v>61</v>
      </c>
      <c r="B86" s="1" t="s">
        <v>770</v>
      </c>
      <c r="H86" s="1" t="s">
        <v>39</v>
      </c>
      <c r="I86" s="1" t="s">
        <v>781</v>
      </c>
      <c r="K86" s="2">
        <v>-4275432</v>
      </c>
      <c r="L86" s="46">
        <v>22025</v>
      </c>
      <c r="M86" s="42" t="str">
        <f>LEFT(I86,(LEN(LEFT(I86,FIND(";",I86)))-8))</f>
        <v>VNMOET</v>
      </c>
      <c r="N86" s="42" t="s">
        <v>138</v>
      </c>
      <c r="O86" s="15">
        <f>-$K86*IFERROR(INDEX('[1]salary allocation'!$E$6:$J$22,MATCH($H86,'[1]salary allocation'!$D$6:$D$22,0),MATCH(O$3,'[1]salary allocation'!$E$3:$J$3,0)),0)</f>
        <v>0</v>
      </c>
      <c r="P86" s="15">
        <f>-$K86*IFERROR(INDEX('[1]salary allocation'!$E$6:$J$22,MATCH($H86,'[1]salary allocation'!$D$6:$D$22,0),MATCH(P$3,'[1]salary allocation'!$E$3:$J$3,0)),0)</f>
        <v>0</v>
      </c>
      <c r="Q86" s="15">
        <f>-$K86*IFERROR(INDEX('[1]salary allocation'!$E$6:$J$22,MATCH($H86,'[1]salary allocation'!$D$6:$D$22,0),MATCH(Q$3,'[1]salary allocation'!$E$3:$J$3,0)),0)</f>
        <v>0</v>
      </c>
      <c r="R86" s="15">
        <f>-$K86*IFERROR(INDEX('[1]salary allocation'!$E$6:$J$22,MATCH($H86,'[1]salary allocation'!$D$6:$D$22,0),MATCH(R$3,'[1]salary allocation'!$E$3:$J$3,0)),0)</f>
        <v>0</v>
      </c>
      <c r="S86" s="15">
        <f>-$K86*IFERROR(INDEX('[1]salary allocation'!$E$6:$J$22,MATCH($H86,'[1]salary allocation'!$D$6:$D$22,0),MATCH(S$3,'[1]salary allocation'!$E$3:$J$3,0)),0)</f>
        <v>0</v>
      </c>
      <c r="T86" s="15">
        <f>-$K86*IFERROR(INDEX('[1]salary allocation'!$E$6:$J$22,MATCH($H86,'[1]salary allocation'!$D$6:$D$22,0),MATCH(T$3,'[1]salary allocation'!$E$3:$J$3,0)),0)</f>
        <v>0</v>
      </c>
      <c r="U86" s="15">
        <f>-$K86*IFERROR(INDEX('[1]salary allocation'!$E$6:$J$22,MATCH($H86,'[1]salary allocation'!$D$6:$D$22,0),MATCH(U$3,'[1]salary allocation'!$E$3:$J$3,0)),0)</f>
        <v>0</v>
      </c>
      <c r="V86" s="15">
        <f>-$K86*IFERROR(INDEX('[1]salary allocation'!$E$6:$J$22,MATCH($H86,'[1]salary allocation'!$D$6:$D$22,0),MATCH(V$3,'[1]salary allocation'!$E$3:$J$3,0)),0)</f>
        <v>0</v>
      </c>
      <c r="W86" s="15">
        <f>-$K86*IFERROR(INDEX('[1]salary allocation'!$E$6:$J$22,MATCH($H86,'[1]salary allocation'!$D$6:$D$22,0),MATCH(W$3,'[1]salary allocation'!$E$3:$J$3,0)),0)</f>
        <v>4275432</v>
      </c>
      <c r="X86" s="15">
        <f>-$K86*IFERROR(INDEX('[1]salary allocation'!$E$6:$J$22,MATCH($H86,'[1]salary allocation'!$D$6:$D$22,0),MATCH(X$3,'[1]salary allocation'!$E$3:$J$3,0)),0)</f>
        <v>0</v>
      </c>
      <c r="Y86" s="15">
        <f>-$K86*IFERROR(INDEX('[1]salary allocation'!$E$6:$J$22,MATCH($H86,'[1]salary allocation'!$D$6:$D$22,0),MATCH(Y$3,'[1]salary allocation'!$E$3:$J$3,0)),0)</f>
        <v>0</v>
      </c>
      <c r="Z86" s="15">
        <f>-$K86*IFERROR(INDEX('[1]salary allocation'!$E$6:$J$22,MATCH($H86,'[1]salary allocation'!$D$6:$D$22,0),MATCH(Z$3,'[1]salary allocation'!$E$3:$J$3,0)),0)</f>
        <v>0</v>
      </c>
      <c r="AA86" s="15">
        <f>-$K86*IFERROR(INDEX('[1]salary allocation'!$E$6:$J$22,MATCH($H86,'[1]salary allocation'!$D$6:$D$22,0),MATCH(AA$3,'[1]salary allocation'!$E$3:$J$3,0)),0)</f>
        <v>0</v>
      </c>
      <c r="AB86" s="15">
        <f>-$K86*IFERROR(INDEX('[1]salary allocation'!$E$6:$J$22,MATCH($H86,'[1]salary allocation'!$D$6:$D$22,0),MATCH(AB$3,'[1]salary allocation'!$E$3:$J$3,0)),0)</f>
        <v>0</v>
      </c>
      <c r="AC86" s="18">
        <f>-$K86*IFERROR(INDEX('[1]salary allocation'!$E$6:$J$22,MATCH($H86,'[1]salary allocation'!$D$6:$D$22,0),MATCH(AC$3,'[1]salary allocation'!$E$3:$J$3,0)),0)</f>
        <v>0</v>
      </c>
      <c r="AD86" s="17"/>
      <c r="AE86" s="16"/>
      <c r="AF86" s="15">
        <f>-$K86</f>
        <v>4275432</v>
      </c>
      <c r="AG86" s="15"/>
      <c r="AH86" s="2">
        <f>K86+SUM(O86:AC86)</f>
        <v>0</v>
      </c>
      <c r="AI86" s="2">
        <f>K86+SUM(AF86:AG86)</f>
        <v>0</v>
      </c>
    </row>
    <row r="87" spans="1:35" x14ac:dyDescent="0.2">
      <c r="A87" s="69" t="s">
        <v>61</v>
      </c>
      <c r="B87" s="1" t="s">
        <v>770</v>
      </c>
      <c r="H87" s="1" t="s">
        <v>37</v>
      </c>
      <c r="I87" s="1" t="s">
        <v>780</v>
      </c>
      <c r="K87" s="2">
        <v>-3774191</v>
      </c>
      <c r="L87" s="46">
        <v>22025</v>
      </c>
      <c r="M87" s="42" t="str">
        <f>LEFT(I87,(LEN(LEFT(I87,FIND(";",I87)))-8))</f>
        <v>VNOther</v>
      </c>
      <c r="N87" s="42" t="s">
        <v>138</v>
      </c>
      <c r="O87" s="15">
        <f>-$K87*IFERROR(INDEX('[1]salary allocation'!$E$6:$J$22,MATCH($H87,'[1]salary allocation'!$D$6:$D$22,0),MATCH(O$3,'[1]salary allocation'!$E$3:$J$3,0)),0)</f>
        <v>0</v>
      </c>
      <c r="P87" s="15">
        <f>-$K87*IFERROR(INDEX('[1]salary allocation'!$E$6:$J$22,MATCH($H87,'[1]salary allocation'!$D$6:$D$22,0),MATCH(P$3,'[1]salary allocation'!$E$3:$J$3,0)),0)</f>
        <v>566128.65</v>
      </c>
      <c r="Q87" s="15">
        <f>-$K87*IFERROR(INDEX('[1]salary allocation'!$E$6:$J$22,MATCH($H87,'[1]salary allocation'!$D$6:$D$22,0),MATCH(Q$3,'[1]salary allocation'!$E$3:$J$3,0)),0)</f>
        <v>0</v>
      </c>
      <c r="R87" s="15">
        <f>-$K87*IFERROR(INDEX('[1]salary allocation'!$E$6:$J$22,MATCH($H87,'[1]salary allocation'!$D$6:$D$22,0),MATCH(R$3,'[1]salary allocation'!$E$3:$J$3,0)),0)</f>
        <v>0</v>
      </c>
      <c r="S87" s="15">
        <f>-$K87*IFERROR(INDEX('[1]salary allocation'!$E$6:$J$22,MATCH($H87,'[1]salary allocation'!$D$6:$D$22,0),MATCH(S$3,'[1]salary allocation'!$E$3:$J$3,0)),0)</f>
        <v>641612.47</v>
      </c>
      <c r="T87" s="15">
        <f>-$K87*IFERROR(INDEX('[1]salary allocation'!$E$6:$J$22,MATCH($H87,'[1]salary allocation'!$D$6:$D$22,0),MATCH(T$3,'[1]salary allocation'!$E$3:$J$3,0)),0)</f>
        <v>641612.47</v>
      </c>
      <c r="U87" s="15">
        <f>-$K87*IFERROR(INDEX('[1]salary allocation'!$E$6:$J$22,MATCH($H87,'[1]salary allocation'!$D$6:$D$22,0),MATCH(U$3,'[1]salary allocation'!$E$3:$J$3,0)),0)</f>
        <v>641612.47</v>
      </c>
      <c r="V87" s="15">
        <f>-$K87*IFERROR(INDEX('[1]salary allocation'!$E$6:$J$22,MATCH($H87,'[1]salary allocation'!$D$6:$D$22,0),MATCH(V$3,'[1]salary allocation'!$E$3:$J$3,0)),0)</f>
        <v>0</v>
      </c>
      <c r="W87" s="15">
        <f>-$K87*IFERROR(INDEX('[1]salary allocation'!$E$6:$J$22,MATCH($H87,'[1]salary allocation'!$D$6:$D$22,0),MATCH(W$3,'[1]salary allocation'!$E$3:$J$3,0)),0)</f>
        <v>1283224.94</v>
      </c>
      <c r="X87" s="15">
        <f>-$K87*IFERROR(INDEX('[1]salary allocation'!$E$6:$J$22,MATCH($H87,'[1]salary allocation'!$D$6:$D$22,0),MATCH(X$3,'[1]salary allocation'!$E$3:$J$3,0)),0)</f>
        <v>0</v>
      </c>
      <c r="Y87" s="15">
        <f>-$K87*IFERROR(INDEX('[1]salary allocation'!$E$6:$J$22,MATCH($H87,'[1]salary allocation'!$D$6:$D$22,0),MATCH(Y$3,'[1]salary allocation'!$E$3:$J$3,0)),0)</f>
        <v>0</v>
      </c>
      <c r="Z87" s="15">
        <f>-$K87*IFERROR(INDEX('[1]salary allocation'!$E$6:$J$22,MATCH($H87,'[1]salary allocation'!$D$6:$D$22,0),MATCH(Z$3,'[1]salary allocation'!$E$3:$J$3,0)),0)</f>
        <v>0</v>
      </c>
      <c r="AA87" s="15">
        <f>-$K87*IFERROR(INDEX('[1]salary allocation'!$E$6:$J$22,MATCH($H87,'[1]salary allocation'!$D$6:$D$22,0),MATCH(AA$3,'[1]salary allocation'!$E$3:$J$3,0)),0)</f>
        <v>0</v>
      </c>
      <c r="AB87" s="15">
        <f>-$K87*IFERROR(INDEX('[1]salary allocation'!$E$6:$J$22,MATCH($H87,'[1]salary allocation'!$D$6:$D$22,0),MATCH(AB$3,'[1]salary allocation'!$E$3:$J$3,0)),0)</f>
        <v>0</v>
      </c>
      <c r="AC87" s="18">
        <f>-$K87*IFERROR(INDEX('[1]salary allocation'!$E$6:$J$22,MATCH($H87,'[1]salary allocation'!$D$6:$D$22,0),MATCH(AC$3,'[1]salary allocation'!$E$3:$J$3,0)),0)</f>
        <v>0</v>
      </c>
      <c r="AD87" s="17"/>
      <c r="AE87" s="16"/>
      <c r="AF87" s="15">
        <f>-K87</f>
        <v>3774191</v>
      </c>
      <c r="AG87" s="15"/>
      <c r="AH87" s="2">
        <f>K87+SUM(O87:AC87)</f>
        <v>0</v>
      </c>
      <c r="AI87" s="2">
        <f>K87+SUM(AF87:AG87)</f>
        <v>0</v>
      </c>
    </row>
    <row r="88" spans="1:35" x14ac:dyDescent="0.2">
      <c r="A88" s="69" t="s">
        <v>61</v>
      </c>
      <c r="B88" s="1" t="s">
        <v>770</v>
      </c>
      <c r="H88" s="1" t="s">
        <v>35</v>
      </c>
      <c r="I88" s="1" t="s">
        <v>779</v>
      </c>
      <c r="K88" s="2">
        <v>-7843318</v>
      </c>
      <c r="L88" s="46">
        <v>22025</v>
      </c>
      <c r="M88" s="42" t="str">
        <f>LEFT(I88,(LEN(LEFT(I88,FIND(";",I88)))-8))</f>
        <v>VNOther</v>
      </c>
      <c r="N88" s="42" t="s">
        <v>138</v>
      </c>
      <c r="O88" s="15">
        <f>-$K88*IFERROR(INDEX('[1]salary allocation'!$E$6:$J$22,MATCH($H88,'[1]salary allocation'!$D$6:$D$22,0),MATCH(O$3,'[1]salary allocation'!$E$3:$J$3,0)),0)</f>
        <v>0</v>
      </c>
      <c r="P88" s="15">
        <f>-$K88*IFERROR(INDEX('[1]salary allocation'!$E$6:$J$22,MATCH($H88,'[1]salary allocation'!$D$6:$D$22,0),MATCH(P$3,'[1]salary allocation'!$E$3:$J$3,0)),0)</f>
        <v>1176497.7</v>
      </c>
      <c r="Q88" s="15">
        <f>-$K88*IFERROR(INDEX('[1]salary allocation'!$E$6:$J$22,MATCH($H88,'[1]salary allocation'!$D$6:$D$22,0),MATCH(Q$3,'[1]salary allocation'!$E$3:$J$3,0)),0)</f>
        <v>0</v>
      </c>
      <c r="R88" s="15">
        <f>-$K88*IFERROR(INDEX('[1]salary allocation'!$E$6:$J$22,MATCH($H88,'[1]salary allocation'!$D$6:$D$22,0),MATCH(R$3,'[1]salary allocation'!$E$3:$J$3,0)),0)</f>
        <v>0</v>
      </c>
      <c r="S88" s="15">
        <f>-$K88*IFERROR(INDEX('[1]salary allocation'!$E$6:$J$22,MATCH($H88,'[1]salary allocation'!$D$6:$D$22,0),MATCH(S$3,'[1]salary allocation'!$E$3:$J$3,0)),0)</f>
        <v>1333364.0599999998</v>
      </c>
      <c r="T88" s="15">
        <f>-$K88*IFERROR(INDEX('[1]salary allocation'!$E$6:$J$22,MATCH($H88,'[1]salary allocation'!$D$6:$D$22,0),MATCH(T$3,'[1]salary allocation'!$E$3:$J$3,0)),0)</f>
        <v>1333364.0599999998</v>
      </c>
      <c r="U88" s="15">
        <f>-$K88*IFERROR(INDEX('[1]salary allocation'!$E$6:$J$22,MATCH($H88,'[1]salary allocation'!$D$6:$D$22,0),MATCH(U$3,'[1]salary allocation'!$E$3:$J$3,0)),0)</f>
        <v>1333364.0599999998</v>
      </c>
      <c r="V88" s="15">
        <f>-$K88*IFERROR(INDEX('[1]salary allocation'!$E$6:$J$22,MATCH($H88,'[1]salary allocation'!$D$6:$D$22,0),MATCH(V$3,'[1]salary allocation'!$E$3:$J$3,0)),0)</f>
        <v>0</v>
      </c>
      <c r="W88" s="15">
        <f>-$K88*IFERROR(INDEX('[1]salary allocation'!$E$6:$J$22,MATCH($H88,'[1]salary allocation'!$D$6:$D$22,0),MATCH(W$3,'[1]salary allocation'!$E$3:$J$3,0)),0)</f>
        <v>2666728.1199999996</v>
      </c>
      <c r="X88" s="15">
        <f>-$K88*IFERROR(INDEX('[1]salary allocation'!$E$6:$J$22,MATCH($H88,'[1]salary allocation'!$D$6:$D$22,0),MATCH(X$3,'[1]salary allocation'!$E$3:$J$3,0)),0)</f>
        <v>0</v>
      </c>
      <c r="Y88" s="15">
        <f>-$K88*IFERROR(INDEX('[1]salary allocation'!$E$6:$J$22,MATCH($H88,'[1]salary allocation'!$D$6:$D$22,0),MATCH(Y$3,'[1]salary allocation'!$E$3:$J$3,0)),0)</f>
        <v>0</v>
      </c>
      <c r="Z88" s="15">
        <f>-$K88*IFERROR(INDEX('[1]salary allocation'!$E$6:$J$22,MATCH($H88,'[1]salary allocation'!$D$6:$D$22,0),MATCH(Z$3,'[1]salary allocation'!$E$3:$J$3,0)),0)</f>
        <v>0</v>
      </c>
      <c r="AA88" s="15">
        <f>-$K88*IFERROR(INDEX('[1]salary allocation'!$E$6:$J$22,MATCH($H88,'[1]salary allocation'!$D$6:$D$22,0),MATCH(AA$3,'[1]salary allocation'!$E$3:$J$3,0)),0)</f>
        <v>0</v>
      </c>
      <c r="AB88" s="15">
        <f>-$K88*IFERROR(INDEX('[1]salary allocation'!$E$6:$J$22,MATCH($H88,'[1]salary allocation'!$D$6:$D$22,0),MATCH(AB$3,'[1]salary allocation'!$E$3:$J$3,0)),0)</f>
        <v>0</v>
      </c>
      <c r="AC88" s="18">
        <f>-$K88*IFERROR(INDEX('[1]salary allocation'!$E$6:$J$22,MATCH($H88,'[1]salary allocation'!$D$6:$D$22,0),MATCH(AC$3,'[1]salary allocation'!$E$3:$J$3,0)),0)</f>
        <v>0</v>
      </c>
      <c r="AD88" s="17"/>
      <c r="AE88" s="16"/>
      <c r="AF88" s="15">
        <f>-$K88</f>
        <v>7843318</v>
      </c>
      <c r="AG88" s="15"/>
      <c r="AH88" s="2">
        <f>K88+SUM(O88:AC88)</f>
        <v>0</v>
      </c>
      <c r="AI88" s="2">
        <f>K88+SUM(AF88:AG88)</f>
        <v>0</v>
      </c>
    </row>
    <row r="89" spans="1:35" x14ac:dyDescent="0.2">
      <c r="A89" s="69" t="s">
        <v>61</v>
      </c>
      <c r="B89" s="1" t="s">
        <v>770</v>
      </c>
      <c r="H89" s="1" t="s">
        <v>121</v>
      </c>
      <c r="I89" s="1" t="s">
        <v>727</v>
      </c>
      <c r="K89" s="2">
        <v>-152496</v>
      </c>
      <c r="L89" s="46">
        <v>22025</v>
      </c>
      <c r="M89" s="42" t="str">
        <f>LEFT(I89,(LEN(LEFT(I89,FIND(";",I89)))-8))</f>
        <v>VNLA</v>
      </c>
      <c r="N89" s="42" t="s">
        <v>138</v>
      </c>
      <c r="O89" s="2">
        <f>IF($M89=O$3,-$K89,0)</f>
        <v>0</v>
      </c>
      <c r="P89" s="2">
        <f>IF($M89=P$3,-$K89,0)</f>
        <v>0</v>
      </c>
      <c r="Q89" s="2">
        <f>IF($M89=Q$3,-$K89,0)</f>
        <v>0</v>
      </c>
      <c r="R89" s="2">
        <f>IF($M89=R$3,-$K89,0)</f>
        <v>0</v>
      </c>
      <c r="S89" s="2">
        <f>IF($M89=S$3,-$K89,0)</f>
        <v>0</v>
      </c>
      <c r="T89" s="2">
        <f>IF($M89=T$3,-$K89,0)</f>
        <v>0</v>
      </c>
      <c r="U89" s="2">
        <f>IF($M89=U$3,-$K89,0)</f>
        <v>0</v>
      </c>
      <c r="V89" s="2">
        <f>IF($M89=V$3,-$K89,0)</f>
        <v>0</v>
      </c>
      <c r="W89" s="2">
        <f>IF($M89=W$3,-$K89,0)</f>
        <v>0</v>
      </c>
      <c r="X89" s="2">
        <f>IF($M89=X$3,-$K89,0)</f>
        <v>152496</v>
      </c>
      <c r="Y89" s="2">
        <f>IF($M89=Y$3,-$K89,0)</f>
        <v>0</v>
      </c>
      <c r="Z89" s="2">
        <f>IF($M89=Z$3,-$K89,0)</f>
        <v>0</v>
      </c>
      <c r="AA89" s="2">
        <f>IF($M89=AA$3,-$K89,0)</f>
        <v>0</v>
      </c>
      <c r="AB89" s="2">
        <f>IF($M89=AB$3,-$K89,0)</f>
        <v>0</v>
      </c>
      <c r="AC89" s="21">
        <f>IF($M89=AC$3,-$K89,0)</f>
        <v>0</v>
      </c>
      <c r="AD89" s="20"/>
      <c r="AE89" s="19"/>
      <c r="AF89" s="2"/>
      <c r="AG89" s="2">
        <f>-$K89</f>
        <v>152496</v>
      </c>
      <c r="AH89" s="2">
        <f>K89+SUM(O89:AC89)</f>
        <v>0</v>
      </c>
      <c r="AI89" s="2">
        <f>K89+SUM(AF89:AG89)</f>
        <v>0</v>
      </c>
    </row>
    <row r="90" spans="1:35" x14ac:dyDescent="0.2">
      <c r="A90" s="69" t="s">
        <v>61</v>
      </c>
      <c r="B90" s="1" t="s">
        <v>770</v>
      </c>
      <c r="H90" s="1" t="s">
        <v>33</v>
      </c>
      <c r="I90" s="1" t="s">
        <v>778</v>
      </c>
      <c r="K90" s="2">
        <v>-143754</v>
      </c>
      <c r="L90" s="46">
        <v>22025</v>
      </c>
      <c r="M90" s="42" t="str">
        <f>LEFT(I90,(LEN(LEFT(I90,FIND(";",I90)))-8))</f>
        <v>VNDN</v>
      </c>
      <c r="N90" s="42" t="s">
        <v>138</v>
      </c>
      <c r="O90" s="2">
        <f>IF($M90=O$3,-$K90,0)</f>
        <v>0</v>
      </c>
      <c r="P90" s="2">
        <f>IF($M90=P$3,-$K90,0)</f>
        <v>0</v>
      </c>
      <c r="Q90" s="2">
        <f>IF($M90=Q$3,-$K90,0)</f>
        <v>0</v>
      </c>
      <c r="R90" s="2">
        <f>IF($M90=R$3,-$K90,0)</f>
        <v>0</v>
      </c>
      <c r="S90" s="2">
        <f>IF($M90=S$3,-$K90,0)</f>
        <v>143754</v>
      </c>
      <c r="T90" s="2">
        <f>IF($M90=T$3,-$K90,0)</f>
        <v>0</v>
      </c>
      <c r="U90" s="2">
        <f>IF($M90=U$3,-$K90,0)</f>
        <v>0</v>
      </c>
      <c r="V90" s="2">
        <f>IF($M90=V$3,-$K90,0)</f>
        <v>0</v>
      </c>
      <c r="W90" s="2">
        <f>IF($M90=W$3,-$K90,0)</f>
        <v>0</v>
      </c>
      <c r="X90" s="2">
        <f>IF($M90=X$3,-$K90,0)</f>
        <v>0</v>
      </c>
      <c r="Y90" s="2">
        <f>IF($M90=Y$3,-$K90,0)</f>
        <v>0</v>
      </c>
      <c r="Z90" s="2">
        <f>IF($M90=Z$3,-$K90,0)</f>
        <v>0</v>
      </c>
      <c r="AA90" s="2">
        <f>IF($M90=AA$3,-$K90,0)</f>
        <v>0</v>
      </c>
      <c r="AB90" s="2">
        <f>IF($M90=AB$3,-$K90,0)</f>
        <v>0</v>
      </c>
      <c r="AC90" s="21">
        <f>IF($M90=AC$3,-$K90,0)</f>
        <v>0</v>
      </c>
      <c r="AD90" s="20"/>
      <c r="AE90" s="19"/>
      <c r="AF90" s="2"/>
      <c r="AG90" s="2">
        <f>-$K90</f>
        <v>143754</v>
      </c>
      <c r="AH90" s="2">
        <f>K90+SUM(O90:AC90)</f>
        <v>0</v>
      </c>
      <c r="AI90" s="2">
        <f>K90+SUM(AF90:AG90)</f>
        <v>0</v>
      </c>
    </row>
    <row r="91" spans="1:35" x14ac:dyDescent="0.2">
      <c r="A91" s="69" t="s">
        <v>61</v>
      </c>
      <c r="B91" s="1" t="s">
        <v>770</v>
      </c>
      <c r="H91" s="1" t="s">
        <v>31</v>
      </c>
      <c r="I91" s="1" t="s">
        <v>725</v>
      </c>
      <c r="K91" s="2">
        <v>0</v>
      </c>
      <c r="L91" s="46">
        <v>22025</v>
      </c>
      <c r="M91" s="42" t="str">
        <f>LEFT(I91,(LEN(LEFT(I91,FIND(";",I91)))-8))</f>
        <v>VNDN</v>
      </c>
      <c r="N91" s="42" t="s">
        <v>138</v>
      </c>
      <c r="O91" s="2">
        <f>IF($M91=O$3,-$K91,0)</f>
        <v>0</v>
      </c>
      <c r="P91" s="2">
        <f>IF($M91=P$3,-$K91,0)</f>
        <v>0</v>
      </c>
      <c r="Q91" s="2">
        <f>IF($M91=Q$3,-$K91,0)</f>
        <v>0</v>
      </c>
      <c r="R91" s="2">
        <f>IF($M91=R$3,-$K91,0)</f>
        <v>0</v>
      </c>
      <c r="S91" s="2">
        <f>IF($M91=S$3,-$K91,0)</f>
        <v>0</v>
      </c>
      <c r="T91" s="2">
        <f>IF($M91=T$3,-$K91,0)</f>
        <v>0</v>
      </c>
      <c r="U91" s="2">
        <f>IF($M91=U$3,-$K91,0)</f>
        <v>0</v>
      </c>
      <c r="V91" s="2">
        <f>IF($M91=V$3,-$K91,0)</f>
        <v>0</v>
      </c>
      <c r="W91" s="2">
        <f>IF($M91=W$3,-$K91,0)</f>
        <v>0</v>
      </c>
      <c r="X91" s="2">
        <f>IF($M91=X$3,-$K91,0)</f>
        <v>0</v>
      </c>
      <c r="Y91" s="2">
        <f>IF($M91=Y$3,-$K91,0)</f>
        <v>0</v>
      </c>
      <c r="Z91" s="2">
        <f>IF($M91=Z$3,-$K91,0)</f>
        <v>0</v>
      </c>
      <c r="AA91" s="2">
        <f>IF($M91=AA$3,-$K91,0)</f>
        <v>0</v>
      </c>
      <c r="AB91" s="2">
        <f>IF($M91=AB$3,-$K91,0)</f>
        <v>0</v>
      </c>
      <c r="AC91" s="21">
        <f>IF($M91=AC$3,-$K91,0)</f>
        <v>0</v>
      </c>
      <c r="AD91" s="20"/>
      <c r="AE91" s="19"/>
      <c r="AF91" s="2"/>
      <c r="AG91" s="2">
        <f>-$K91</f>
        <v>0</v>
      </c>
      <c r="AH91" s="2">
        <f>K91+SUM(O91:AC91)</f>
        <v>0</v>
      </c>
      <c r="AI91" s="2">
        <f>K91+SUM(AF91:AG91)</f>
        <v>0</v>
      </c>
    </row>
    <row r="92" spans="1:35" x14ac:dyDescent="0.2">
      <c r="A92" s="69" t="s">
        <v>61</v>
      </c>
      <c r="B92" s="1" t="s">
        <v>770</v>
      </c>
      <c r="H92" s="1" t="s">
        <v>29</v>
      </c>
      <c r="I92" s="1" t="s">
        <v>777</v>
      </c>
      <c r="K92" s="2">
        <v>-108271</v>
      </c>
      <c r="L92" s="46">
        <v>22025</v>
      </c>
      <c r="M92" s="42" t="str">
        <f>LEFT(I92,(LEN(LEFT(I92,FIND(";",I92)))-8))</f>
        <v>VNDN</v>
      </c>
      <c r="N92" s="42" t="s">
        <v>138</v>
      </c>
      <c r="O92" s="2">
        <f>IF($M92=O$3,-$K92,0)</f>
        <v>0</v>
      </c>
      <c r="P92" s="2">
        <f>IF($M92=P$3,-$K92,0)</f>
        <v>0</v>
      </c>
      <c r="Q92" s="2">
        <f>IF($M92=Q$3,-$K92,0)</f>
        <v>0</v>
      </c>
      <c r="R92" s="2">
        <f>IF($M92=R$3,-$K92,0)</f>
        <v>0</v>
      </c>
      <c r="S92" s="2">
        <f>IF($M92=S$3,-$K92,0)</f>
        <v>108271</v>
      </c>
      <c r="T92" s="2">
        <f>IF($M92=T$3,-$K92,0)</f>
        <v>0</v>
      </c>
      <c r="U92" s="2">
        <f>IF($M92=U$3,-$K92,0)</f>
        <v>0</v>
      </c>
      <c r="V92" s="2">
        <f>IF($M92=V$3,-$K92,0)</f>
        <v>0</v>
      </c>
      <c r="W92" s="2">
        <f>IF($M92=W$3,-$K92,0)</f>
        <v>0</v>
      </c>
      <c r="X92" s="2">
        <f>IF($M92=X$3,-$K92,0)</f>
        <v>0</v>
      </c>
      <c r="Y92" s="2">
        <f>IF($M92=Y$3,-$K92,0)</f>
        <v>0</v>
      </c>
      <c r="Z92" s="2">
        <f>IF($M92=Z$3,-$K92,0)</f>
        <v>0</v>
      </c>
      <c r="AA92" s="2">
        <f>IF($M92=AA$3,-$K92,0)</f>
        <v>0</v>
      </c>
      <c r="AB92" s="2">
        <f>IF($M92=AB$3,-$K92,0)</f>
        <v>0</v>
      </c>
      <c r="AC92" s="21">
        <f>IF($M92=AC$3,-$K92,0)</f>
        <v>0</v>
      </c>
      <c r="AD92" s="20"/>
      <c r="AE92" s="19"/>
      <c r="AF92" s="2"/>
      <c r="AG92" s="2">
        <f>-$K92</f>
        <v>108271</v>
      </c>
      <c r="AH92" s="2">
        <f>K92+SUM(O92:AC92)</f>
        <v>0</v>
      </c>
      <c r="AI92" s="2">
        <f>K92+SUM(AF92:AG92)</f>
        <v>0</v>
      </c>
    </row>
    <row r="93" spans="1:35" x14ac:dyDescent="0.2">
      <c r="A93" s="69" t="s">
        <v>61</v>
      </c>
      <c r="B93" s="1" t="s">
        <v>770</v>
      </c>
      <c r="H93" s="1" t="s">
        <v>27</v>
      </c>
      <c r="I93" s="1" t="s">
        <v>723</v>
      </c>
      <c r="K93" s="2">
        <v>0</v>
      </c>
      <c r="L93" s="46">
        <v>22025</v>
      </c>
      <c r="M93" s="42" t="str">
        <f>LEFT(I93,(LEN(LEFT(I93,FIND(";",I93)))-8))</f>
        <v>VNDN</v>
      </c>
      <c r="N93" s="42" t="s">
        <v>138</v>
      </c>
      <c r="O93" s="2">
        <f>IF($M93=O$3,-$K93,0)</f>
        <v>0</v>
      </c>
      <c r="P93" s="2">
        <f>IF($M93=P$3,-$K93,0)</f>
        <v>0</v>
      </c>
      <c r="Q93" s="2">
        <f>IF($M93=Q$3,-$K93,0)</f>
        <v>0</v>
      </c>
      <c r="R93" s="2">
        <f>IF($M93=R$3,-$K93,0)</f>
        <v>0</v>
      </c>
      <c r="S93" s="2">
        <f>IF($M93=S$3,-$K93,0)</f>
        <v>0</v>
      </c>
      <c r="T93" s="2">
        <f>IF($M93=T$3,-$K93,0)</f>
        <v>0</v>
      </c>
      <c r="U93" s="2">
        <f>IF($M93=U$3,-$K93,0)</f>
        <v>0</v>
      </c>
      <c r="V93" s="2">
        <f>IF($M93=V$3,-$K93,0)</f>
        <v>0</v>
      </c>
      <c r="W93" s="2">
        <f>IF($M93=W$3,-$K93,0)</f>
        <v>0</v>
      </c>
      <c r="X93" s="2">
        <f>IF($M93=X$3,-$K93,0)</f>
        <v>0</v>
      </c>
      <c r="Y93" s="2">
        <f>IF($M93=Y$3,-$K93,0)</f>
        <v>0</v>
      </c>
      <c r="Z93" s="2">
        <f>IF($M93=Z$3,-$K93,0)</f>
        <v>0</v>
      </c>
      <c r="AA93" s="2">
        <f>IF($M93=AA$3,-$K93,0)</f>
        <v>0</v>
      </c>
      <c r="AB93" s="2">
        <f>IF($M93=AB$3,-$K93,0)</f>
        <v>0</v>
      </c>
      <c r="AC93" s="21">
        <f>IF($M93=AC$3,-$K93,0)</f>
        <v>0</v>
      </c>
      <c r="AD93" s="20"/>
      <c r="AE93" s="19"/>
      <c r="AF93" s="2"/>
      <c r="AG93" s="2">
        <f>-$K93</f>
        <v>0</v>
      </c>
      <c r="AH93" s="2">
        <f>K93+SUM(O93:AC93)</f>
        <v>0</v>
      </c>
      <c r="AI93" s="2">
        <f>K93+SUM(AF93:AG93)</f>
        <v>0</v>
      </c>
    </row>
    <row r="94" spans="1:35" x14ac:dyDescent="0.2">
      <c r="A94" s="69" t="s">
        <v>61</v>
      </c>
      <c r="B94" s="1" t="s">
        <v>770</v>
      </c>
      <c r="H94" s="1" t="s">
        <v>25</v>
      </c>
      <c r="I94" s="1" t="s">
        <v>776</v>
      </c>
      <c r="K94" s="2">
        <v>-416500</v>
      </c>
      <c r="L94" s="46">
        <v>22025</v>
      </c>
      <c r="M94" s="42" t="str">
        <f>LEFT(I94,(LEN(LEFT(I94,FIND(";",I94)))-8))</f>
        <v>VNQN</v>
      </c>
      <c r="N94" s="42" t="s">
        <v>138</v>
      </c>
      <c r="O94" s="2">
        <f>IF($M94=O$3,-$K94,0)</f>
        <v>0</v>
      </c>
      <c r="P94" s="2">
        <f>IF($M94=P$3,-$K94,0)</f>
        <v>0</v>
      </c>
      <c r="Q94" s="2">
        <f>IF($M94=Q$3,-$K94,0)</f>
        <v>0</v>
      </c>
      <c r="R94" s="2">
        <f>IF($M94=R$3,-$K94,0)</f>
        <v>0</v>
      </c>
      <c r="S94" s="2">
        <f>IF($M94=S$3,-$K94,0)</f>
        <v>0</v>
      </c>
      <c r="T94" s="2">
        <f>IF($M94=T$3,-$K94,0)</f>
        <v>416500</v>
      </c>
      <c r="U94" s="2">
        <f>IF($M94=U$3,-$K94,0)</f>
        <v>0</v>
      </c>
      <c r="V94" s="2">
        <f>IF($M94=V$3,-$K94,0)</f>
        <v>0</v>
      </c>
      <c r="W94" s="2">
        <f>IF($M94=W$3,-$K94,0)</f>
        <v>0</v>
      </c>
      <c r="X94" s="2">
        <f>IF($M94=X$3,-$K94,0)</f>
        <v>0</v>
      </c>
      <c r="Y94" s="2">
        <f>IF($M94=Y$3,-$K94,0)</f>
        <v>0</v>
      </c>
      <c r="Z94" s="2">
        <f>IF($M94=Z$3,-$K94,0)</f>
        <v>0</v>
      </c>
      <c r="AA94" s="2">
        <f>IF($M94=AA$3,-$K94,0)</f>
        <v>0</v>
      </c>
      <c r="AB94" s="2">
        <f>IF($M94=AB$3,-$K94,0)</f>
        <v>0</v>
      </c>
      <c r="AC94" s="21">
        <f>IF($M94=AC$3,-$K94,0)</f>
        <v>0</v>
      </c>
      <c r="AD94" s="20"/>
      <c r="AE94" s="19"/>
      <c r="AF94" s="2"/>
      <c r="AG94" s="2">
        <f>-$K94</f>
        <v>416500</v>
      </c>
      <c r="AH94" s="2">
        <f>K94+SUM(O94:AC94)</f>
        <v>0</v>
      </c>
      <c r="AI94" s="2">
        <f>K94+SUM(AF94:AG94)</f>
        <v>0</v>
      </c>
    </row>
    <row r="95" spans="1:35" x14ac:dyDescent="0.2">
      <c r="A95" s="69" t="s">
        <v>61</v>
      </c>
      <c r="B95" s="1" t="s">
        <v>770</v>
      </c>
      <c r="H95" s="1" t="s">
        <v>81</v>
      </c>
      <c r="I95" s="1" t="s">
        <v>775</v>
      </c>
      <c r="K95" s="2">
        <v>0</v>
      </c>
      <c r="L95" s="46">
        <v>22025</v>
      </c>
      <c r="M95" s="42" t="str">
        <f>LEFT(I95,(LEN(LEFT(I95,FIND(";",I95)))-8))</f>
        <v>VNQN</v>
      </c>
      <c r="N95" s="42" t="s">
        <v>138</v>
      </c>
      <c r="O95" s="2">
        <f>IF($M95=O$3,-$K95,0)</f>
        <v>0</v>
      </c>
      <c r="P95" s="2">
        <f>IF($M95=P$3,-$K95,0)</f>
        <v>0</v>
      </c>
      <c r="Q95" s="2">
        <f>IF($M95=Q$3,-$K95,0)</f>
        <v>0</v>
      </c>
      <c r="R95" s="2">
        <f>IF($M95=R$3,-$K95,0)</f>
        <v>0</v>
      </c>
      <c r="S95" s="2">
        <f>IF($M95=S$3,-$K95,0)</f>
        <v>0</v>
      </c>
      <c r="T95" s="2">
        <f>IF($M95=T$3,-$K95,0)</f>
        <v>0</v>
      </c>
      <c r="U95" s="2">
        <f>IF($M95=U$3,-$K95,0)</f>
        <v>0</v>
      </c>
      <c r="V95" s="2">
        <f>IF($M95=V$3,-$K95,0)</f>
        <v>0</v>
      </c>
      <c r="W95" s="2">
        <f>IF($M95=W$3,-$K95,0)</f>
        <v>0</v>
      </c>
      <c r="X95" s="2">
        <f>IF($M95=X$3,-$K95,0)</f>
        <v>0</v>
      </c>
      <c r="Y95" s="2">
        <f>IF($M95=Y$3,-$K95,0)</f>
        <v>0</v>
      </c>
      <c r="Z95" s="2">
        <f>IF($M95=Z$3,-$K95,0)</f>
        <v>0</v>
      </c>
      <c r="AA95" s="2">
        <f>IF($M95=AA$3,-$K95,0)</f>
        <v>0</v>
      </c>
      <c r="AB95" s="2">
        <f>IF($M95=AB$3,-$K95,0)</f>
        <v>0</v>
      </c>
      <c r="AC95" s="21">
        <f>IF($M95=AC$3,-$K95,0)</f>
        <v>0</v>
      </c>
      <c r="AD95" s="20"/>
      <c r="AE95" s="19"/>
      <c r="AF95" s="2"/>
      <c r="AG95" s="2">
        <f>-$K95</f>
        <v>0</v>
      </c>
      <c r="AH95" s="2">
        <f>K95+SUM(O95:AC95)</f>
        <v>0</v>
      </c>
      <c r="AI95" s="2">
        <f>K95+SUM(AF95:AG95)</f>
        <v>0</v>
      </c>
    </row>
    <row r="96" spans="1:35" x14ac:dyDescent="0.2">
      <c r="A96" s="69" t="s">
        <v>61</v>
      </c>
      <c r="B96" s="1" t="s">
        <v>770</v>
      </c>
      <c r="H96" s="1" t="s">
        <v>23</v>
      </c>
      <c r="I96" s="1" t="s">
        <v>720</v>
      </c>
      <c r="K96" s="2">
        <v>0</v>
      </c>
      <c r="L96" s="46">
        <v>22025</v>
      </c>
      <c r="M96" s="42" t="str">
        <f>LEFT(I96,(LEN(LEFT(I96,FIND(";",I96)))-8))</f>
        <v>VNHD</v>
      </c>
      <c r="N96" s="42" t="s">
        <v>138</v>
      </c>
      <c r="O96" s="2">
        <f>IF($M96=O$3,-$K96,0)</f>
        <v>0</v>
      </c>
      <c r="P96" s="2">
        <f>IF($M96=P$3,-$K96,0)</f>
        <v>0</v>
      </c>
      <c r="Q96" s="2">
        <f>IF($M96=Q$3,-$K96,0)</f>
        <v>0</v>
      </c>
      <c r="R96" s="2">
        <f>IF($M96=R$3,-$K96,0)</f>
        <v>0</v>
      </c>
      <c r="S96" s="2">
        <f>IF($M96=S$3,-$K96,0)</f>
        <v>0</v>
      </c>
      <c r="T96" s="2">
        <f>IF($M96=T$3,-$K96,0)</f>
        <v>0</v>
      </c>
      <c r="U96" s="2">
        <f>IF($M96=U$3,-$K96,0)</f>
        <v>0</v>
      </c>
      <c r="V96" s="2">
        <f>IF($M96=V$3,-$K96,0)</f>
        <v>0</v>
      </c>
      <c r="W96" s="2">
        <f>IF($M96=W$3,-$K96,0)</f>
        <v>0</v>
      </c>
      <c r="X96" s="2">
        <f>IF($M96=X$3,-$K96,0)</f>
        <v>0</v>
      </c>
      <c r="Y96" s="2">
        <f>IF($M96=Y$3,-$K96,0)</f>
        <v>0</v>
      </c>
      <c r="Z96" s="2">
        <f>IF($M96=Z$3,-$K96,0)</f>
        <v>0</v>
      </c>
      <c r="AA96" s="2">
        <f>IF($M96=AA$3,-$K96,0)</f>
        <v>0</v>
      </c>
      <c r="AB96" s="2">
        <f>IF($M96=AB$3,-$K96,0)</f>
        <v>0</v>
      </c>
      <c r="AC96" s="21">
        <f>IF($M96=AC$3,-$K96,0)</f>
        <v>0</v>
      </c>
      <c r="AD96" s="20"/>
      <c r="AE96" s="19"/>
      <c r="AF96" s="2"/>
      <c r="AG96" s="2">
        <f>-$K96</f>
        <v>0</v>
      </c>
      <c r="AH96" s="2">
        <f>K96+SUM(O96:AC96)</f>
        <v>0</v>
      </c>
      <c r="AI96" s="2">
        <f>K96+SUM(AF96:AG96)</f>
        <v>0</v>
      </c>
    </row>
    <row r="97" spans="1:35" x14ac:dyDescent="0.2">
      <c r="A97" s="69" t="s">
        <v>61</v>
      </c>
      <c r="B97" s="1" t="s">
        <v>770</v>
      </c>
      <c r="H97" s="1" t="s">
        <v>21</v>
      </c>
      <c r="I97" s="1" t="s">
        <v>719</v>
      </c>
      <c r="K97" s="2">
        <v>-188296</v>
      </c>
      <c r="L97" s="46">
        <v>22025</v>
      </c>
      <c r="M97" s="42" t="str">
        <f>LEFT(I97,(LEN(LEFT(I97,FIND(";",I97)))-8))</f>
        <v>VNHCM</v>
      </c>
      <c r="N97" s="42" t="s">
        <v>138</v>
      </c>
      <c r="O97" s="2">
        <f>IF($M97=O$3,-$K97,0)</f>
        <v>0</v>
      </c>
      <c r="P97" s="2">
        <f>IF($M97=P$3,-$K97,0)</f>
        <v>0</v>
      </c>
      <c r="Q97" s="2">
        <f>IF($M97=Q$3,-$K97,0)</f>
        <v>0</v>
      </c>
      <c r="R97" s="2">
        <f>IF($M97=R$3,-$K97,0)</f>
        <v>0</v>
      </c>
      <c r="S97" s="2">
        <f>IF($M97=S$3,-$K97,0)</f>
        <v>0</v>
      </c>
      <c r="T97" s="2">
        <f>IF($M97=T$3,-$K97,0)</f>
        <v>0</v>
      </c>
      <c r="U97" s="2">
        <f>IF($M97=U$3,-$K97,0)</f>
        <v>0</v>
      </c>
      <c r="V97" s="2">
        <f>IF($M97=V$3,-$K97,0)</f>
        <v>0</v>
      </c>
      <c r="W97" s="2">
        <f>IF($M97=W$3,-$K97,0)</f>
        <v>0</v>
      </c>
      <c r="X97" s="2">
        <f>IF($M97=X$3,-$K97,0)</f>
        <v>0</v>
      </c>
      <c r="Y97" s="2">
        <f>IF($M97=Y$3,-$K97,0)</f>
        <v>188296</v>
      </c>
      <c r="Z97" s="2">
        <f>IF($M97=Z$3,-$K97,0)</f>
        <v>0</v>
      </c>
      <c r="AA97" s="2">
        <f>IF($M97=AA$3,-$K97,0)</f>
        <v>0</v>
      </c>
      <c r="AB97" s="2">
        <f>IF($M97=AB$3,-$K97,0)</f>
        <v>0</v>
      </c>
      <c r="AC97" s="21">
        <f>IF($M97=AC$3,-$K97,0)</f>
        <v>0</v>
      </c>
      <c r="AD97" s="20"/>
      <c r="AE97" s="19"/>
      <c r="AF97" s="2"/>
      <c r="AG97" s="2">
        <f>-$K97</f>
        <v>188296</v>
      </c>
      <c r="AH97" s="2">
        <f>K97+SUM(O97:AC97)</f>
        <v>0</v>
      </c>
      <c r="AI97" s="2">
        <f>K97+SUM(AF97:AG97)</f>
        <v>0</v>
      </c>
    </row>
    <row r="98" spans="1:35" x14ac:dyDescent="0.2">
      <c r="A98" s="69" t="s">
        <v>61</v>
      </c>
      <c r="B98" s="1" t="s">
        <v>770</v>
      </c>
      <c r="H98" s="1" t="s">
        <v>19</v>
      </c>
      <c r="I98" s="1" t="s">
        <v>774</v>
      </c>
      <c r="K98" s="2">
        <v>-233796</v>
      </c>
      <c r="L98" s="46">
        <v>22025</v>
      </c>
      <c r="M98" s="42" t="str">
        <f>LEFT(I98,(LEN(LEFT(I98,FIND(";",I98)))-8))</f>
        <v>VNQN</v>
      </c>
      <c r="N98" s="42" t="s">
        <v>138</v>
      </c>
      <c r="O98" s="2">
        <f>IF($M98=O$3,-$K98,0)</f>
        <v>0</v>
      </c>
      <c r="P98" s="2">
        <f>IF($M98=P$3,-$K98,0)</f>
        <v>0</v>
      </c>
      <c r="Q98" s="2">
        <f>IF($M98=Q$3,-$K98,0)</f>
        <v>0</v>
      </c>
      <c r="R98" s="2">
        <f>IF($M98=R$3,-$K98,0)</f>
        <v>0</v>
      </c>
      <c r="S98" s="2">
        <f>IF($M98=S$3,-$K98,0)</f>
        <v>0</v>
      </c>
      <c r="T98" s="2">
        <f>IF($M98=T$3,-$K98,0)</f>
        <v>233796</v>
      </c>
      <c r="U98" s="2">
        <f>IF($M98=U$3,-$K98,0)</f>
        <v>0</v>
      </c>
      <c r="V98" s="2">
        <f>IF($M98=V$3,-$K98,0)</f>
        <v>0</v>
      </c>
      <c r="W98" s="2">
        <f>IF($M98=W$3,-$K98,0)</f>
        <v>0</v>
      </c>
      <c r="X98" s="2">
        <f>IF($M98=X$3,-$K98,0)</f>
        <v>0</v>
      </c>
      <c r="Y98" s="2">
        <f>IF($M98=Y$3,-$K98,0)</f>
        <v>0</v>
      </c>
      <c r="Z98" s="2">
        <f>IF($M98=Z$3,-$K98,0)</f>
        <v>0</v>
      </c>
      <c r="AA98" s="2">
        <f>IF($M98=AA$3,-$K98,0)</f>
        <v>0</v>
      </c>
      <c r="AB98" s="2">
        <f>IF($M98=AB$3,-$K98,0)</f>
        <v>0</v>
      </c>
      <c r="AC98" s="21">
        <f>IF($M98=AC$3,-$K98,0)</f>
        <v>0</v>
      </c>
      <c r="AD98" s="20"/>
      <c r="AE98" s="19"/>
      <c r="AF98" s="2"/>
      <c r="AG98" s="2">
        <f>-$K98</f>
        <v>233796</v>
      </c>
      <c r="AH98" s="2">
        <f>K98+SUM(O98:AC98)</f>
        <v>0</v>
      </c>
      <c r="AI98" s="2">
        <f>K98+SUM(AF98:AG98)</f>
        <v>0</v>
      </c>
    </row>
    <row r="99" spans="1:35" x14ac:dyDescent="0.2">
      <c r="A99" s="69" t="s">
        <v>61</v>
      </c>
      <c r="B99" s="1" t="s">
        <v>770</v>
      </c>
      <c r="H99" s="1" t="s">
        <v>110</v>
      </c>
      <c r="I99" s="1" t="s">
        <v>773</v>
      </c>
      <c r="K99" s="2">
        <v>-749400</v>
      </c>
      <c r="L99" s="46">
        <v>22025</v>
      </c>
      <c r="M99" s="42" t="str">
        <f>LEFT(I99,(LEN(LEFT(I99,FIND(";",I99)))-8))</f>
        <v>VNOther</v>
      </c>
      <c r="N99" s="42" t="s">
        <v>138</v>
      </c>
      <c r="O99" s="2">
        <f>IF($M99=O$3,-$K99,0)</f>
        <v>0</v>
      </c>
      <c r="P99" s="2">
        <f>IF($M99=P$3,-$K99,0)</f>
        <v>0</v>
      </c>
      <c r="Q99" s="2">
        <f>IF($M99=Q$3,-$K99,0)</f>
        <v>749400</v>
      </c>
      <c r="R99" s="2">
        <f>IF($M99=R$3,-$K99,0)</f>
        <v>0</v>
      </c>
      <c r="S99" s="2">
        <f>IF($M99=S$3,-$K99,0)</f>
        <v>0</v>
      </c>
      <c r="T99" s="2">
        <f>IF($M99=T$3,-$K99,0)</f>
        <v>0</v>
      </c>
      <c r="U99" s="2">
        <f>IF($M99=U$3,-$K99,0)</f>
        <v>0</v>
      </c>
      <c r="V99" s="2">
        <f>IF($M99=V$3,-$K99,0)</f>
        <v>0</v>
      </c>
      <c r="W99" s="2">
        <f>IF($M99=W$3,-$K99,0)</f>
        <v>0</v>
      </c>
      <c r="X99" s="2">
        <f>IF($M99=X$3,-$K99,0)</f>
        <v>0</v>
      </c>
      <c r="Y99" s="2">
        <f>IF($M99=Y$3,-$K99,0)</f>
        <v>0</v>
      </c>
      <c r="Z99" s="2">
        <f>IF($M99=Z$3,-$K99,0)</f>
        <v>0</v>
      </c>
      <c r="AA99" s="2">
        <f>IF($M99=AA$3,-$K99,0)</f>
        <v>0</v>
      </c>
      <c r="AB99" s="2">
        <f>IF($M99=AB$3,-$K99,0)</f>
        <v>0</v>
      </c>
      <c r="AC99" s="21">
        <f>IF($M99=AC$3,-$K99,0)</f>
        <v>0</v>
      </c>
      <c r="AD99" s="20"/>
      <c r="AE99" s="19"/>
      <c r="AF99" s="2">
        <f>-$K99</f>
        <v>749400</v>
      </c>
      <c r="AG99" s="2"/>
      <c r="AH99" s="2">
        <f>K99+SUM(O99:AC99)</f>
        <v>0</v>
      </c>
      <c r="AI99" s="2">
        <f>K99+SUM(AF99:AG99)</f>
        <v>0</v>
      </c>
    </row>
    <row r="100" spans="1:35" x14ac:dyDescent="0.2">
      <c r="A100" s="69" t="s">
        <v>61</v>
      </c>
      <c r="B100" s="1" t="s">
        <v>770</v>
      </c>
      <c r="H100" s="1" t="s">
        <v>153</v>
      </c>
      <c r="I100" s="1" t="s">
        <v>772</v>
      </c>
      <c r="K100" s="2">
        <v>-98546</v>
      </c>
      <c r="L100" s="46">
        <v>22025</v>
      </c>
      <c r="M100" s="42" t="str">
        <f>LEFT(I100,(LEN(LEFT(I100,FIND(";",I100)))-8))</f>
        <v>VNBN</v>
      </c>
      <c r="N100" s="42" t="s">
        <v>138</v>
      </c>
      <c r="O100" s="2">
        <f>IF($M100=O$3,-$K100,0)</f>
        <v>0</v>
      </c>
      <c r="P100" s="2">
        <f>IF($M100=P$3,-$K100,0)</f>
        <v>0</v>
      </c>
      <c r="Q100" s="2">
        <f>IF($M100=Q$3,-$K100,0)</f>
        <v>0</v>
      </c>
      <c r="R100" s="2">
        <f>IF($M100=R$3,-$K100,0)</f>
        <v>0</v>
      </c>
      <c r="S100" s="2">
        <f>IF($M100=S$3,-$K100,0)</f>
        <v>0</v>
      </c>
      <c r="T100" s="2">
        <f>IF($M100=T$3,-$K100,0)</f>
        <v>0</v>
      </c>
      <c r="U100" s="2">
        <f>IF($M100=U$3,-$K100,0)</f>
        <v>0</v>
      </c>
      <c r="V100" s="2">
        <f>IF($M100=V$3,-$K100,0)</f>
        <v>0</v>
      </c>
      <c r="W100" s="2">
        <f>IF($M100=W$3,-$K100,0)</f>
        <v>0</v>
      </c>
      <c r="X100" s="2">
        <f>IF($M100=X$3,-$K100,0)</f>
        <v>0</v>
      </c>
      <c r="Y100" s="2">
        <f>IF($M100=Y$3,-$K100,0)</f>
        <v>0</v>
      </c>
      <c r="Z100" s="2">
        <f>IF($M100=Z$3,-$K100,0)</f>
        <v>0</v>
      </c>
      <c r="AA100" s="2">
        <f>IF($M100=AA$3,-$K100,0)</f>
        <v>98546</v>
      </c>
      <c r="AB100" s="2">
        <f>IF($M100=AB$3,-$K100,0)</f>
        <v>0</v>
      </c>
      <c r="AC100" s="21">
        <f>IF($M100=AC$3,-$K100,0)</f>
        <v>0</v>
      </c>
      <c r="AD100" s="20"/>
      <c r="AE100" s="19"/>
      <c r="AF100" s="2"/>
      <c r="AG100" s="2">
        <f>-K100</f>
        <v>98546</v>
      </c>
      <c r="AH100" s="2">
        <f>K100+SUM(O100:AC100)</f>
        <v>0</v>
      </c>
      <c r="AI100" s="2">
        <f>K100+SUM(AF100:AG100)</f>
        <v>0</v>
      </c>
    </row>
    <row r="101" spans="1:35" x14ac:dyDescent="0.2">
      <c r="A101" s="69" t="s">
        <v>61</v>
      </c>
      <c r="B101" s="1" t="s">
        <v>770</v>
      </c>
      <c r="H101" s="1" t="s">
        <v>151</v>
      </c>
      <c r="I101" s="1" t="s">
        <v>714</v>
      </c>
      <c r="K101" s="2">
        <v>0</v>
      </c>
      <c r="L101" s="46">
        <v>22025</v>
      </c>
      <c r="M101" s="42" t="str">
        <f>LEFT(I101,(LEN(LEFT(I101,FIND(";",I101)))-8))</f>
        <v>VNQN</v>
      </c>
      <c r="N101" s="42" t="s">
        <v>138</v>
      </c>
      <c r="O101" s="2">
        <f>IF($M101=O$3,-$K101,0)</f>
        <v>0</v>
      </c>
      <c r="P101" s="2">
        <f>IF($M101=P$3,-$K101,0)</f>
        <v>0</v>
      </c>
      <c r="Q101" s="2">
        <f>IF($M101=Q$3,-$K101,0)</f>
        <v>0</v>
      </c>
      <c r="R101" s="2">
        <f>IF($M101=R$3,-$K101,0)</f>
        <v>0</v>
      </c>
      <c r="S101" s="2">
        <f>IF($M101=S$3,-$K101,0)</f>
        <v>0</v>
      </c>
      <c r="T101" s="2">
        <f>IF($M101=T$3,-$K101,0)</f>
        <v>0</v>
      </c>
      <c r="U101" s="2">
        <f>IF($M101=U$3,-$K101,0)</f>
        <v>0</v>
      </c>
      <c r="V101" s="2">
        <f>IF($M101=V$3,-$K101,0)</f>
        <v>0</v>
      </c>
      <c r="W101" s="2">
        <f>IF($M101=W$3,-$K101,0)</f>
        <v>0</v>
      </c>
      <c r="X101" s="2">
        <f>IF($M101=X$3,-$K101,0)</f>
        <v>0</v>
      </c>
      <c r="Y101" s="2">
        <f>IF($M101=Y$3,-$K101,0)</f>
        <v>0</v>
      </c>
      <c r="Z101" s="2">
        <f>IF($M101=Z$3,-$K101,0)</f>
        <v>0</v>
      </c>
      <c r="AA101" s="2">
        <f>IF($M101=AA$3,-$K101,0)</f>
        <v>0</v>
      </c>
      <c r="AB101" s="2">
        <f>IF($M101=AB$3,-$K101,0)</f>
        <v>0</v>
      </c>
      <c r="AC101" s="21">
        <f>IF($M101=AC$3,-$K101,0)</f>
        <v>0</v>
      </c>
      <c r="AD101" s="20"/>
      <c r="AE101" s="19"/>
      <c r="AF101" s="2"/>
      <c r="AG101" s="2">
        <f>-$K101</f>
        <v>0</v>
      </c>
      <c r="AH101" s="2">
        <f>K101+SUM(O101:AC101)</f>
        <v>0</v>
      </c>
      <c r="AI101" s="2">
        <f>K101+SUM(AF101:AG101)</f>
        <v>0</v>
      </c>
    </row>
    <row r="102" spans="1:35" x14ac:dyDescent="0.2">
      <c r="A102" s="69" t="s">
        <v>61</v>
      </c>
      <c r="B102" s="1" t="s">
        <v>770</v>
      </c>
      <c r="H102" s="1" t="s">
        <v>76</v>
      </c>
      <c r="I102" s="1" t="s">
        <v>771</v>
      </c>
      <c r="K102" s="2">
        <v>-16429278</v>
      </c>
      <c r="L102" s="46">
        <v>22025</v>
      </c>
      <c r="M102" s="42" t="str">
        <f>LEFT(I102,(LEN(LEFT(I102,FIND(";",I102)))-8))</f>
        <v>VNMOET</v>
      </c>
      <c r="N102" s="42" t="s">
        <v>138</v>
      </c>
      <c r="O102" s="2">
        <f>IF($M102=O$3,-$K102,0)</f>
        <v>0</v>
      </c>
      <c r="P102" s="2">
        <f>IF($M102=P$3,-$K102,0)</f>
        <v>0</v>
      </c>
      <c r="Q102" s="2">
        <f>IF($M102=Q$3,-$K102,0)</f>
        <v>0</v>
      </c>
      <c r="R102" s="2">
        <f>IF($M102=R$3,-$K102,0)</f>
        <v>0</v>
      </c>
      <c r="S102" s="2">
        <f>IF($M102=S$3,-$K102,0)</f>
        <v>0</v>
      </c>
      <c r="T102" s="2">
        <f>IF($M102=T$3,-$K102,0)</f>
        <v>0</v>
      </c>
      <c r="U102" s="2">
        <f>IF($M102=U$3,-$K102,0)</f>
        <v>0</v>
      </c>
      <c r="V102" s="2">
        <f>IF($M102=V$3,-$K102,0)</f>
        <v>0</v>
      </c>
      <c r="W102" s="2">
        <f>IF($M102=W$3,-$K102,0)</f>
        <v>16429278</v>
      </c>
      <c r="X102" s="2">
        <f>IF($M102=X$3,-$K102,0)</f>
        <v>0</v>
      </c>
      <c r="Y102" s="2">
        <f>IF($M102=Y$3,-$K102,0)</f>
        <v>0</v>
      </c>
      <c r="Z102" s="2">
        <f>IF($M102=Z$3,-$K102,0)</f>
        <v>0</v>
      </c>
      <c r="AA102" s="2">
        <f>IF($M102=AA$3,-$K102,0)</f>
        <v>0</v>
      </c>
      <c r="AB102" s="2">
        <f>IF($M102=AB$3,-$K102,0)</f>
        <v>0</v>
      </c>
      <c r="AC102" s="21">
        <f>IF($M102=AC$3,-$K102,0)</f>
        <v>0</v>
      </c>
      <c r="AD102" s="20"/>
      <c r="AE102" s="19"/>
      <c r="AF102" s="2">
        <f>-$K102</f>
        <v>16429278</v>
      </c>
      <c r="AG102" s="2"/>
      <c r="AH102" s="2">
        <f>K102+SUM(O102:AC102)</f>
        <v>0</v>
      </c>
      <c r="AI102" s="2">
        <f>K102+SUM(AF102:AG102)</f>
        <v>0</v>
      </c>
    </row>
    <row r="103" spans="1:35" x14ac:dyDescent="0.2">
      <c r="A103" s="69" t="s">
        <v>61</v>
      </c>
      <c r="B103" s="1" t="s">
        <v>770</v>
      </c>
      <c r="H103" s="1" t="s">
        <v>17</v>
      </c>
      <c r="I103" s="1" t="s">
        <v>769</v>
      </c>
      <c r="K103" s="2">
        <v>0</v>
      </c>
      <c r="L103" s="46">
        <v>22025</v>
      </c>
      <c r="M103" s="42" t="s">
        <v>591</v>
      </c>
      <c r="N103" s="42" t="s">
        <v>138</v>
      </c>
      <c r="O103" s="2">
        <f>IF($M103=O$3,-$K103,0)</f>
        <v>0</v>
      </c>
      <c r="P103" s="2">
        <f>IF($M103=P$3,-$K103,0)</f>
        <v>0</v>
      </c>
      <c r="Q103" s="2">
        <f>IF($M103=Q$3,-$K103,0)</f>
        <v>0</v>
      </c>
      <c r="R103" s="2">
        <f>IF($M103=R$3,-$K103,0)</f>
        <v>0</v>
      </c>
      <c r="S103" s="2">
        <f>IF($M103=S$3,-$K103,0)</f>
        <v>0</v>
      </c>
      <c r="T103" s="2">
        <f>IF($M103=T$3,-$K103,0)</f>
        <v>0</v>
      </c>
      <c r="U103" s="2">
        <f>IF($M103=U$3,-$K103,0)</f>
        <v>0</v>
      </c>
      <c r="V103" s="2">
        <f>IF($M103=V$3,-$K103,0)</f>
        <v>0</v>
      </c>
      <c r="W103" s="2">
        <f>IF($M103=W$3,-$K103,0)</f>
        <v>0</v>
      </c>
      <c r="X103" s="2">
        <f>IF($M103=X$3,-$K103,0)</f>
        <v>0</v>
      </c>
      <c r="Y103" s="2">
        <f>IF($M103=Y$3,-$K103,0)</f>
        <v>0</v>
      </c>
      <c r="Z103" s="2">
        <f>IF($M103=Z$3,-$K103,0)</f>
        <v>0</v>
      </c>
      <c r="AA103" s="2">
        <f>IF($M103=AA$3,-$K103,0)</f>
        <v>0</v>
      </c>
      <c r="AB103" s="2">
        <f>IF($M103=AB$3,-$K103,0)</f>
        <v>0</v>
      </c>
      <c r="AC103" s="21">
        <f>IF($M103=AC$3,-$K103,0)</f>
        <v>0</v>
      </c>
      <c r="AD103" s="20"/>
      <c r="AE103" s="19"/>
      <c r="AF103" s="2"/>
      <c r="AG103" s="2">
        <f>-$K103</f>
        <v>0</v>
      </c>
      <c r="AH103" s="2">
        <f>K103+SUM(O103:AC103)</f>
        <v>0</v>
      </c>
      <c r="AI103" s="2">
        <f>K103+SUM(AF103:AG103)</f>
        <v>0</v>
      </c>
    </row>
    <row r="104" spans="1:35" x14ac:dyDescent="0.2">
      <c r="A104" s="1" t="s">
        <v>3</v>
      </c>
      <c r="B104" s="1" t="s">
        <v>527</v>
      </c>
      <c r="H104" s="1" t="s">
        <v>135</v>
      </c>
      <c r="I104" s="1" t="s">
        <v>768</v>
      </c>
      <c r="K104" s="2">
        <v>0</v>
      </c>
      <c r="L104" s="46">
        <v>22025</v>
      </c>
      <c r="M104" s="42" t="str">
        <f>LEFT(I104,(LEN(LEFT(I104,FIND(";",I104)))-8))</f>
        <v>VNOther</v>
      </c>
      <c r="N104" s="42" t="s">
        <v>138</v>
      </c>
      <c r="O104" s="15">
        <f>-$K104*IFERROR(INDEX('[1]salary allocation'!$E$6:$J$22,MATCH($H104,'[1]salary allocation'!$D$6:$D$22,0),MATCH(O$3,'[1]salary allocation'!$E$3:$J$3,0)),0)</f>
        <v>0</v>
      </c>
      <c r="P104" s="15">
        <f>-$K104*IFERROR(INDEX('[1]salary allocation'!$E$6:$J$22,MATCH($H104,'[1]salary allocation'!$D$6:$D$22,0),MATCH(P$3,'[1]salary allocation'!$E$3:$J$3,0)),0)</f>
        <v>0</v>
      </c>
      <c r="Q104" s="15">
        <f>-$K104*IFERROR(INDEX('[1]salary allocation'!$E$6:$J$22,MATCH($H104,'[1]salary allocation'!$D$6:$D$22,0),MATCH(Q$3,'[1]salary allocation'!$E$3:$J$3,0)),0)</f>
        <v>0</v>
      </c>
      <c r="R104" s="15">
        <f>-$K104*IFERROR(INDEX('[1]salary allocation'!$E$6:$J$22,MATCH($H104,'[1]salary allocation'!$D$6:$D$22,0),MATCH(R$3,'[1]salary allocation'!$E$3:$J$3,0)),0)</f>
        <v>0</v>
      </c>
      <c r="S104" s="15">
        <f>-$K104*IFERROR(INDEX('[1]salary allocation'!$E$6:$J$22,MATCH($H104,'[1]salary allocation'!$D$6:$D$22,0),MATCH(S$3,'[1]salary allocation'!$E$3:$J$3,0)),0)</f>
        <v>0</v>
      </c>
      <c r="T104" s="15">
        <f>-$K104*IFERROR(INDEX('[1]salary allocation'!$E$6:$J$22,MATCH($H104,'[1]salary allocation'!$D$6:$D$22,0),MATCH(T$3,'[1]salary allocation'!$E$3:$J$3,0)),0)</f>
        <v>0</v>
      </c>
      <c r="U104" s="15">
        <f>-$K104*IFERROR(INDEX('[1]salary allocation'!$E$6:$J$22,MATCH($H104,'[1]salary allocation'!$D$6:$D$22,0),MATCH(U$3,'[1]salary allocation'!$E$3:$J$3,0)),0)</f>
        <v>0</v>
      </c>
      <c r="V104" s="15">
        <f>-$K104*IFERROR(INDEX('[1]salary allocation'!$E$6:$J$22,MATCH($H104,'[1]salary allocation'!$D$6:$D$22,0),MATCH(V$3,'[1]salary allocation'!$E$3:$J$3,0)),0)</f>
        <v>0</v>
      </c>
      <c r="W104" s="15">
        <f>-$K104*IFERROR(INDEX('[1]salary allocation'!$E$6:$J$22,MATCH($H104,'[1]salary allocation'!$D$6:$D$22,0),MATCH(W$3,'[1]salary allocation'!$E$3:$J$3,0)),0)</f>
        <v>0</v>
      </c>
      <c r="X104" s="15">
        <f>-$K104*IFERROR(INDEX('[1]salary allocation'!$E$6:$J$22,MATCH($H104,'[1]salary allocation'!$D$6:$D$22,0),MATCH(X$3,'[1]salary allocation'!$E$3:$J$3,0)),0)</f>
        <v>0</v>
      </c>
      <c r="Y104" s="15">
        <f>-$K104*IFERROR(INDEX('[1]salary allocation'!$E$6:$J$22,MATCH($H104,'[1]salary allocation'!$D$6:$D$22,0),MATCH(Y$3,'[1]salary allocation'!$E$3:$J$3,0)),0)</f>
        <v>0</v>
      </c>
      <c r="Z104" s="15">
        <f>-$K104*IFERROR(INDEX('[1]salary allocation'!$E$6:$J$22,MATCH($H104,'[1]salary allocation'!$D$6:$D$22,0),MATCH(Z$3,'[1]salary allocation'!$E$3:$J$3,0)),0)</f>
        <v>0</v>
      </c>
      <c r="AA104" s="15">
        <f>-$K104*IFERROR(INDEX('[1]salary allocation'!$E$6:$J$22,MATCH($H104,'[1]salary allocation'!$D$6:$D$22,0),MATCH(AA$3,'[1]salary allocation'!$E$3:$J$3,0)),0)</f>
        <v>0</v>
      </c>
      <c r="AB104" s="15">
        <f>-$K104*IFERROR(INDEX('[1]salary allocation'!$E$6:$J$22,MATCH($H104,'[1]salary allocation'!$D$6:$D$22,0),MATCH(AB$3,'[1]salary allocation'!$E$3:$J$3,0)),0)</f>
        <v>0</v>
      </c>
      <c r="AC104" s="18">
        <f>-$K104*IFERROR(INDEX('[1]salary allocation'!$E$6:$J$22,MATCH($H104,'[1]salary allocation'!$D$6:$D$22,0),MATCH(AC$3,'[1]salary allocation'!$E$3:$J$3,0)),0)</f>
        <v>0</v>
      </c>
      <c r="AD104" s="17"/>
      <c r="AE104" s="16"/>
      <c r="AF104" s="15">
        <f>-$K104</f>
        <v>0</v>
      </c>
      <c r="AG104" s="15"/>
      <c r="AH104" s="2">
        <f>K104+SUM(O104:AC104)</f>
        <v>0</v>
      </c>
      <c r="AI104" s="2">
        <f>K104+SUM(AF104:AG104)</f>
        <v>0</v>
      </c>
    </row>
    <row r="105" spans="1:35" x14ac:dyDescent="0.2">
      <c r="A105" s="1" t="s">
        <v>3</v>
      </c>
      <c r="B105" s="1" t="s">
        <v>527</v>
      </c>
      <c r="H105" s="1" t="s">
        <v>57</v>
      </c>
      <c r="I105" s="1" t="s">
        <v>767</v>
      </c>
      <c r="K105" s="2">
        <v>-15255640</v>
      </c>
      <c r="L105" s="46">
        <v>22025</v>
      </c>
      <c r="M105" s="42" t="str">
        <f>LEFT(I105,(LEN(LEFT(I105,FIND(";",I105)))-8))</f>
        <v>VNOther</v>
      </c>
      <c r="N105" s="42" t="s">
        <v>138</v>
      </c>
      <c r="O105" s="15">
        <f>-$K105*IFERROR(INDEX('[1]salary allocation'!$E$6:$J$22,MATCH($H105,'[1]salary allocation'!$D$6:$D$22,0),MATCH(O$3,'[1]salary allocation'!$E$3:$J$3,0)),0)</f>
        <v>0</v>
      </c>
      <c r="P105" s="15">
        <f>-$K105*IFERROR(INDEX('[1]salary allocation'!$E$6:$J$22,MATCH($H105,'[1]salary allocation'!$D$6:$D$22,0),MATCH(P$3,'[1]salary allocation'!$E$3:$J$3,0)),0)</f>
        <v>7627820</v>
      </c>
      <c r="Q105" s="15">
        <f>-$K105*IFERROR(INDEX('[1]salary allocation'!$E$6:$J$22,MATCH($H105,'[1]salary allocation'!$D$6:$D$22,0),MATCH(Q$3,'[1]salary allocation'!$E$3:$J$3,0)),0)</f>
        <v>0</v>
      </c>
      <c r="R105" s="15">
        <f>-$K105*IFERROR(INDEX('[1]salary allocation'!$E$6:$J$22,MATCH($H105,'[1]salary allocation'!$D$6:$D$22,0),MATCH(R$3,'[1]salary allocation'!$E$3:$J$3,0)),0)</f>
        <v>0</v>
      </c>
      <c r="S105" s="15">
        <f>-$K105*IFERROR(INDEX('[1]salary allocation'!$E$6:$J$22,MATCH($H105,'[1]salary allocation'!$D$6:$D$22,0),MATCH(S$3,'[1]salary allocation'!$E$3:$J$3,0)),0)</f>
        <v>1525564</v>
      </c>
      <c r="T105" s="15">
        <f>-$K105*IFERROR(INDEX('[1]salary allocation'!$E$6:$J$22,MATCH($H105,'[1]salary allocation'!$D$6:$D$22,0),MATCH(T$3,'[1]salary allocation'!$E$3:$J$3,0)),0)</f>
        <v>1525564</v>
      </c>
      <c r="U105" s="15">
        <f>-$K105*IFERROR(INDEX('[1]salary allocation'!$E$6:$J$22,MATCH($H105,'[1]salary allocation'!$D$6:$D$22,0),MATCH(U$3,'[1]salary allocation'!$E$3:$J$3,0)),0)</f>
        <v>1525564</v>
      </c>
      <c r="V105" s="15">
        <f>-$K105*IFERROR(INDEX('[1]salary allocation'!$E$6:$J$22,MATCH($H105,'[1]salary allocation'!$D$6:$D$22,0),MATCH(V$3,'[1]salary allocation'!$E$3:$J$3,0)),0)</f>
        <v>0</v>
      </c>
      <c r="W105" s="15">
        <f>-$K105*IFERROR(INDEX('[1]salary allocation'!$E$6:$J$22,MATCH($H105,'[1]salary allocation'!$D$6:$D$22,0),MATCH(W$3,'[1]salary allocation'!$E$3:$J$3,0)),0)</f>
        <v>3051128</v>
      </c>
      <c r="X105" s="15">
        <f>-$K105*IFERROR(INDEX('[1]salary allocation'!$E$6:$J$22,MATCH($H105,'[1]salary allocation'!$D$6:$D$22,0),MATCH(X$3,'[1]salary allocation'!$E$3:$J$3,0)),0)</f>
        <v>0</v>
      </c>
      <c r="Y105" s="15">
        <f>-$K105*IFERROR(INDEX('[1]salary allocation'!$E$6:$J$22,MATCH($H105,'[1]salary allocation'!$D$6:$D$22,0),MATCH(Y$3,'[1]salary allocation'!$E$3:$J$3,0)),0)</f>
        <v>0</v>
      </c>
      <c r="Z105" s="15">
        <f>-$K105*IFERROR(INDEX('[1]salary allocation'!$E$6:$J$22,MATCH($H105,'[1]salary allocation'!$D$6:$D$22,0),MATCH(Z$3,'[1]salary allocation'!$E$3:$J$3,0)),0)</f>
        <v>0</v>
      </c>
      <c r="AA105" s="15">
        <f>-$K105*IFERROR(INDEX('[1]salary allocation'!$E$6:$J$22,MATCH($H105,'[1]salary allocation'!$D$6:$D$22,0),MATCH(AA$3,'[1]salary allocation'!$E$3:$J$3,0)),0)</f>
        <v>0</v>
      </c>
      <c r="AB105" s="15">
        <f>-$K105*IFERROR(INDEX('[1]salary allocation'!$E$6:$J$22,MATCH($H105,'[1]salary allocation'!$D$6:$D$22,0),MATCH(AB$3,'[1]salary allocation'!$E$3:$J$3,0)),0)</f>
        <v>0</v>
      </c>
      <c r="AC105" s="18">
        <f>-$K105*IFERROR(INDEX('[1]salary allocation'!$E$6:$J$22,MATCH($H105,'[1]salary allocation'!$D$6:$D$22,0),MATCH(AC$3,'[1]salary allocation'!$E$3:$J$3,0)),0)</f>
        <v>0</v>
      </c>
      <c r="AD105" s="17"/>
      <c r="AE105" s="16"/>
      <c r="AF105" s="15">
        <f>-$K105</f>
        <v>15255640</v>
      </c>
      <c r="AG105" s="15"/>
      <c r="AH105" s="2">
        <f>K105+SUM(O105:AC105)</f>
        <v>0</v>
      </c>
      <c r="AI105" s="2">
        <f>K105+SUM(AF105:AG105)</f>
        <v>0</v>
      </c>
    </row>
    <row r="106" spans="1:35" x14ac:dyDescent="0.2">
      <c r="A106" s="1" t="s">
        <v>3</v>
      </c>
      <c r="B106" s="1" t="s">
        <v>527</v>
      </c>
      <c r="H106" s="1" t="s">
        <v>55</v>
      </c>
      <c r="I106" s="1" t="s">
        <v>766</v>
      </c>
      <c r="K106" s="2">
        <v>-15447942</v>
      </c>
      <c r="L106" s="46">
        <v>22025</v>
      </c>
      <c r="M106" s="42" t="str">
        <f>LEFT(I106,(LEN(LEFT(I106,FIND(";",I106)))-8))</f>
        <v>VNHBC</v>
      </c>
      <c r="N106" s="42" t="s">
        <v>138</v>
      </c>
      <c r="O106" s="15">
        <f>-$K106*IFERROR(INDEX('[1]salary allocation'!$E$6:$J$22,MATCH($H106,'[1]salary allocation'!$D$6:$D$22,0),MATCH(O$3,'[1]salary allocation'!$E$3:$J$3,0)),0)</f>
        <v>0</v>
      </c>
      <c r="P106" s="15">
        <f>-$K106*IFERROR(INDEX('[1]salary allocation'!$E$6:$J$22,MATCH($H106,'[1]salary allocation'!$D$6:$D$22,0),MATCH(P$3,'[1]salary allocation'!$E$3:$J$3,0)),0)</f>
        <v>0</v>
      </c>
      <c r="Q106" s="15">
        <f>-$K106*IFERROR(INDEX('[1]salary allocation'!$E$6:$J$22,MATCH($H106,'[1]salary allocation'!$D$6:$D$22,0),MATCH(Q$3,'[1]salary allocation'!$E$3:$J$3,0)),0)</f>
        <v>0</v>
      </c>
      <c r="R106" s="15">
        <f>-$K106*IFERROR(INDEX('[1]salary allocation'!$E$6:$J$22,MATCH($H106,'[1]salary allocation'!$D$6:$D$22,0),MATCH(R$3,'[1]salary allocation'!$E$3:$J$3,0)),0)</f>
        <v>0</v>
      </c>
      <c r="S106" s="15">
        <f>-$K106*IFERROR(INDEX('[1]salary allocation'!$E$6:$J$22,MATCH($H106,'[1]salary allocation'!$D$6:$D$22,0),MATCH(S$3,'[1]salary allocation'!$E$3:$J$3,0)),0)</f>
        <v>3089588.4000000004</v>
      </c>
      <c r="T106" s="15">
        <f>-$K106*IFERROR(INDEX('[1]salary allocation'!$E$6:$J$22,MATCH($H106,'[1]salary allocation'!$D$6:$D$22,0),MATCH(T$3,'[1]salary allocation'!$E$3:$J$3,0)),0)</f>
        <v>3089588.4000000004</v>
      </c>
      <c r="U106" s="15">
        <f>-$K106*IFERROR(INDEX('[1]salary allocation'!$E$6:$J$22,MATCH($H106,'[1]salary allocation'!$D$6:$D$22,0),MATCH(U$3,'[1]salary allocation'!$E$3:$J$3,0)),0)</f>
        <v>3089588.4000000004</v>
      </c>
      <c r="V106" s="15">
        <f>-$K106*IFERROR(INDEX('[1]salary allocation'!$E$6:$J$22,MATCH($H106,'[1]salary allocation'!$D$6:$D$22,0),MATCH(V$3,'[1]salary allocation'!$E$3:$J$3,0)),0)</f>
        <v>0</v>
      </c>
      <c r="W106" s="15">
        <f>-$K106*IFERROR(INDEX('[1]salary allocation'!$E$6:$J$22,MATCH($H106,'[1]salary allocation'!$D$6:$D$22,0),MATCH(W$3,'[1]salary allocation'!$E$3:$J$3,0)),0)</f>
        <v>6179176.8000000007</v>
      </c>
      <c r="X106" s="15">
        <f>-$K106*IFERROR(INDEX('[1]salary allocation'!$E$6:$J$22,MATCH($H106,'[1]salary allocation'!$D$6:$D$22,0),MATCH(X$3,'[1]salary allocation'!$E$3:$J$3,0)),0)</f>
        <v>0</v>
      </c>
      <c r="Y106" s="15">
        <f>-$K106*IFERROR(INDEX('[1]salary allocation'!$E$6:$J$22,MATCH($H106,'[1]salary allocation'!$D$6:$D$22,0),MATCH(Y$3,'[1]salary allocation'!$E$3:$J$3,0)),0)</f>
        <v>0</v>
      </c>
      <c r="Z106" s="15">
        <f>-$K106*IFERROR(INDEX('[1]salary allocation'!$E$6:$J$22,MATCH($H106,'[1]salary allocation'!$D$6:$D$22,0),MATCH(Z$3,'[1]salary allocation'!$E$3:$J$3,0)),0)</f>
        <v>0</v>
      </c>
      <c r="AA106" s="15">
        <f>-$K106*IFERROR(INDEX('[1]salary allocation'!$E$6:$J$22,MATCH($H106,'[1]salary allocation'!$D$6:$D$22,0),MATCH(AA$3,'[1]salary allocation'!$E$3:$J$3,0)),0)</f>
        <v>0</v>
      </c>
      <c r="AB106" s="15">
        <f>-$K106*IFERROR(INDEX('[1]salary allocation'!$E$6:$J$22,MATCH($H106,'[1]salary allocation'!$D$6:$D$22,0),MATCH(AB$3,'[1]salary allocation'!$E$3:$J$3,0)),0)</f>
        <v>0</v>
      </c>
      <c r="AC106" s="18">
        <f>-$K106*IFERROR(INDEX('[1]salary allocation'!$E$6:$J$22,MATCH($H106,'[1]salary allocation'!$D$6:$D$22,0),MATCH(AC$3,'[1]salary allocation'!$E$3:$J$3,0)),0)</f>
        <v>0</v>
      </c>
      <c r="AD106" s="17"/>
      <c r="AE106" s="16"/>
      <c r="AF106" s="15"/>
      <c r="AG106" s="15">
        <f>-$K106</f>
        <v>15447942</v>
      </c>
      <c r="AH106" s="2">
        <f>K106+SUM(O106:AC106)</f>
        <v>0</v>
      </c>
      <c r="AI106" s="2">
        <f>K106+SUM(AF106:AG106)</f>
        <v>0</v>
      </c>
    </row>
    <row r="107" spans="1:35" x14ac:dyDescent="0.2">
      <c r="A107" s="1" t="s">
        <v>3</v>
      </c>
      <c r="B107" s="1" t="s">
        <v>527</v>
      </c>
      <c r="H107" s="1" t="s">
        <v>53</v>
      </c>
      <c r="I107" s="1" t="s">
        <v>765</v>
      </c>
      <c r="K107" s="2">
        <v>-15177746</v>
      </c>
      <c r="L107" s="46">
        <v>22025</v>
      </c>
      <c r="M107" s="42" t="str">
        <f>LEFT(I107,(LEN(LEFT(I107,FIND(";",I107)))-8))</f>
        <v>VNOther</v>
      </c>
      <c r="N107" s="42" t="s">
        <v>138</v>
      </c>
      <c r="O107" s="15">
        <f>-$K107*IFERROR(INDEX('[1]salary allocation'!$E$6:$J$22,MATCH($H107,'[1]salary allocation'!$D$6:$D$22,0),MATCH(O$3,'[1]salary allocation'!$E$3:$J$3,0)),0)</f>
        <v>0</v>
      </c>
      <c r="P107" s="15">
        <f>-$K107*IFERROR(INDEX('[1]salary allocation'!$E$6:$J$22,MATCH($H107,'[1]salary allocation'!$D$6:$D$22,0),MATCH(P$3,'[1]salary allocation'!$E$3:$J$3,0)),0)</f>
        <v>2276661.9</v>
      </c>
      <c r="Q107" s="15">
        <f>-$K107*IFERROR(INDEX('[1]salary allocation'!$E$6:$J$22,MATCH($H107,'[1]salary allocation'!$D$6:$D$22,0),MATCH(Q$3,'[1]salary allocation'!$E$3:$J$3,0)),0)</f>
        <v>0</v>
      </c>
      <c r="R107" s="15">
        <f>-$K107*IFERROR(INDEX('[1]salary allocation'!$E$6:$J$22,MATCH($H107,'[1]salary allocation'!$D$6:$D$22,0),MATCH(R$3,'[1]salary allocation'!$E$3:$J$3,0)),0)</f>
        <v>0</v>
      </c>
      <c r="S107" s="15">
        <f>-$K107*IFERROR(INDEX('[1]salary allocation'!$E$6:$J$22,MATCH($H107,'[1]salary allocation'!$D$6:$D$22,0),MATCH(S$3,'[1]salary allocation'!$E$3:$J$3,0)),0)</f>
        <v>2580216.8199999998</v>
      </c>
      <c r="T107" s="15">
        <f>-$K107*IFERROR(INDEX('[1]salary allocation'!$E$6:$J$22,MATCH($H107,'[1]salary allocation'!$D$6:$D$22,0),MATCH(T$3,'[1]salary allocation'!$E$3:$J$3,0)),0)</f>
        <v>2580216.8199999998</v>
      </c>
      <c r="U107" s="15">
        <f>-$K107*IFERROR(INDEX('[1]salary allocation'!$E$6:$J$22,MATCH($H107,'[1]salary allocation'!$D$6:$D$22,0),MATCH(U$3,'[1]salary allocation'!$E$3:$J$3,0)),0)</f>
        <v>2580216.8199999998</v>
      </c>
      <c r="V107" s="15">
        <f>-$K107*IFERROR(INDEX('[1]salary allocation'!$E$6:$J$22,MATCH($H107,'[1]salary allocation'!$D$6:$D$22,0),MATCH(V$3,'[1]salary allocation'!$E$3:$J$3,0)),0)</f>
        <v>0</v>
      </c>
      <c r="W107" s="15">
        <f>-$K107*IFERROR(INDEX('[1]salary allocation'!$E$6:$J$22,MATCH($H107,'[1]salary allocation'!$D$6:$D$22,0),MATCH(W$3,'[1]salary allocation'!$E$3:$J$3,0)),0)</f>
        <v>5160433.6399999997</v>
      </c>
      <c r="X107" s="15">
        <f>-$K107*IFERROR(INDEX('[1]salary allocation'!$E$6:$J$22,MATCH($H107,'[1]salary allocation'!$D$6:$D$22,0),MATCH(X$3,'[1]salary allocation'!$E$3:$J$3,0)),0)</f>
        <v>0</v>
      </c>
      <c r="Y107" s="15">
        <f>-$K107*IFERROR(INDEX('[1]salary allocation'!$E$6:$J$22,MATCH($H107,'[1]salary allocation'!$D$6:$D$22,0),MATCH(Y$3,'[1]salary allocation'!$E$3:$J$3,0)),0)</f>
        <v>0</v>
      </c>
      <c r="Z107" s="15">
        <f>-$K107*IFERROR(INDEX('[1]salary allocation'!$E$6:$J$22,MATCH($H107,'[1]salary allocation'!$D$6:$D$22,0),MATCH(Z$3,'[1]salary allocation'!$E$3:$J$3,0)),0)</f>
        <v>0</v>
      </c>
      <c r="AA107" s="15">
        <f>-$K107*IFERROR(INDEX('[1]salary allocation'!$E$6:$J$22,MATCH($H107,'[1]salary allocation'!$D$6:$D$22,0),MATCH(AA$3,'[1]salary allocation'!$E$3:$J$3,0)),0)</f>
        <v>0</v>
      </c>
      <c r="AB107" s="15">
        <f>-$K107*IFERROR(INDEX('[1]salary allocation'!$E$6:$J$22,MATCH($H107,'[1]salary allocation'!$D$6:$D$22,0),MATCH(AB$3,'[1]salary allocation'!$E$3:$J$3,0)),0)</f>
        <v>0</v>
      </c>
      <c r="AC107" s="18">
        <f>-$K107*IFERROR(INDEX('[1]salary allocation'!$E$6:$J$22,MATCH($H107,'[1]salary allocation'!$D$6:$D$22,0),MATCH(AC$3,'[1]salary allocation'!$E$3:$J$3,0)),0)</f>
        <v>0</v>
      </c>
      <c r="AD107" s="17"/>
      <c r="AE107" s="16"/>
      <c r="AF107" s="15">
        <f>-$K107</f>
        <v>15177746</v>
      </c>
      <c r="AG107" s="15"/>
      <c r="AH107" s="2">
        <f>K107+SUM(O107:AC107)</f>
        <v>0</v>
      </c>
      <c r="AI107" s="2">
        <f>K107+SUM(AF107:AG107)</f>
        <v>0</v>
      </c>
    </row>
    <row r="108" spans="1:35" x14ac:dyDescent="0.2">
      <c r="A108" s="1" t="s">
        <v>3</v>
      </c>
      <c r="B108" s="1" t="s">
        <v>527</v>
      </c>
      <c r="H108" s="1" t="s">
        <v>51</v>
      </c>
      <c r="I108" s="1" t="s">
        <v>764</v>
      </c>
      <c r="K108" s="2">
        <v>-13628640</v>
      </c>
      <c r="L108" s="46">
        <v>22025</v>
      </c>
      <c r="M108" s="42" t="str">
        <f>LEFT(I108,(LEN(LEFT(I108,FIND(";",I108)))-8))</f>
        <v>VNOther</v>
      </c>
      <c r="N108" s="42" t="s">
        <v>138</v>
      </c>
      <c r="O108" s="15">
        <f>-$K108*IFERROR(INDEX('[1]salary allocation'!$E$6:$J$22,MATCH($H108,'[1]salary allocation'!$D$6:$D$22,0),MATCH(O$3,'[1]salary allocation'!$E$3:$J$3,0)),0)</f>
        <v>0</v>
      </c>
      <c r="P108" s="15">
        <f>-$K108*IFERROR(INDEX('[1]salary allocation'!$E$6:$J$22,MATCH($H108,'[1]salary allocation'!$D$6:$D$22,0),MATCH(P$3,'[1]salary allocation'!$E$3:$J$3,0)),0)</f>
        <v>6814320</v>
      </c>
      <c r="Q108" s="15">
        <f>-$K108*IFERROR(INDEX('[1]salary allocation'!$E$6:$J$22,MATCH($H108,'[1]salary allocation'!$D$6:$D$22,0),MATCH(Q$3,'[1]salary allocation'!$E$3:$J$3,0)),0)</f>
        <v>0</v>
      </c>
      <c r="R108" s="15">
        <f>-$K108*IFERROR(INDEX('[1]salary allocation'!$E$6:$J$22,MATCH($H108,'[1]salary allocation'!$D$6:$D$22,0),MATCH(R$3,'[1]salary allocation'!$E$3:$J$3,0)),0)</f>
        <v>0</v>
      </c>
      <c r="S108" s="15">
        <f>-$K108*IFERROR(INDEX('[1]salary allocation'!$E$6:$J$22,MATCH($H108,'[1]salary allocation'!$D$6:$D$22,0),MATCH(S$3,'[1]salary allocation'!$E$3:$J$3,0)),0)</f>
        <v>1362864</v>
      </c>
      <c r="T108" s="15">
        <f>-$K108*IFERROR(INDEX('[1]salary allocation'!$E$6:$J$22,MATCH($H108,'[1]salary allocation'!$D$6:$D$22,0),MATCH(T$3,'[1]salary allocation'!$E$3:$J$3,0)),0)</f>
        <v>1362864</v>
      </c>
      <c r="U108" s="15">
        <f>-$K108*IFERROR(INDEX('[1]salary allocation'!$E$6:$J$22,MATCH($H108,'[1]salary allocation'!$D$6:$D$22,0),MATCH(U$3,'[1]salary allocation'!$E$3:$J$3,0)),0)</f>
        <v>1362864</v>
      </c>
      <c r="V108" s="15">
        <f>-$K108*IFERROR(INDEX('[1]salary allocation'!$E$6:$J$22,MATCH($H108,'[1]salary allocation'!$D$6:$D$22,0),MATCH(V$3,'[1]salary allocation'!$E$3:$J$3,0)),0)</f>
        <v>0</v>
      </c>
      <c r="W108" s="15">
        <f>-$K108*IFERROR(INDEX('[1]salary allocation'!$E$6:$J$22,MATCH($H108,'[1]salary allocation'!$D$6:$D$22,0),MATCH(W$3,'[1]salary allocation'!$E$3:$J$3,0)),0)</f>
        <v>2725728</v>
      </c>
      <c r="X108" s="15">
        <f>-$K108*IFERROR(INDEX('[1]salary allocation'!$E$6:$J$22,MATCH($H108,'[1]salary allocation'!$D$6:$D$22,0),MATCH(X$3,'[1]salary allocation'!$E$3:$J$3,0)),0)</f>
        <v>0</v>
      </c>
      <c r="Y108" s="15">
        <f>-$K108*IFERROR(INDEX('[1]salary allocation'!$E$6:$J$22,MATCH($H108,'[1]salary allocation'!$D$6:$D$22,0),MATCH(Y$3,'[1]salary allocation'!$E$3:$J$3,0)),0)</f>
        <v>0</v>
      </c>
      <c r="Z108" s="15">
        <f>-$K108*IFERROR(INDEX('[1]salary allocation'!$E$6:$J$22,MATCH($H108,'[1]salary allocation'!$D$6:$D$22,0),MATCH(Z$3,'[1]salary allocation'!$E$3:$J$3,0)),0)</f>
        <v>0</v>
      </c>
      <c r="AA108" s="15">
        <f>-$K108*IFERROR(INDEX('[1]salary allocation'!$E$6:$J$22,MATCH($H108,'[1]salary allocation'!$D$6:$D$22,0),MATCH(AA$3,'[1]salary allocation'!$E$3:$J$3,0)),0)</f>
        <v>0</v>
      </c>
      <c r="AB108" s="15">
        <f>-$K108*IFERROR(INDEX('[1]salary allocation'!$E$6:$J$22,MATCH($H108,'[1]salary allocation'!$D$6:$D$22,0),MATCH(AB$3,'[1]salary allocation'!$E$3:$J$3,0)),0)</f>
        <v>0</v>
      </c>
      <c r="AC108" s="18">
        <f>-$K108*IFERROR(INDEX('[1]salary allocation'!$E$6:$J$22,MATCH($H108,'[1]salary allocation'!$D$6:$D$22,0),MATCH(AC$3,'[1]salary allocation'!$E$3:$J$3,0)),0)</f>
        <v>0</v>
      </c>
      <c r="AD108" s="17"/>
      <c r="AE108" s="16"/>
      <c r="AF108" s="15">
        <f>-$K108</f>
        <v>13628640</v>
      </c>
      <c r="AG108" s="15"/>
      <c r="AH108" s="2">
        <f>K108+SUM(O108:AC108)</f>
        <v>0</v>
      </c>
      <c r="AI108" s="2">
        <f>K108+SUM(AF108:AG108)</f>
        <v>0</v>
      </c>
    </row>
    <row r="109" spans="1:35" x14ac:dyDescent="0.2">
      <c r="A109" s="1" t="s">
        <v>3</v>
      </c>
      <c r="B109" s="1" t="s">
        <v>527</v>
      </c>
      <c r="H109" s="1" t="s">
        <v>49</v>
      </c>
      <c r="I109" s="1" t="s">
        <v>763</v>
      </c>
      <c r="K109" s="2">
        <v>-8661855</v>
      </c>
      <c r="L109" s="46">
        <v>22025</v>
      </c>
      <c r="M109" s="42" t="str">
        <f>LEFT(I109,(LEN(LEFT(I109,FIND(";",I109)))-8))</f>
        <v>VNMOET</v>
      </c>
      <c r="N109" s="42" t="s">
        <v>138</v>
      </c>
      <c r="O109" s="15">
        <f>-$K109*IFERROR(INDEX('[1]salary allocation'!$E$6:$J$22,MATCH($H109,'[1]salary allocation'!$D$6:$D$22,0),MATCH(O$3,'[1]salary allocation'!$E$3:$J$3,0)),0)</f>
        <v>0</v>
      </c>
      <c r="P109" s="15">
        <f>-$K109*IFERROR(INDEX('[1]salary allocation'!$E$6:$J$22,MATCH($H109,'[1]salary allocation'!$D$6:$D$22,0),MATCH(P$3,'[1]salary allocation'!$E$3:$J$3,0)),0)</f>
        <v>0</v>
      </c>
      <c r="Q109" s="15">
        <f>-$K109*IFERROR(INDEX('[1]salary allocation'!$E$6:$J$22,MATCH($H109,'[1]salary allocation'!$D$6:$D$22,0),MATCH(Q$3,'[1]salary allocation'!$E$3:$J$3,0)),0)</f>
        <v>0</v>
      </c>
      <c r="R109" s="15">
        <f>-$K109*IFERROR(INDEX('[1]salary allocation'!$E$6:$J$22,MATCH($H109,'[1]salary allocation'!$D$6:$D$22,0),MATCH(R$3,'[1]salary allocation'!$E$3:$J$3,0)),0)</f>
        <v>0</v>
      </c>
      <c r="S109" s="15">
        <f>-$K109*IFERROR(INDEX('[1]salary allocation'!$E$6:$J$22,MATCH($H109,'[1]salary allocation'!$D$6:$D$22,0),MATCH(S$3,'[1]salary allocation'!$E$3:$J$3,0)),0)</f>
        <v>1732371</v>
      </c>
      <c r="T109" s="15">
        <f>-$K109*IFERROR(INDEX('[1]salary allocation'!$E$6:$J$22,MATCH($H109,'[1]salary allocation'!$D$6:$D$22,0),MATCH(T$3,'[1]salary allocation'!$E$3:$J$3,0)),0)</f>
        <v>1732371</v>
      </c>
      <c r="U109" s="15">
        <f>-$K109*IFERROR(INDEX('[1]salary allocation'!$E$6:$J$22,MATCH($H109,'[1]salary allocation'!$D$6:$D$22,0),MATCH(U$3,'[1]salary allocation'!$E$3:$J$3,0)),0)</f>
        <v>1732371</v>
      </c>
      <c r="V109" s="15">
        <f>-$K109*IFERROR(INDEX('[1]salary allocation'!$E$6:$J$22,MATCH($H109,'[1]salary allocation'!$D$6:$D$22,0),MATCH(V$3,'[1]salary allocation'!$E$3:$J$3,0)),0)</f>
        <v>0</v>
      </c>
      <c r="W109" s="15">
        <f>-$K109*IFERROR(INDEX('[1]salary allocation'!$E$6:$J$22,MATCH($H109,'[1]salary allocation'!$D$6:$D$22,0),MATCH(W$3,'[1]salary allocation'!$E$3:$J$3,0)),0)</f>
        <v>3464742</v>
      </c>
      <c r="X109" s="15">
        <f>-$K109*IFERROR(INDEX('[1]salary allocation'!$E$6:$J$22,MATCH($H109,'[1]salary allocation'!$D$6:$D$22,0),MATCH(X$3,'[1]salary allocation'!$E$3:$J$3,0)),0)</f>
        <v>0</v>
      </c>
      <c r="Y109" s="15">
        <f>-$K109*IFERROR(INDEX('[1]salary allocation'!$E$6:$J$22,MATCH($H109,'[1]salary allocation'!$D$6:$D$22,0),MATCH(Y$3,'[1]salary allocation'!$E$3:$J$3,0)),0)</f>
        <v>0</v>
      </c>
      <c r="Z109" s="15">
        <f>-$K109*IFERROR(INDEX('[1]salary allocation'!$E$6:$J$22,MATCH($H109,'[1]salary allocation'!$D$6:$D$22,0),MATCH(Z$3,'[1]salary allocation'!$E$3:$J$3,0)),0)</f>
        <v>0</v>
      </c>
      <c r="AA109" s="15">
        <f>-$K109*IFERROR(INDEX('[1]salary allocation'!$E$6:$J$22,MATCH($H109,'[1]salary allocation'!$D$6:$D$22,0),MATCH(AA$3,'[1]salary allocation'!$E$3:$J$3,0)),0)</f>
        <v>0</v>
      </c>
      <c r="AB109" s="15">
        <f>-$K109*IFERROR(INDEX('[1]salary allocation'!$E$6:$J$22,MATCH($H109,'[1]salary allocation'!$D$6:$D$22,0),MATCH(AB$3,'[1]salary allocation'!$E$3:$J$3,0)),0)</f>
        <v>0</v>
      </c>
      <c r="AC109" s="18">
        <f>-$K109*IFERROR(INDEX('[1]salary allocation'!$E$6:$J$22,MATCH($H109,'[1]salary allocation'!$D$6:$D$22,0),MATCH(AC$3,'[1]salary allocation'!$E$3:$J$3,0)),0)</f>
        <v>0</v>
      </c>
      <c r="AD109" s="17"/>
      <c r="AE109" s="16"/>
      <c r="AF109" s="15"/>
      <c r="AG109" s="15">
        <f>-K109</f>
        <v>8661855</v>
      </c>
      <c r="AH109" s="2">
        <f>K109+SUM(O109:AC109)</f>
        <v>0</v>
      </c>
      <c r="AI109" s="2">
        <f>K109+SUM(AF109:AG109)</f>
        <v>0</v>
      </c>
    </row>
    <row r="110" spans="1:35" x14ac:dyDescent="0.2">
      <c r="A110" s="1" t="s">
        <v>3</v>
      </c>
      <c r="B110" s="1" t="s">
        <v>527</v>
      </c>
      <c r="H110" s="1" t="s">
        <v>47</v>
      </c>
      <c r="I110" s="1" t="s">
        <v>762</v>
      </c>
      <c r="K110" s="2">
        <v>-15285824</v>
      </c>
      <c r="L110" s="46">
        <v>22025</v>
      </c>
      <c r="M110" s="42" t="str">
        <f>LEFT(I110,(LEN(LEFT(I110,FIND(";",I110)))-8))</f>
        <v>VNHBC</v>
      </c>
      <c r="N110" s="42" t="s">
        <v>138</v>
      </c>
      <c r="O110" s="15">
        <f>-$K110*IFERROR(INDEX('[1]salary allocation'!$E$6:$J$22,MATCH($H110,'[1]salary allocation'!$D$6:$D$22,0),MATCH(O$3,'[1]salary allocation'!$E$3:$J$3,0)),0)</f>
        <v>0</v>
      </c>
      <c r="P110" s="15">
        <f>-$K110*IFERROR(INDEX('[1]salary allocation'!$E$6:$J$22,MATCH($H110,'[1]salary allocation'!$D$6:$D$22,0),MATCH(P$3,'[1]salary allocation'!$E$3:$J$3,0)),0)</f>
        <v>0</v>
      </c>
      <c r="Q110" s="15">
        <f>-$K110*IFERROR(INDEX('[1]salary allocation'!$E$6:$J$22,MATCH($H110,'[1]salary allocation'!$D$6:$D$22,0),MATCH(Q$3,'[1]salary allocation'!$E$3:$J$3,0)),0)</f>
        <v>0</v>
      </c>
      <c r="R110" s="15">
        <f>-$K110*IFERROR(INDEX('[1]salary allocation'!$E$6:$J$22,MATCH($H110,'[1]salary allocation'!$D$6:$D$22,0),MATCH(R$3,'[1]salary allocation'!$E$3:$J$3,0)),0)</f>
        <v>0</v>
      </c>
      <c r="S110" s="15">
        <f>-$K110*IFERROR(INDEX('[1]salary allocation'!$E$6:$J$22,MATCH($H110,'[1]salary allocation'!$D$6:$D$22,0),MATCH(S$3,'[1]salary allocation'!$E$3:$J$3,0)),0)</f>
        <v>3057164.8000000003</v>
      </c>
      <c r="T110" s="15">
        <f>-$K110*IFERROR(INDEX('[1]salary allocation'!$E$6:$J$22,MATCH($H110,'[1]salary allocation'!$D$6:$D$22,0),MATCH(T$3,'[1]salary allocation'!$E$3:$J$3,0)),0)</f>
        <v>3057164.8000000003</v>
      </c>
      <c r="U110" s="15">
        <f>-$K110*IFERROR(INDEX('[1]salary allocation'!$E$6:$J$22,MATCH($H110,'[1]salary allocation'!$D$6:$D$22,0),MATCH(U$3,'[1]salary allocation'!$E$3:$J$3,0)),0)</f>
        <v>3057164.8000000003</v>
      </c>
      <c r="V110" s="15">
        <f>-$K110*IFERROR(INDEX('[1]salary allocation'!$E$6:$J$22,MATCH($H110,'[1]salary allocation'!$D$6:$D$22,0),MATCH(V$3,'[1]salary allocation'!$E$3:$J$3,0)),0)</f>
        <v>0</v>
      </c>
      <c r="W110" s="15">
        <f>-$K110*IFERROR(INDEX('[1]salary allocation'!$E$6:$J$22,MATCH($H110,'[1]salary allocation'!$D$6:$D$22,0),MATCH(W$3,'[1]salary allocation'!$E$3:$J$3,0)),0)</f>
        <v>6114329.6000000006</v>
      </c>
      <c r="X110" s="15">
        <f>-$K110*IFERROR(INDEX('[1]salary allocation'!$E$6:$J$22,MATCH($H110,'[1]salary allocation'!$D$6:$D$22,0),MATCH(X$3,'[1]salary allocation'!$E$3:$J$3,0)),0)</f>
        <v>0</v>
      </c>
      <c r="Y110" s="15">
        <f>-$K110*IFERROR(INDEX('[1]salary allocation'!$E$6:$J$22,MATCH($H110,'[1]salary allocation'!$D$6:$D$22,0),MATCH(Y$3,'[1]salary allocation'!$E$3:$J$3,0)),0)</f>
        <v>0</v>
      </c>
      <c r="Z110" s="15">
        <f>-$K110*IFERROR(INDEX('[1]salary allocation'!$E$6:$J$22,MATCH($H110,'[1]salary allocation'!$D$6:$D$22,0),MATCH(Z$3,'[1]salary allocation'!$E$3:$J$3,0)),0)</f>
        <v>0</v>
      </c>
      <c r="AA110" s="15">
        <f>-$K110*IFERROR(INDEX('[1]salary allocation'!$E$6:$J$22,MATCH($H110,'[1]salary allocation'!$D$6:$D$22,0),MATCH(AA$3,'[1]salary allocation'!$E$3:$J$3,0)),0)</f>
        <v>0</v>
      </c>
      <c r="AB110" s="15">
        <f>-$K110*IFERROR(INDEX('[1]salary allocation'!$E$6:$J$22,MATCH($H110,'[1]salary allocation'!$D$6:$D$22,0),MATCH(AB$3,'[1]salary allocation'!$E$3:$J$3,0)),0)</f>
        <v>0</v>
      </c>
      <c r="AC110" s="18">
        <f>-$K110*IFERROR(INDEX('[1]salary allocation'!$E$6:$J$22,MATCH($H110,'[1]salary allocation'!$D$6:$D$22,0),MATCH(AC$3,'[1]salary allocation'!$E$3:$J$3,0)),0)</f>
        <v>0</v>
      </c>
      <c r="AD110" s="17"/>
      <c r="AE110" s="16"/>
      <c r="AF110" s="15">
        <f>-$K110</f>
        <v>15285824</v>
      </c>
      <c r="AG110" s="15"/>
      <c r="AH110" s="2">
        <f>K110+SUM(O110:AC110)</f>
        <v>0</v>
      </c>
      <c r="AI110" s="2">
        <f>K110+SUM(AF110:AG110)</f>
        <v>0</v>
      </c>
    </row>
    <row r="111" spans="1:35" x14ac:dyDescent="0.2">
      <c r="A111" s="1" t="s">
        <v>3</v>
      </c>
      <c r="B111" s="1" t="s">
        <v>527</v>
      </c>
      <c r="H111" s="1" t="s">
        <v>45</v>
      </c>
      <c r="I111" s="1" t="s">
        <v>761</v>
      </c>
      <c r="K111" s="2">
        <v>-6242223</v>
      </c>
      <c r="L111" s="46">
        <v>22025</v>
      </c>
      <c r="M111" s="42" t="str">
        <f>LEFT(I111,(LEN(LEFT(I111,FIND(";",I111)))-9))</f>
        <v>VNHBC</v>
      </c>
      <c r="N111" s="42" t="s">
        <v>138</v>
      </c>
      <c r="O111" s="15">
        <f>-$K111*IFERROR(INDEX('[1]salary allocation'!$E$6:$J$22,MATCH($H111,'[1]salary allocation'!$D$6:$D$22,0),MATCH(O$3,'[1]salary allocation'!$E$3:$J$3,0)),0)</f>
        <v>0</v>
      </c>
      <c r="P111" s="15">
        <f>-$K111*IFERROR(INDEX('[1]salary allocation'!$E$6:$J$22,MATCH($H111,'[1]salary allocation'!$D$6:$D$22,0),MATCH(P$3,'[1]salary allocation'!$E$3:$J$3,0)),0)</f>
        <v>0</v>
      </c>
      <c r="Q111" s="15">
        <f>-$K111*IFERROR(INDEX('[1]salary allocation'!$E$6:$J$22,MATCH($H111,'[1]salary allocation'!$D$6:$D$22,0),MATCH(Q$3,'[1]salary allocation'!$E$3:$J$3,0)),0)</f>
        <v>0</v>
      </c>
      <c r="R111" s="15">
        <f>-$K111*IFERROR(INDEX('[1]salary allocation'!$E$6:$J$22,MATCH($H111,'[1]salary allocation'!$D$6:$D$22,0),MATCH(R$3,'[1]salary allocation'!$E$3:$J$3,0)),0)</f>
        <v>0</v>
      </c>
      <c r="S111" s="15">
        <f>-$K111*IFERROR(INDEX('[1]salary allocation'!$E$6:$J$22,MATCH($H111,'[1]salary allocation'!$D$6:$D$22,0),MATCH(S$3,'[1]salary allocation'!$E$3:$J$3,0)),0)</f>
        <v>1248444.6000000001</v>
      </c>
      <c r="T111" s="15">
        <f>-$K111*IFERROR(INDEX('[1]salary allocation'!$E$6:$J$22,MATCH($H111,'[1]salary allocation'!$D$6:$D$22,0),MATCH(T$3,'[1]salary allocation'!$E$3:$J$3,0)),0)</f>
        <v>1248444.6000000001</v>
      </c>
      <c r="U111" s="15">
        <f>-$K111*IFERROR(INDEX('[1]salary allocation'!$E$6:$J$22,MATCH($H111,'[1]salary allocation'!$D$6:$D$22,0),MATCH(U$3,'[1]salary allocation'!$E$3:$J$3,0)),0)</f>
        <v>1248444.6000000001</v>
      </c>
      <c r="V111" s="15">
        <f>-$K111*IFERROR(INDEX('[1]salary allocation'!$E$6:$J$22,MATCH($H111,'[1]salary allocation'!$D$6:$D$22,0),MATCH(V$3,'[1]salary allocation'!$E$3:$J$3,0)),0)</f>
        <v>0</v>
      </c>
      <c r="W111" s="15">
        <f>-$K111*IFERROR(INDEX('[1]salary allocation'!$E$6:$J$22,MATCH($H111,'[1]salary allocation'!$D$6:$D$22,0),MATCH(W$3,'[1]salary allocation'!$E$3:$J$3,0)),0)</f>
        <v>2496889.2000000002</v>
      </c>
      <c r="X111" s="15">
        <f>-$K111*IFERROR(INDEX('[1]salary allocation'!$E$6:$J$22,MATCH($H111,'[1]salary allocation'!$D$6:$D$22,0),MATCH(X$3,'[1]salary allocation'!$E$3:$J$3,0)),0)</f>
        <v>0</v>
      </c>
      <c r="Y111" s="15">
        <f>-$K111*IFERROR(INDEX('[1]salary allocation'!$E$6:$J$22,MATCH($H111,'[1]salary allocation'!$D$6:$D$22,0),MATCH(Y$3,'[1]salary allocation'!$E$3:$J$3,0)),0)</f>
        <v>0</v>
      </c>
      <c r="Z111" s="15">
        <f>-$K111*IFERROR(INDEX('[1]salary allocation'!$E$6:$J$22,MATCH($H111,'[1]salary allocation'!$D$6:$D$22,0),MATCH(Z$3,'[1]salary allocation'!$E$3:$J$3,0)),0)</f>
        <v>0</v>
      </c>
      <c r="AA111" s="15">
        <f>-$K111*IFERROR(INDEX('[1]salary allocation'!$E$6:$J$22,MATCH($H111,'[1]salary allocation'!$D$6:$D$22,0),MATCH(AA$3,'[1]salary allocation'!$E$3:$J$3,0)),0)</f>
        <v>0</v>
      </c>
      <c r="AB111" s="15">
        <f>-$K111*IFERROR(INDEX('[1]salary allocation'!$E$6:$J$22,MATCH($H111,'[1]salary allocation'!$D$6:$D$22,0),MATCH(AB$3,'[1]salary allocation'!$E$3:$J$3,0)),0)</f>
        <v>0</v>
      </c>
      <c r="AC111" s="18">
        <f>-$K111*IFERROR(INDEX('[1]salary allocation'!$E$6:$J$22,MATCH($H111,'[1]salary allocation'!$D$6:$D$22,0),MATCH(AC$3,'[1]salary allocation'!$E$3:$J$3,0)),0)</f>
        <v>0</v>
      </c>
      <c r="AD111" s="17"/>
      <c r="AE111" s="16"/>
      <c r="AF111" s="15"/>
      <c r="AG111" s="15">
        <f>-K111</f>
        <v>6242223</v>
      </c>
      <c r="AH111" s="2">
        <f>K111+SUM(O111:AC111)</f>
        <v>0</v>
      </c>
      <c r="AI111" s="2">
        <f>K111+SUM(AF111:AG111)</f>
        <v>0</v>
      </c>
    </row>
    <row r="112" spans="1:35" x14ac:dyDescent="0.2">
      <c r="A112" s="1" t="s">
        <v>3</v>
      </c>
      <c r="B112" s="1" t="s">
        <v>527</v>
      </c>
      <c r="H112" s="1" t="s">
        <v>43</v>
      </c>
      <c r="I112" s="1" t="s">
        <v>760</v>
      </c>
      <c r="K112" s="2">
        <v>-15091576</v>
      </c>
      <c r="L112" s="46">
        <v>22025</v>
      </c>
      <c r="M112" s="42" t="str">
        <f>LEFT(I112,(LEN(LEFT(I112,FIND(";",I112)))-8))</f>
        <v>VNMOET</v>
      </c>
      <c r="N112" s="42" t="s">
        <v>138</v>
      </c>
      <c r="O112" s="15">
        <f>-$K112*IFERROR(INDEX('[1]salary allocation'!$E$6:$J$22,MATCH($H112,'[1]salary allocation'!$D$6:$D$22,0),MATCH(O$3,'[1]salary allocation'!$E$3:$J$3,0)),0)</f>
        <v>0</v>
      </c>
      <c r="P112" s="15">
        <f>-$K112*IFERROR(INDEX('[1]salary allocation'!$E$6:$J$22,MATCH($H112,'[1]salary allocation'!$D$6:$D$22,0),MATCH(P$3,'[1]salary allocation'!$E$3:$J$3,0)),0)</f>
        <v>0</v>
      </c>
      <c r="Q112" s="15">
        <f>-$K112*IFERROR(INDEX('[1]salary allocation'!$E$6:$J$22,MATCH($H112,'[1]salary allocation'!$D$6:$D$22,0),MATCH(Q$3,'[1]salary allocation'!$E$3:$J$3,0)),0)</f>
        <v>0</v>
      </c>
      <c r="R112" s="15">
        <f>-$K112*IFERROR(INDEX('[1]salary allocation'!$E$6:$J$22,MATCH($H112,'[1]salary allocation'!$D$6:$D$22,0),MATCH(R$3,'[1]salary allocation'!$E$3:$J$3,0)),0)</f>
        <v>0</v>
      </c>
      <c r="S112" s="15">
        <f>-$K112*IFERROR(INDEX('[1]salary allocation'!$E$6:$J$22,MATCH($H112,'[1]salary allocation'!$D$6:$D$22,0),MATCH(S$3,'[1]salary allocation'!$E$3:$J$3,0)),0)</f>
        <v>3018315.2</v>
      </c>
      <c r="T112" s="15">
        <f>-$K112*IFERROR(INDEX('[1]salary allocation'!$E$6:$J$22,MATCH($H112,'[1]salary allocation'!$D$6:$D$22,0),MATCH(T$3,'[1]salary allocation'!$E$3:$J$3,0)),0)</f>
        <v>3018315.2</v>
      </c>
      <c r="U112" s="15">
        <f>-$K112*IFERROR(INDEX('[1]salary allocation'!$E$6:$J$22,MATCH($H112,'[1]salary allocation'!$D$6:$D$22,0),MATCH(U$3,'[1]salary allocation'!$E$3:$J$3,0)),0)</f>
        <v>3018315.2</v>
      </c>
      <c r="V112" s="15">
        <f>-$K112*IFERROR(INDEX('[1]salary allocation'!$E$6:$J$22,MATCH($H112,'[1]salary allocation'!$D$6:$D$22,0),MATCH(V$3,'[1]salary allocation'!$E$3:$J$3,0)),0)</f>
        <v>0</v>
      </c>
      <c r="W112" s="15">
        <f>-$K112*IFERROR(INDEX('[1]salary allocation'!$E$6:$J$22,MATCH($H112,'[1]salary allocation'!$D$6:$D$22,0),MATCH(W$3,'[1]salary allocation'!$E$3:$J$3,0)),0)</f>
        <v>6036630.4000000004</v>
      </c>
      <c r="X112" s="15">
        <f>-$K112*IFERROR(INDEX('[1]salary allocation'!$E$6:$J$22,MATCH($H112,'[1]salary allocation'!$D$6:$D$22,0),MATCH(X$3,'[1]salary allocation'!$E$3:$J$3,0)),0)</f>
        <v>0</v>
      </c>
      <c r="Y112" s="15">
        <f>-$K112*IFERROR(INDEX('[1]salary allocation'!$E$6:$J$22,MATCH($H112,'[1]salary allocation'!$D$6:$D$22,0),MATCH(Y$3,'[1]salary allocation'!$E$3:$J$3,0)),0)</f>
        <v>0</v>
      </c>
      <c r="Z112" s="15">
        <f>-$K112*IFERROR(INDEX('[1]salary allocation'!$E$6:$J$22,MATCH($H112,'[1]salary allocation'!$D$6:$D$22,0),MATCH(Z$3,'[1]salary allocation'!$E$3:$J$3,0)),0)</f>
        <v>0</v>
      </c>
      <c r="AA112" s="15">
        <f>-$K112*IFERROR(INDEX('[1]salary allocation'!$E$6:$J$22,MATCH($H112,'[1]salary allocation'!$D$6:$D$22,0),MATCH(AA$3,'[1]salary allocation'!$E$3:$J$3,0)),0)</f>
        <v>0</v>
      </c>
      <c r="AB112" s="15">
        <f>-$K112*IFERROR(INDEX('[1]salary allocation'!$E$6:$J$22,MATCH($H112,'[1]salary allocation'!$D$6:$D$22,0),MATCH(AB$3,'[1]salary allocation'!$E$3:$J$3,0)),0)</f>
        <v>0</v>
      </c>
      <c r="AC112" s="18">
        <f>-$K112*IFERROR(INDEX('[1]salary allocation'!$E$6:$J$22,MATCH($H112,'[1]salary allocation'!$D$6:$D$22,0),MATCH(AC$3,'[1]salary allocation'!$E$3:$J$3,0)),0)</f>
        <v>0</v>
      </c>
      <c r="AD112" s="17"/>
      <c r="AE112" s="16"/>
      <c r="AF112" s="15">
        <f>-$K112</f>
        <v>15091576</v>
      </c>
      <c r="AG112" s="15"/>
      <c r="AH112" s="2">
        <f>K112+SUM(O112:AC112)</f>
        <v>0</v>
      </c>
      <c r="AI112" s="2">
        <f>K112+SUM(AF112:AG112)</f>
        <v>0</v>
      </c>
    </row>
    <row r="113" spans="1:35" x14ac:dyDescent="0.2">
      <c r="A113" s="1" t="s">
        <v>3</v>
      </c>
      <c r="B113" s="1" t="s">
        <v>527</v>
      </c>
      <c r="H113" s="1" t="s">
        <v>41</v>
      </c>
      <c r="I113" s="1" t="s">
        <v>759</v>
      </c>
      <c r="K113" s="2">
        <v>-15204056</v>
      </c>
      <c r="L113" s="46">
        <v>22025</v>
      </c>
      <c r="M113" s="42" t="str">
        <f>LEFT(I113,(LEN(LEFT(I113,FIND(";",I113)))-8))</f>
        <v>VNMOET</v>
      </c>
      <c r="N113" s="42" t="s">
        <v>138</v>
      </c>
      <c r="O113" s="15">
        <f>-$K113*IFERROR(INDEX('[1]salary allocation'!$E$6:$J$22,MATCH($H113,'[1]salary allocation'!$D$6:$D$22,0),MATCH(O$3,'[1]salary allocation'!$E$3:$J$3,0)),0)</f>
        <v>0</v>
      </c>
      <c r="P113" s="15">
        <f>-$K113*IFERROR(INDEX('[1]salary allocation'!$E$6:$J$22,MATCH($H113,'[1]salary allocation'!$D$6:$D$22,0),MATCH(P$3,'[1]salary allocation'!$E$3:$J$3,0)),0)</f>
        <v>0</v>
      </c>
      <c r="Q113" s="15">
        <f>-$K113*IFERROR(INDEX('[1]salary allocation'!$E$6:$J$22,MATCH($H113,'[1]salary allocation'!$D$6:$D$22,0),MATCH(Q$3,'[1]salary allocation'!$E$3:$J$3,0)),0)</f>
        <v>0</v>
      </c>
      <c r="R113" s="15">
        <f>-$K113*IFERROR(INDEX('[1]salary allocation'!$E$6:$J$22,MATCH($H113,'[1]salary allocation'!$D$6:$D$22,0),MATCH(R$3,'[1]salary allocation'!$E$3:$J$3,0)),0)</f>
        <v>0</v>
      </c>
      <c r="S113" s="15">
        <f>-$K113*IFERROR(INDEX('[1]salary allocation'!$E$6:$J$22,MATCH($H113,'[1]salary allocation'!$D$6:$D$22,0),MATCH(S$3,'[1]salary allocation'!$E$3:$J$3,0)),0)</f>
        <v>0</v>
      </c>
      <c r="T113" s="15">
        <f>-$K113*IFERROR(INDEX('[1]salary allocation'!$E$6:$J$22,MATCH($H113,'[1]salary allocation'!$D$6:$D$22,0),MATCH(T$3,'[1]salary allocation'!$E$3:$J$3,0)),0)</f>
        <v>0</v>
      </c>
      <c r="U113" s="15">
        <f>-$K113*IFERROR(INDEX('[1]salary allocation'!$E$6:$J$22,MATCH($H113,'[1]salary allocation'!$D$6:$D$22,0),MATCH(U$3,'[1]salary allocation'!$E$3:$J$3,0)),0)</f>
        <v>0</v>
      </c>
      <c r="V113" s="15">
        <f>-$K113*IFERROR(INDEX('[1]salary allocation'!$E$6:$J$22,MATCH($H113,'[1]salary allocation'!$D$6:$D$22,0),MATCH(V$3,'[1]salary allocation'!$E$3:$J$3,0)),0)</f>
        <v>0</v>
      </c>
      <c r="W113" s="15">
        <f>-$K113*IFERROR(INDEX('[1]salary allocation'!$E$6:$J$22,MATCH($H113,'[1]salary allocation'!$D$6:$D$22,0),MATCH(W$3,'[1]salary allocation'!$E$3:$J$3,0)),0)</f>
        <v>15204056</v>
      </c>
      <c r="X113" s="15">
        <f>-$K113*IFERROR(INDEX('[1]salary allocation'!$E$6:$J$22,MATCH($H113,'[1]salary allocation'!$D$6:$D$22,0),MATCH(X$3,'[1]salary allocation'!$E$3:$J$3,0)),0)</f>
        <v>0</v>
      </c>
      <c r="Y113" s="15">
        <f>-$K113*IFERROR(INDEX('[1]salary allocation'!$E$6:$J$22,MATCH($H113,'[1]salary allocation'!$D$6:$D$22,0),MATCH(Y$3,'[1]salary allocation'!$E$3:$J$3,0)),0)</f>
        <v>0</v>
      </c>
      <c r="Z113" s="15">
        <f>-$K113*IFERROR(INDEX('[1]salary allocation'!$E$6:$J$22,MATCH($H113,'[1]salary allocation'!$D$6:$D$22,0),MATCH(Z$3,'[1]salary allocation'!$E$3:$J$3,0)),0)</f>
        <v>0</v>
      </c>
      <c r="AA113" s="15">
        <f>-$K113*IFERROR(INDEX('[1]salary allocation'!$E$6:$J$22,MATCH($H113,'[1]salary allocation'!$D$6:$D$22,0),MATCH(AA$3,'[1]salary allocation'!$E$3:$J$3,0)),0)</f>
        <v>0</v>
      </c>
      <c r="AB113" s="15">
        <f>-$K113*IFERROR(INDEX('[1]salary allocation'!$E$6:$J$22,MATCH($H113,'[1]salary allocation'!$D$6:$D$22,0),MATCH(AB$3,'[1]salary allocation'!$E$3:$J$3,0)),0)</f>
        <v>0</v>
      </c>
      <c r="AC113" s="18">
        <f>-$K113*IFERROR(INDEX('[1]salary allocation'!$E$6:$J$22,MATCH($H113,'[1]salary allocation'!$D$6:$D$22,0),MATCH(AC$3,'[1]salary allocation'!$E$3:$J$3,0)),0)</f>
        <v>0</v>
      </c>
      <c r="AD113" s="17"/>
      <c r="AE113" s="16"/>
      <c r="AF113" s="15">
        <f>-$K113</f>
        <v>15204056</v>
      </c>
      <c r="AG113" s="15"/>
      <c r="AH113" s="2">
        <f>K113+SUM(O113:AC113)</f>
        <v>0</v>
      </c>
      <c r="AI113" s="2">
        <f>K113+SUM(AF113:AG113)</f>
        <v>0</v>
      </c>
    </row>
    <row r="114" spans="1:35" x14ac:dyDescent="0.2">
      <c r="A114" s="1" t="s">
        <v>3</v>
      </c>
      <c r="B114" s="1" t="s">
        <v>527</v>
      </c>
      <c r="H114" s="1" t="s">
        <v>39</v>
      </c>
      <c r="I114" s="1" t="s">
        <v>758</v>
      </c>
      <c r="K114" s="2">
        <v>-15091576</v>
      </c>
      <c r="L114" s="46">
        <v>22025</v>
      </c>
      <c r="M114" s="42" t="str">
        <f>LEFT(I114,(LEN(LEFT(I114,FIND(";",I114)))-8))</f>
        <v>VNMOET</v>
      </c>
      <c r="N114" s="42" t="s">
        <v>138</v>
      </c>
      <c r="O114" s="15">
        <f>-$K114*IFERROR(INDEX('[1]salary allocation'!$E$6:$J$22,MATCH($H114,'[1]salary allocation'!$D$6:$D$22,0),MATCH(O$3,'[1]salary allocation'!$E$3:$J$3,0)),0)</f>
        <v>0</v>
      </c>
      <c r="P114" s="15">
        <f>-$K114*IFERROR(INDEX('[1]salary allocation'!$E$6:$J$22,MATCH($H114,'[1]salary allocation'!$D$6:$D$22,0),MATCH(P$3,'[1]salary allocation'!$E$3:$J$3,0)),0)</f>
        <v>0</v>
      </c>
      <c r="Q114" s="15">
        <f>-$K114*IFERROR(INDEX('[1]salary allocation'!$E$6:$J$22,MATCH($H114,'[1]salary allocation'!$D$6:$D$22,0),MATCH(Q$3,'[1]salary allocation'!$E$3:$J$3,0)),0)</f>
        <v>0</v>
      </c>
      <c r="R114" s="15">
        <f>-$K114*IFERROR(INDEX('[1]salary allocation'!$E$6:$J$22,MATCH($H114,'[1]salary allocation'!$D$6:$D$22,0),MATCH(R$3,'[1]salary allocation'!$E$3:$J$3,0)),0)</f>
        <v>0</v>
      </c>
      <c r="S114" s="15">
        <f>-$K114*IFERROR(INDEX('[1]salary allocation'!$E$6:$J$22,MATCH($H114,'[1]salary allocation'!$D$6:$D$22,0),MATCH(S$3,'[1]salary allocation'!$E$3:$J$3,0)),0)</f>
        <v>0</v>
      </c>
      <c r="T114" s="15">
        <f>-$K114*IFERROR(INDEX('[1]salary allocation'!$E$6:$J$22,MATCH($H114,'[1]salary allocation'!$D$6:$D$22,0),MATCH(T$3,'[1]salary allocation'!$E$3:$J$3,0)),0)</f>
        <v>0</v>
      </c>
      <c r="U114" s="15">
        <f>-$K114*IFERROR(INDEX('[1]salary allocation'!$E$6:$J$22,MATCH($H114,'[1]salary allocation'!$D$6:$D$22,0),MATCH(U$3,'[1]salary allocation'!$E$3:$J$3,0)),0)</f>
        <v>0</v>
      </c>
      <c r="V114" s="15">
        <f>-$K114*IFERROR(INDEX('[1]salary allocation'!$E$6:$J$22,MATCH($H114,'[1]salary allocation'!$D$6:$D$22,0),MATCH(V$3,'[1]salary allocation'!$E$3:$J$3,0)),0)</f>
        <v>0</v>
      </c>
      <c r="W114" s="15">
        <f>-$K114*IFERROR(INDEX('[1]salary allocation'!$E$6:$J$22,MATCH($H114,'[1]salary allocation'!$D$6:$D$22,0),MATCH(W$3,'[1]salary allocation'!$E$3:$J$3,0)),0)</f>
        <v>15091576</v>
      </c>
      <c r="X114" s="15">
        <f>-$K114*IFERROR(INDEX('[1]salary allocation'!$E$6:$J$22,MATCH($H114,'[1]salary allocation'!$D$6:$D$22,0),MATCH(X$3,'[1]salary allocation'!$E$3:$J$3,0)),0)</f>
        <v>0</v>
      </c>
      <c r="Y114" s="15">
        <f>-$K114*IFERROR(INDEX('[1]salary allocation'!$E$6:$J$22,MATCH($H114,'[1]salary allocation'!$D$6:$D$22,0),MATCH(Y$3,'[1]salary allocation'!$E$3:$J$3,0)),0)</f>
        <v>0</v>
      </c>
      <c r="Z114" s="15">
        <f>-$K114*IFERROR(INDEX('[1]salary allocation'!$E$6:$J$22,MATCH($H114,'[1]salary allocation'!$D$6:$D$22,0),MATCH(Z$3,'[1]salary allocation'!$E$3:$J$3,0)),0)</f>
        <v>0</v>
      </c>
      <c r="AA114" s="15">
        <f>-$K114*IFERROR(INDEX('[1]salary allocation'!$E$6:$J$22,MATCH($H114,'[1]salary allocation'!$D$6:$D$22,0),MATCH(AA$3,'[1]salary allocation'!$E$3:$J$3,0)),0)</f>
        <v>0</v>
      </c>
      <c r="AB114" s="15">
        <f>-$K114*IFERROR(INDEX('[1]salary allocation'!$E$6:$J$22,MATCH($H114,'[1]salary allocation'!$D$6:$D$22,0),MATCH(AB$3,'[1]salary allocation'!$E$3:$J$3,0)),0)</f>
        <v>0</v>
      </c>
      <c r="AC114" s="18">
        <f>-$K114*IFERROR(INDEX('[1]salary allocation'!$E$6:$J$22,MATCH($H114,'[1]salary allocation'!$D$6:$D$22,0),MATCH(AC$3,'[1]salary allocation'!$E$3:$J$3,0)),0)</f>
        <v>0</v>
      </c>
      <c r="AD114" s="17"/>
      <c r="AE114" s="16"/>
      <c r="AF114" s="15">
        <f>-$K114</f>
        <v>15091576</v>
      </c>
      <c r="AG114" s="15"/>
      <c r="AH114" s="2">
        <f>K114+SUM(O114:AC114)</f>
        <v>0</v>
      </c>
      <c r="AI114" s="2">
        <f>K114+SUM(AF114:AG114)</f>
        <v>0</v>
      </c>
    </row>
    <row r="115" spans="1:35" x14ac:dyDescent="0.2">
      <c r="A115" s="1" t="s">
        <v>3</v>
      </c>
      <c r="B115" s="1" t="s">
        <v>527</v>
      </c>
      <c r="H115" s="1" t="s">
        <v>37</v>
      </c>
      <c r="I115" s="1" t="s">
        <v>757</v>
      </c>
      <c r="K115" s="2">
        <v>-13242048</v>
      </c>
      <c r="L115" s="46">
        <v>22025</v>
      </c>
      <c r="M115" s="42" t="str">
        <f>LEFT(I115,(LEN(LEFT(I115,FIND(";",I115)))-8))</f>
        <v>VNOther</v>
      </c>
      <c r="N115" s="42" t="s">
        <v>138</v>
      </c>
      <c r="O115" s="15">
        <f>-$K115*IFERROR(INDEX('[1]salary allocation'!$E$6:$J$22,MATCH($H115,'[1]salary allocation'!$D$6:$D$22,0),MATCH(O$3,'[1]salary allocation'!$E$3:$J$3,0)),0)</f>
        <v>0</v>
      </c>
      <c r="P115" s="15">
        <f>-$K115*IFERROR(INDEX('[1]salary allocation'!$E$6:$J$22,MATCH($H115,'[1]salary allocation'!$D$6:$D$22,0),MATCH(P$3,'[1]salary allocation'!$E$3:$J$3,0)),0)</f>
        <v>1986307.2</v>
      </c>
      <c r="Q115" s="15">
        <f>-$K115*IFERROR(INDEX('[1]salary allocation'!$E$6:$J$22,MATCH($H115,'[1]salary allocation'!$D$6:$D$22,0),MATCH(Q$3,'[1]salary allocation'!$E$3:$J$3,0)),0)</f>
        <v>0</v>
      </c>
      <c r="R115" s="15">
        <f>-$K115*IFERROR(INDEX('[1]salary allocation'!$E$6:$J$22,MATCH($H115,'[1]salary allocation'!$D$6:$D$22,0),MATCH(R$3,'[1]salary allocation'!$E$3:$J$3,0)),0)</f>
        <v>0</v>
      </c>
      <c r="S115" s="15">
        <f>-$K115*IFERROR(INDEX('[1]salary allocation'!$E$6:$J$22,MATCH($H115,'[1]salary allocation'!$D$6:$D$22,0),MATCH(S$3,'[1]salary allocation'!$E$3:$J$3,0)),0)</f>
        <v>2251148.1599999997</v>
      </c>
      <c r="T115" s="15">
        <f>-$K115*IFERROR(INDEX('[1]salary allocation'!$E$6:$J$22,MATCH($H115,'[1]salary allocation'!$D$6:$D$22,0),MATCH(T$3,'[1]salary allocation'!$E$3:$J$3,0)),0)</f>
        <v>2251148.1599999997</v>
      </c>
      <c r="U115" s="15">
        <f>-$K115*IFERROR(INDEX('[1]salary allocation'!$E$6:$J$22,MATCH($H115,'[1]salary allocation'!$D$6:$D$22,0),MATCH(U$3,'[1]salary allocation'!$E$3:$J$3,0)),0)</f>
        <v>2251148.1599999997</v>
      </c>
      <c r="V115" s="15">
        <f>-$K115*IFERROR(INDEX('[1]salary allocation'!$E$6:$J$22,MATCH($H115,'[1]salary allocation'!$D$6:$D$22,0),MATCH(V$3,'[1]salary allocation'!$E$3:$J$3,0)),0)</f>
        <v>0</v>
      </c>
      <c r="W115" s="15">
        <f>-$K115*IFERROR(INDEX('[1]salary allocation'!$E$6:$J$22,MATCH($H115,'[1]salary allocation'!$D$6:$D$22,0),MATCH(W$3,'[1]salary allocation'!$E$3:$J$3,0)),0)</f>
        <v>4502296.3199999994</v>
      </c>
      <c r="X115" s="15">
        <f>-$K115*IFERROR(INDEX('[1]salary allocation'!$E$6:$J$22,MATCH($H115,'[1]salary allocation'!$D$6:$D$22,0),MATCH(X$3,'[1]salary allocation'!$E$3:$J$3,0)),0)</f>
        <v>0</v>
      </c>
      <c r="Y115" s="15">
        <f>-$K115*IFERROR(INDEX('[1]salary allocation'!$E$6:$J$22,MATCH($H115,'[1]salary allocation'!$D$6:$D$22,0),MATCH(Y$3,'[1]salary allocation'!$E$3:$J$3,0)),0)</f>
        <v>0</v>
      </c>
      <c r="Z115" s="15">
        <f>-$K115*IFERROR(INDEX('[1]salary allocation'!$E$6:$J$22,MATCH($H115,'[1]salary allocation'!$D$6:$D$22,0),MATCH(Z$3,'[1]salary allocation'!$E$3:$J$3,0)),0)</f>
        <v>0</v>
      </c>
      <c r="AA115" s="15">
        <f>-$K115*IFERROR(INDEX('[1]salary allocation'!$E$6:$J$22,MATCH($H115,'[1]salary allocation'!$D$6:$D$22,0),MATCH(AA$3,'[1]salary allocation'!$E$3:$J$3,0)),0)</f>
        <v>0</v>
      </c>
      <c r="AB115" s="15">
        <f>-$K115*IFERROR(INDEX('[1]salary allocation'!$E$6:$J$22,MATCH($H115,'[1]salary allocation'!$D$6:$D$22,0),MATCH(AB$3,'[1]salary allocation'!$E$3:$J$3,0)),0)</f>
        <v>0</v>
      </c>
      <c r="AC115" s="18">
        <f>-$K115*IFERROR(INDEX('[1]salary allocation'!$E$6:$J$22,MATCH($H115,'[1]salary allocation'!$D$6:$D$22,0),MATCH(AC$3,'[1]salary allocation'!$E$3:$J$3,0)),0)</f>
        <v>0</v>
      </c>
      <c r="AD115" s="17"/>
      <c r="AE115" s="16"/>
      <c r="AF115" s="15">
        <f>-K115</f>
        <v>13242048</v>
      </c>
      <c r="AG115" s="15"/>
      <c r="AH115" s="2">
        <f>K115+SUM(O115:AC115)</f>
        <v>0</v>
      </c>
      <c r="AI115" s="2">
        <f>K115+SUM(AF115:AG115)</f>
        <v>0</v>
      </c>
    </row>
    <row r="116" spans="1:35" x14ac:dyDescent="0.2">
      <c r="A116" s="1" t="s">
        <v>3</v>
      </c>
      <c r="B116" s="1" t="s">
        <v>527</v>
      </c>
      <c r="H116" s="1" t="s">
        <v>35</v>
      </c>
      <c r="I116" s="1" t="s">
        <v>756</v>
      </c>
      <c r="K116" s="2">
        <v>-15498574</v>
      </c>
      <c r="L116" s="46">
        <v>22025</v>
      </c>
      <c r="M116" s="42" t="str">
        <f>LEFT(I116,(LEN(LEFT(I116,FIND(";",I116)))-8))</f>
        <v>VNOther</v>
      </c>
      <c r="N116" s="42" t="s">
        <v>138</v>
      </c>
      <c r="O116" s="15">
        <f>-$K116*IFERROR(INDEX('[1]salary allocation'!$E$6:$J$22,MATCH($H116,'[1]salary allocation'!$D$6:$D$22,0),MATCH(O$3,'[1]salary allocation'!$E$3:$J$3,0)),0)</f>
        <v>0</v>
      </c>
      <c r="P116" s="15">
        <f>-$K116*IFERROR(INDEX('[1]salary allocation'!$E$6:$J$22,MATCH($H116,'[1]salary allocation'!$D$6:$D$22,0),MATCH(P$3,'[1]salary allocation'!$E$3:$J$3,0)),0)</f>
        <v>2324786.1</v>
      </c>
      <c r="Q116" s="15">
        <f>-$K116*IFERROR(INDEX('[1]salary allocation'!$E$6:$J$22,MATCH($H116,'[1]salary allocation'!$D$6:$D$22,0),MATCH(Q$3,'[1]salary allocation'!$E$3:$J$3,0)),0)</f>
        <v>0</v>
      </c>
      <c r="R116" s="15">
        <f>-$K116*IFERROR(INDEX('[1]salary allocation'!$E$6:$J$22,MATCH($H116,'[1]salary allocation'!$D$6:$D$22,0),MATCH(R$3,'[1]salary allocation'!$E$3:$J$3,0)),0)</f>
        <v>0</v>
      </c>
      <c r="S116" s="15">
        <f>-$K116*IFERROR(INDEX('[1]salary allocation'!$E$6:$J$22,MATCH($H116,'[1]salary allocation'!$D$6:$D$22,0),MATCH(S$3,'[1]salary allocation'!$E$3:$J$3,0)),0)</f>
        <v>2634757.5799999996</v>
      </c>
      <c r="T116" s="15">
        <f>-$K116*IFERROR(INDEX('[1]salary allocation'!$E$6:$J$22,MATCH($H116,'[1]salary allocation'!$D$6:$D$22,0),MATCH(T$3,'[1]salary allocation'!$E$3:$J$3,0)),0)</f>
        <v>2634757.5799999996</v>
      </c>
      <c r="U116" s="15">
        <f>-$K116*IFERROR(INDEX('[1]salary allocation'!$E$6:$J$22,MATCH($H116,'[1]salary allocation'!$D$6:$D$22,0),MATCH(U$3,'[1]salary allocation'!$E$3:$J$3,0)),0)</f>
        <v>2634757.5799999996</v>
      </c>
      <c r="V116" s="15">
        <f>-$K116*IFERROR(INDEX('[1]salary allocation'!$E$6:$J$22,MATCH($H116,'[1]salary allocation'!$D$6:$D$22,0),MATCH(V$3,'[1]salary allocation'!$E$3:$J$3,0)),0)</f>
        <v>0</v>
      </c>
      <c r="W116" s="15">
        <f>-$K116*IFERROR(INDEX('[1]salary allocation'!$E$6:$J$22,MATCH($H116,'[1]salary allocation'!$D$6:$D$22,0),MATCH(W$3,'[1]salary allocation'!$E$3:$J$3,0)),0)</f>
        <v>5269515.1599999992</v>
      </c>
      <c r="X116" s="15">
        <f>-$K116*IFERROR(INDEX('[1]salary allocation'!$E$6:$J$22,MATCH($H116,'[1]salary allocation'!$D$6:$D$22,0),MATCH(X$3,'[1]salary allocation'!$E$3:$J$3,0)),0)</f>
        <v>0</v>
      </c>
      <c r="Y116" s="15">
        <f>-$K116*IFERROR(INDEX('[1]salary allocation'!$E$6:$J$22,MATCH($H116,'[1]salary allocation'!$D$6:$D$22,0),MATCH(Y$3,'[1]salary allocation'!$E$3:$J$3,0)),0)</f>
        <v>0</v>
      </c>
      <c r="Z116" s="15">
        <f>-$K116*IFERROR(INDEX('[1]salary allocation'!$E$6:$J$22,MATCH($H116,'[1]salary allocation'!$D$6:$D$22,0),MATCH(Z$3,'[1]salary allocation'!$E$3:$J$3,0)),0)</f>
        <v>0</v>
      </c>
      <c r="AA116" s="15">
        <f>-$K116*IFERROR(INDEX('[1]salary allocation'!$E$6:$J$22,MATCH($H116,'[1]salary allocation'!$D$6:$D$22,0),MATCH(AA$3,'[1]salary allocation'!$E$3:$J$3,0)),0)</f>
        <v>0</v>
      </c>
      <c r="AB116" s="15">
        <f>-$K116*IFERROR(INDEX('[1]salary allocation'!$E$6:$J$22,MATCH($H116,'[1]salary allocation'!$D$6:$D$22,0),MATCH(AB$3,'[1]salary allocation'!$E$3:$J$3,0)),0)</f>
        <v>0</v>
      </c>
      <c r="AC116" s="18">
        <f>-$K116*IFERROR(INDEX('[1]salary allocation'!$E$6:$J$22,MATCH($H116,'[1]salary allocation'!$D$6:$D$22,0),MATCH(AC$3,'[1]salary allocation'!$E$3:$J$3,0)),0)</f>
        <v>0</v>
      </c>
      <c r="AD116" s="17"/>
      <c r="AE116" s="16"/>
      <c r="AF116" s="15">
        <f>-$K116</f>
        <v>15498574</v>
      </c>
      <c r="AG116" s="15"/>
      <c r="AH116" s="2">
        <f>K116+SUM(O116:AC116)</f>
        <v>0</v>
      </c>
      <c r="AI116" s="2">
        <f>K116+SUM(AF116:AG116)</f>
        <v>0</v>
      </c>
    </row>
    <row r="117" spans="1:35" x14ac:dyDescent="0.2">
      <c r="A117" s="1" t="s">
        <v>3</v>
      </c>
      <c r="B117" s="1" t="s">
        <v>527</v>
      </c>
      <c r="H117" s="1" t="s">
        <v>121</v>
      </c>
      <c r="I117" s="1" t="s">
        <v>755</v>
      </c>
      <c r="K117" s="2">
        <v>-4308352</v>
      </c>
      <c r="L117" s="46">
        <v>22025</v>
      </c>
      <c r="M117" s="42" t="str">
        <f>LEFT(I117,(LEN(LEFT(I117,FIND(";",I117)))-8))</f>
        <v>VNLA</v>
      </c>
      <c r="N117" s="42" t="s">
        <v>138</v>
      </c>
      <c r="O117" s="2">
        <f>IF($M117=O$3,-$K117,0)</f>
        <v>0</v>
      </c>
      <c r="P117" s="2">
        <f>IF($M117=P$3,-$K117,0)</f>
        <v>0</v>
      </c>
      <c r="Q117" s="2">
        <f>IF($M117=Q$3,-$K117,0)</f>
        <v>0</v>
      </c>
      <c r="R117" s="2">
        <f>IF($M117=R$3,-$K117,0)</f>
        <v>0</v>
      </c>
      <c r="S117" s="2">
        <f>IF($M117=S$3,-$K117,0)</f>
        <v>0</v>
      </c>
      <c r="T117" s="2">
        <f>IF($M117=T$3,-$K117,0)</f>
        <v>0</v>
      </c>
      <c r="U117" s="2">
        <f>IF($M117=U$3,-$K117,0)</f>
        <v>0</v>
      </c>
      <c r="V117" s="2">
        <f>IF($M117=V$3,-$K117,0)</f>
        <v>0</v>
      </c>
      <c r="W117" s="2">
        <f>IF($M117=W$3,-$K117,0)</f>
        <v>0</v>
      </c>
      <c r="X117" s="2">
        <f>IF($M117=X$3,-$K117,0)</f>
        <v>4308352</v>
      </c>
      <c r="Y117" s="2">
        <f>IF($M117=Y$3,-$K117,0)</f>
        <v>0</v>
      </c>
      <c r="Z117" s="2">
        <f>IF($M117=Z$3,-$K117,0)</f>
        <v>0</v>
      </c>
      <c r="AA117" s="2">
        <f>IF($M117=AA$3,-$K117,0)</f>
        <v>0</v>
      </c>
      <c r="AB117" s="2">
        <f>IF($M117=AB$3,-$K117,0)</f>
        <v>0</v>
      </c>
      <c r="AC117" s="21">
        <f>IF($M117=AC$3,-$K117,0)</f>
        <v>0</v>
      </c>
      <c r="AD117" s="20"/>
      <c r="AE117" s="19"/>
      <c r="AF117" s="2"/>
      <c r="AG117" s="2">
        <f>-$K117</f>
        <v>4308352</v>
      </c>
      <c r="AH117" s="2">
        <f>K117+SUM(O117:AC117)</f>
        <v>0</v>
      </c>
      <c r="AI117" s="2">
        <f>K117+SUM(AF117:AG117)</f>
        <v>0</v>
      </c>
    </row>
    <row r="118" spans="1:35" x14ac:dyDescent="0.2">
      <c r="A118" s="1" t="s">
        <v>3</v>
      </c>
      <c r="B118" s="1" t="s">
        <v>527</v>
      </c>
      <c r="H118" s="1" t="s">
        <v>33</v>
      </c>
      <c r="I118" s="1" t="s">
        <v>754</v>
      </c>
      <c r="K118" s="2">
        <v>-3984832</v>
      </c>
      <c r="L118" s="46">
        <v>22025</v>
      </c>
      <c r="M118" s="42" t="str">
        <f>LEFT(I118,(LEN(LEFT(I118,FIND(";",I118)))-8))</f>
        <v>VNDN</v>
      </c>
      <c r="N118" s="42" t="s">
        <v>138</v>
      </c>
      <c r="O118" s="2">
        <f>IF($M118=O$3,-$K118,0)</f>
        <v>0</v>
      </c>
      <c r="P118" s="2">
        <f>IF($M118=P$3,-$K118,0)</f>
        <v>0</v>
      </c>
      <c r="Q118" s="2">
        <f>IF($M118=Q$3,-$K118,0)</f>
        <v>0</v>
      </c>
      <c r="R118" s="2">
        <f>IF($M118=R$3,-$K118,0)</f>
        <v>0</v>
      </c>
      <c r="S118" s="2">
        <f>IF($M118=S$3,-$K118,0)</f>
        <v>3984832</v>
      </c>
      <c r="T118" s="2">
        <f>IF($M118=T$3,-$K118,0)</f>
        <v>0</v>
      </c>
      <c r="U118" s="2">
        <f>IF($M118=U$3,-$K118,0)</f>
        <v>0</v>
      </c>
      <c r="V118" s="2">
        <f>IF($M118=V$3,-$K118,0)</f>
        <v>0</v>
      </c>
      <c r="W118" s="2">
        <f>IF($M118=W$3,-$K118,0)</f>
        <v>0</v>
      </c>
      <c r="X118" s="2">
        <f>IF($M118=X$3,-$K118,0)</f>
        <v>0</v>
      </c>
      <c r="Y118" s="2">
        <f>IF($M118=Y$3,-$K118,0)</f>
        <v>0</v>
      </c>
      <c r="Z118" s="2">
        <f>IF($M118=Z$3,-$K118,0)</f>
        <v>0</v>
      </c>
      <c r="AA118" s="2">
        <f>IF($M118=AA$3,-$K118,0)</f>
        <v>0</v>
      </c>
      <c r="AB118" s="2">
        <f>IF($M118=AB$3,-$K118,0)</f>
        <v>0</v>
      </c>
      <c r="AC118" s="21">
        <f>IF($M118=AC$3,-$K118,0)</f>
        <v>0</v>
      </c>
      <c r="AD118" s="20"/>
      <c r="AE118" s="19"/>
      <c r="AF118" s="2"/>
      <c r="AG118" s="2">
        <f>-$K118</f>
        <v>3984832</v>
      </c>
      <c r="AH118" s="2">
        <f>K118+SUM(O118:AC118)</f>
        <v>0</v>
      </c>
      <c r="AI118" s="2">
        <f>K118+SUM(AF118:AG118)</f>
        <v>0</v>
      </c>
    </row>
    <row r="119" spans="1:35" x14ac:dyDescent="0.2">
      <c r="A119" s="1" t="s">
        <v>3</v>
      </c>
      <c r="B119" s="1" t="s">
        <v>527</v>
      </c>
      <c r="H119" s="1" t="s">
        <v>31</v>
      </c>
      <c r="I119" s="1" t="s">
        <v>753</v>
      </c>
      <c r="K119" s="2">
        <v>-5064512</v>
      </c>
      <c r="L119" s="46">
        <v>22025</v>
      </c>
      <c r="M119" s="42" t="str">
        <f>LEFT(I119,(LEN(LEFT(I119,FIND(";",I119)))-8))</f>
        <v>VNDN</v>
      </c>
      <c r="N119" s="42" t="s">
        <v>138</v>
      </c>
      <c r="O119" s="2">
        <f>IF($M119=O$3,-$K119,0)</f>
        <v>0</v>
      </c>
      <c r="P119" s="2">
        <f>IF($M119=P$3,-$K119,0)</f>
        <v>0</v>
      </c>
      <c r="Q119" s="2">
        <f>IF($M119=Q$3,-$K119,0)</f>
        <v>0</v>
      </c>
      <c r="R119" s="2">
        <f>IF($M119=R$3,-$K119,0)</f>
        <v>0</v>
      </c>
      <c r="S119" s="2">
        <f>IF($M119=S$3,-$K119,0)</f>
        <v>5064512</v>
      </c>
      <c r="T119" s="2">
        <f>IF($M119=T$3,-$K119,0)</f>
        <v>0</v>
      </c>
      <c r="U119" s="2">
        <f>IF($M119=U$3,-$K119,0)</f>
        <v>0</v>
      </c>
      <c r="V119" s="2">
        <f>IF($M119=V$3,-$K119,0)</f>
        <v>0</v>
      </c>
      <c r="W119" s="2">
        <f>IF($M119=W$3,-$K119,0)</f>
        <v>0</v>
      </c>
      <c r="X119" s="2">
        <f>IF($M119=X$3,-$K119,0)</f>
        <v>0</v>
      </c>
      <c r="Y119" s="2">
        <f>IF($M119=Y$3,-$K119,0)</f>
        <v>0</v>
      </c>
      <c r="Z119" s="2">
        <f>IF($M119=Z$3,-$K119,0)</f>
        <v>0</v>
      </c>
      <c r="AA119" s="2">
        <f>IF($M119=AA$3,-$K119,0)</f>
        <v>0</v>
      </c>
      <c r="AB119" s="2">
        <f>IF($M119=AB$3,-$K119,0)</f>
        <v>0</v>
      </c>
      <c r="AC119" s="21">
        <f>IF($M119=AC$3,-$K119,0)</f>
        <v>0</v>
      </c>
      <c r="AD119" s="20"/>
      <c r="AE119" s="19"/>
      <c r="AF119" s="2"/>
      <c r="AG119" s="2">
        <f>-$K119</f>
        <v>5064512</v>
      </c>
      <c r="AH119" s="2">
        <f>K119+SUM(O119:AC119)</f>
        <v>0</v>
      </c>
      <c r="AI119" s="2">
        <f>K119+SUM(AF119:AG119)</f>
        <v>0</v>
      </c>
    </row>
    <row r="120" spans="1:35" x14ac:dyDescent="0.2">
      <c r="A120" s="1" t="s">
        <v>3</v>
      </c>
      <c r="B120" s="1" t="s">
        <v>527</v>
      </c>
      <c r="H120" s="1" t="s">
        <v>29</v>
      </c>
      <c r="I120" s="1" t="s">
        <v>752</v>
      </c>
      <c r="K120" s="2">
        <v>-6516352</v>
      </c>
      <c r="L120" s="46">
        <v>22025</v>
      </c>
      <c r="M120" s="42" t="str">
        <f>LEFT(I120,(LEN(LEFT(I120,FIND(";",I120)))-8))</f>
        <v>VNDN</v>
      </c>
      <c r="N120" s="42" t="s">
        <v>138</v>
      </c>
      <c r="O120" s="2">
        <f>IF($M120=O$3,-$K120,0)</f>
        <v>0</v>
      </c>
      <c r="P120" s="2">
        <f>IF($M120=P$3,-$K120,0)</f>
        <v>0</v>
      </c>
      <c r="Q120" s="2">
        <f>IF($M120=Q$3,-$K120,0)</f>
        <v>0</v>
      </c>
      <c r="R120" s="2">
        <f>IF($M120=R$3,-$K120,0)</f>
        <v>0</v>
      </c>
      <c r="S120" s="2">
        <f>IF($M120=S$3,-$K120,0)</f>
        <v>6516352</v>
      </c>
      <c r="T120" s="2">
        <f>IF($M120=T$3,-$K120,0)</f>
        <v>0</v>
      </c>
      <c r="U120" s="2">
        <f>IF($M120=U$3,-$K120,0)</f>
        <v>0</v>
      </c>
      <c r="V120" s="2">
        <f>IF($M120=V$3,-$K120,0)</f>
        <v>0</v>
      </c>
      <c r="W120" s="2">
        <f>IF($M120=W$3,-$K120,0)</f>
        <v>0</v>
      </c>
      <c r="X120" s="2">
        <f>IF($M120=X$3,-$K120,0)</f>
        <v>0</v>
      </c>
      <c r="Y120" s="2">
        <f>IF($M120=Y$3,-$K120,0)</f>
        <v>0</v>
      </c>
      <c r="Z120" s="2">
        <f>IF($M120=Z$3,-$K120,0)</f>
        <v>0</v>
      </c>
      <c r="AA120" s="2">
        <f>IF($M120=AA$3,-$K120,0)</f>
        <v>0</v>
      </c>
      <c r="AB120" s="2">
        <f>IF($M120=AB$3,-$K120,0)</f>
        <v>0</v>
      </c>
      <c r="AC120" s="21">
        <f>IF($M120=AC$3,-$K120,0)</f>
        <v>0</v>
      </c>
      <c r="AD120" s="20"/>
      <c r="AE120" s="19"/>
      <c r="AF120" s="2"/>
      <c r="AG120" s="2">
        <f>-$K120</f>
        <v>6516352</v>
      </c>
      <c r="AH120" s="2">
        <f>K120+SUM(O120:AC120)</f>
        <v>0</v>
      </c>
      <c r="AI120" s="2">
        <f>K120+SUM(AF120:AG120)</f>
        <v>0</v>
      </c>
    </row>
    <row r="121" spans="1:35" x14ac:dyDescent="0.2">
      <c r="A121" s="1" t="s">
        <v>3</v>
      </c>
      <c r="B121" s="1" t="s">
        <v>527</v>
      </c>
      <c r="H121" s="1" t="s">
        <v>27</v>
      </c>
      <c r="I121" s="1" t="s">
        <v>751</v>
      </c>
      <c r="K121" s="2">
        <v>-4564352</v>
      </c>
      <c r="L121" s="46">
        <v>22025</v>
      </c>
      <c r="M121" s="42" t="str">
        <f>LEFT(I121,(LEN(LEFT(I121,FIND(";",I121)))-8))</f>
        <v>VNDN</v>
      </c>
      <c r="N121" s="42" t="s">
        <v>138</v>
      </c>
      <c r="O121" s="2">
        <f>IF($M121=O$3,-$K121,0)</f>
        <v>0</v>
      </c>
      <c r="P121" s="2">
        <f>IF($M121=P$3,-$K121,0)</f>
        <v>0</v>
      </c>
      <c r="Q121" s="2">
        <f>IF($M121=Q$3,-$K121,0)</f>
        <v>0</v>
      </c>
      <c r="R121" s="2">
        <f>IF($M121=R$3,-$K121,0)</f>
        <v>0</v>
      </c>
      <c r="S121" s="2">
        <f>IF($M121=S$3,-$K121,0)</f>
        <v>4564352</v>
      </c>
      <c r="T121" s="2">
        <f>IF($M121=T$3,-$K121,0)</f>
        <v>0</v>
      </c>
      <c r="U121" s="2">
        <f>IF($M121=U$3,-$K121,0)</f>
        <v>0</v>
      </c>
      <c r="V121" s="2">
        <f>IF($M121=V$3,-$K121,0)</f>
        <v>0</v>
      </c>
      <c r="W121" s="2">
        <f>IF($M121=W$3,-$K121,0)</f>
        <v>0</v>
      </c>
      <c r="X121" s="2">
        <f>IF($M121=X$3,-$K121,0)</f>
        <v>0</v>
      </c>
      <c r="Y121" s="2">
        <f>IF($M121=Y$3,-$K121,0)</f>
        <v>0</v>
      </c>
      <c r="Z121" s="2">
        <f>IF($M121=Z$3,-$K121,0)</f>
        <v>0</v>
      </c>
      <c r="AA121" s="2">
        <f>IF($M121=AA$3,-$K121,0)</f>
        <v>0</v>
      </c>
      <c r="AB121" s="2">
        <f>IF($M121=AB$3,-$K121,0)</f>
        <v>0</v>
      </c>
      <c r="AC121" s="21">
        <f>IF($M121=AC$3,-$K121,0)</f>
        <v>0</v>
      </c>
      <c r="AD121" s="20"/>
      <c r="AE121" s="19"/>
      <c r="AF121" s="2"/>
      <c r="AG121" s="2">
        <f>-$K121</f>
        <v>4564352</v>
      </c>
      <c r="AH121" s="2">
        <f>K121+SUM(O121:AC121)</f>
        <v>0</v>
      </c>
      <c r="AI121" s="2">
        <f>K121+SUM(AF121:AG121)</f>
        <v>0</v>
      </c>
    </row>
    <row r="122" spans="1:35" x14ac:dyDescent="0.2">
      <c r="A122" s="1" t="s">
        <v>3</v>
      </c>
      <c r="B122" s="1" t="s">
        <v>527</v>
      </c>
      <c r="H122" s="1" t="s">
        <v>25</v>
      </c>
      <c r="I122" s="1" t="s">
        <v>750</v>
      </c>
      <c r="K122" s="2">
        <v>-5039552</v>
      </c>
      <c r="L122" s="46">
        <v>22025</v>
      </c>
      <c r="M122" s="42" t="str">
        <f>LEFT(I122,(LEN(LEFT(I122,FIND(";",I122)))-8))</f>
        <v>VNQN</v>
      </c>
      <c r="N122" s="42" t="s">
        <v>138</v>
      </c>
      <c r="O122" s="2">
        <f>IF($M122=O$3,-$K122,0)</f>
        <v>0</v>
      </c>
      <c r="P122" s="2">
        <f>IF($M122=P$3,-$K122,0)</f>
        <v>0</v>
      </c>
      <c r="Q122" s="2">
        <f>IF($M122=Q$3,-$K122,0)</f>
        <v>0</v>
      </c>
      <c r="R122" s="2">
        <f>IF($M122=R$3,-$K122,0)</f>
        <v>0</v>
      </c>
      <c r="S122" s="2">
        <f>IF($M122=S$3,-$K122,0)</f>
        <v>0</v>
      </c>
      <c r="T122" s="2">
        <f>IF($M122=T$3,-$K122,0)</f>
        <v>5039552</v>
      </c>
      <c r="U122" s="2">
        <f>IF($M122=U$3,-$K122,0)</f>
        <v>0</v>
      </c>
      <c r="V122" s="2">
        <f>IF($M122=V$3,-$K122,0)</f>
        <v>0</v>
      </c>
      <c r="W122" s="2">
        <f>IF($M122=W$3,-$K122,0)</f>
        <v>0</v>
      </c>
      <c r="X122" s="2">
        <f>IF($M122=X$3,-$K122,0)</f>
        <v>0</v>
      </c>
      <c r="Y122" s="2">
        <f>IF($M122=Y$3,-$K122,0)</f>
        <v>0</v>
      </c>
      <c r="Z122" s="2">
        <f>IF($M122=Z$3,-$K122,0)</f>
        <v>0</v>
      </c>
      <c r="AA122" s="2">
        <f>IF($M122=AA$3,-$K122,0)</f>
        <v>0</v>
      </c>
      <c r="AB122" s="2">
        <f>IF($M122=AB$3,-$K122,0)</f>
        <v>0</v>
      </c>
      <c r="AC122" s="21">
        <f>IF($M122=AC$3,-$K122,0)</f>
        <v>0</v>
      </c>
      <c r="AD122" s="20"/>
      <c r="AE122" s="19"/>
      <c r="AF122" s="2"/>
      <c r="AG122" s="2">
        <f>-$K122</f>
        <v>5039552</v>
      </c>
      <c r="AH122" s="2">
        <f>K122+SUM(O122:AC122)</f>
        <v>0</v>
      </c>
      <c r="AI122" s="2">
        <f>K122+SUM(AF122:AG122)</f>
        <v>0</v>
      </c>
    </row>
    <row r="123" spans="1:35" x14ac:dyDescent="0.2">
      <c r="A123" s="1" t="s">
        <v>3</v>
      </c>
      <c r="B123" s="1" t="s">
        <v>527</v>
      </c>
      <c r="H123" s="1" t="s">
        <v>81</v>
      </c>
      <c r="I123" s="1" t="s">
        <v>749</v>
      </c>
      <c r="K123" s="2">
        <v>-4069952</v>
      </c>
      <c r="L123" s="46">
        <v>22025</v>
      </c>
      <c r="M123" s="42" t="str">
        <f>LEFT(I123,(LEN(LEFT(I123,FIND(";",I123)))-8))</f>
        <v>VNQN</v>
      </c>
      <c r="N123" s="42" t="s">
        <v>138</v>
      </c>
      <c r="O123" s="2">
        <f>IF($M123=O$3,-$K123,0)</f>
        <v>0</v>
      </c>
      <c r="P123" s="2">
        <f>IF($M123=P$3,-$K123,0)</f>
        <v>0</v>
      </c>
      <c r="Q123" s="2">
        <f>IF($M123=Q$3,-$K123,0)</f>
        <v>0</v>
      </c>
      <c r="R123" s="2">
        <f>IF($M123=R$3,-$K123,0)</f>
        <v>0</v>
      </c>
      <c r="S123" s="2">
        <f>IF($M123=S$3,-$K123,0)</f>
        <v>0</v>
      </c>
      <c r="T123" s="2">
        <f>IF($M123=T$3,-$K123,0)</f>
        <v>4069952</v>
      </c>
      <c r="U123" s="2">
        <f>IF($M123=U$3,-$K123,0)</f>
        <v>0</v>
      </c>
      <c r="V123" s="2">
        <f>IF($M123=V$3,-$K123,0)</f>
        <v>0</v>
      </c>
      <c r="W123" s="2">
        <f>IF($M123=W$3,-$K123,0)</f>
        <v>0</v>
      </c>
      <c r="X123" s="2">
        <f>IF($M123=X$3,-$K123,0)</f>
        <v>0</v>
      </c>
      <c r="Y123" s="2">
        <f>IF($M123=Y$3,-$K123,0)</f>
        <v>0</v>
      </c>
      <c r="Z123" s="2">
        <f>IF($M123=Z$3,-$K123,0)</f>
        <v>0</v>
      </c>
      <c r="AA123" s="2">
        <f>IF($M123=AA$3,-$K123,0)</f>
        <v>0</v>
      </c>
      <c r="AB123" s="2">
        <f>IF($M123=AB$3,-$K123,0)</f>
        <v>0</v>
      </c>
      <c r="AC123" s="21">
        <f>IF($M123=AC$3,-$K123,0)</f>
        <v>0</v>
      </c>
      <c r="AD123" s="20"/>
      <c r="AE123" s="19"/>
      <c r="AF123" s="2"/>
      <c r="AG123" s="2">
        <f>-$K123</f>
        <v>4069952</v>
      </c>
      <c r="AH123" s="2">
        <f>K123+SUM(O123:AC123)</f>
        <v>0</v>
      </c>
      <c r="AI123" s="2">
        <f>K123+SUM(AF123:AG123)</f>
        <v>0</v>
      </c>
    </row>
    <row r="124" spans="1:35" x14ac:dyDescent="0.2">
      <c r="A124" s="1" t="s">
        <v>3</v>
      </c>
      <c r="B124" s="1" t="s">
        <v>527</v>
      </c>
      <c r="H124" s="1" t="s">
        <v>23</v>
      </c>
      <c r="I124" s="1" t="s">
        <v>748</v>
      </c>
      <c r="K124" s="2">
        <v>-4069952</v>
      </c>
      <c r="L124" s="46">
        <v>22025</v>
      </c>
      <c r="M124" s="42" t="str">
        <f>LEFT(I124,(LEN(LEFT(I124,FIND(";",I124)))-8))</f>
        <v>VNHD</v>
      </c>
      <c r="N124" s="42" t="s">
        <v>138</v>
      </c>
      <c r="O124" s="2">
        <f>IF($M124=O$3,-$K124,0)</f>
        <v>0</v>
      </c>
      <c r="P124" s="2">
        <f>IF($M124=P$3,-$K124,0)</f>
        <v>0</v>
      </c>
      <c r="Q124" s="2">
        <f>IF($M124=Q$3,-$K124,0)</f>
        <v>0</v>
      </c>
      <c r="R124" s="2">
        <f>IF($M124=R$3,-$K124,0)</f>
        <v>0</v>
      </c>
      <c r="S124" s="2">
        <f>IF($M124=S$3,-$K124,0)</f>
        <v>0</v>
      </c>
      <c r="T124" s="2">
        <f>IF($M124=T$3,-$K124,0)</f>
        <v>0</v>
      </c>
      <c r="U124" s="2">
        <f>IF($M124=U$3,-$K124,0)</f>
        <v>4069952</v>
      </c>
      <c r="V124" s="2">
        <f>IF($M124=V$3,-$K124,0)</f>
        <v>0</v>
      </c>
      <c r="W124" s="2">
        <f>IF($M124=W$3,-$K124,0)</f>
        <v>0</v>
      </c>
      <c r="X124" s="2">
        <f>IF($M124=X$3,-$K124,0)</f>
        <v>0</v>
      </c>
      <c r="Y124" s="2">
        <f>IF($M124=Y$3,-$K124,0)</f>
        <v>0</v>
      </c>
      <c r="Z124" s="2">
        <f>IF($M124=Z$3,-$K124,0)</f>
        <v>0</v>
      </c>
      <c r="AA124" s="2">
        <f>IF($M124=AA$3,-$K124,0)</f>
        <v>0</v>
      </c>
      <c r="AB124" s="2">
        <f>IF($M124=AB$3,-$K124,0)</f>
        <v>0</v>
      </c>
      <c r="AC124" s="21">
        <f>IF($M124=AC$3,-$K124,0)</f>
        <v>0</v>
      </c>
      <c r="AD124" s="20"/>
      <c r="AE124" s="19"/>
      <c r="AF124" s="2"/>
      <c r="AG124" s="2">
        <f>-$K124</f>
        <v>4069952</v>
      </c>
      <c r="AH124" s="2">
        <f>K124+SUM(O124:AC124)</f>
        <v>0</v>
      </c>
      <c r="AI124" s="2">
        <f>K124+SUM(AF124:AG124)</f>
        <v>0</v>
      </c>
    </row>
    <row r="125" spans="1:35" x14ac:dyDescent="0.2">
      <c r="A125" s="1" t="s">
        <v>3</v>
      </c>
      <c r="B125" s="1" t="s">
        <v>527</v>
      </c>
      <c r="H125" s="1" t="s">
        <v>21</v>
      </c>
      <c r="I125" s="1" t="s">
        <v>747</v>
      </c>
      <c r="K125" s="2">
        <v>-4564352</v>
      </c>
      <c r="L125" s="46">
        <v>22025</v>
      </c>
      <c r="M125" s="42" t="str">
        <f>LEFT(I125,(LEN(LEFT(I125,FIND(";",I125)))-8))</f>
        <v>VNHCM</v>
      </c>
      <c r="N125" s="42" t="s">
        <v>138</v>
      </c>
      <c r="O125" s="2">
        <f>IF($M125=O$3,-$K125,0)</f>
        <v>0</v>
      </c>
      <c r="P125" s="2">
        <f>IF($M125=P$3,-$K125,0)</f>
        <v>0</v>
      </c>
      <c r="Q125" s="2">
        <f>IF($M125=Q$3,-$K125,0)</f>
        <v>0</v>
      </c>
      <c r="R125" s="2">
        <f>IF($M125=R$3,-$K125,0)</f>
        <v>0</v>
      </c>
      <c r="S125" s="2">
        <f>IF($M125=S$3,-$K125,0)</f>
        <v>0</v>
      </c>
      <c r="T125" s="2">
        <f>IF($M125=T$3,-$K125,0)</f>
        <v>0</v>
      </c>
      <c r="U125" s="2">
        <f>IF($M125=U$3,-$K125,0)</f>
        <v>0</v>
      </c>
      <c r="V125" s="2">
        <f>IF($M125=V$3,-$K125,0)</f>
        <v>0</v>
      </c>
      <c r="W125" s="2">
        <f>IF($M125=W$3,-$K125,0)</f>
        <v>0</v>
      </c>
      <c r="X125" s="2">
        <f>IF($M125=X$3,-$K125,0)</f>
        <v>0</v>
      </c>
      <c r="Y125" s="2">
        <f>IF($M125=Y$3,-$K125,0)</f>
        <v>4564352</v>
      </c>
      <c r="Z125" s="2">
        <f>IF($M125=Z$3,-$K125,0)</f>
        <v>0</v>
      </c>
      <c r="AA125" s="2">
        <f>IF($M125=AA$3,-$K125,0)</f>
        <v>0</v>
      </c>
      <c r="AB125" s="2">
        <f>IF($M125=AB$3,-$K125,0)</f>
        <v>0</v>
      </c>
      <c r="AC125" s="21">
        <f>IF($M125=AC$3,-$K125,0)</f>
        <v>0</v>
      </c>
      <c r="AD125" s="20"/>
      <c r="AE125" s="19"/>
      <c r="AF125" s="2"/>
      <c r="AG125" s="2">
        <f>-$K125</f>
        <v>4564352</v>
      </c>
      <c r="AH125" s="2">
        <f>K125+SUM(O125:AC125)</f>
        <v>0</v>
      </c>
      <c r="AI125" s="2">
        <f>K125+SUM(AF125:AG125)</f>
        <v>0</v>
      </c>
    </row>
    <row r="126" spans="1:35" x14ac:dyDescent="0.2">
      <c r="A126" s="1" t="s">
        <v>3</v>
      </c>
      <c r="B126" s="1" t="s">
        <v>527</v>
      </c>
      <c r="H126" s="1" t="s">
        <v>156</v>
      </c>
      <c r="I126" s="1" t="s">
        <v>746</v>
      </c>
      <c r="K126" s="2">
        <v>0</v>
      </c>
      <c r="L126" s="46">
        <v>22025</v>
      </c>
      <c r="M126" s="42" t="str">
        <f>LEFT(I126,(LEN(LEFT(I126,FIND(";",I126)))-8))</f>
        <v>VNBG</v>
      </c>
      <c r="N126" s="42" t="s">
        <v>138</v>
      </c>
      <c r="O126" s="2">
        <f>IF($M126=O$3,-$K126,0)</f>
        <v>0</v>
      </c>
      <c r="P126" s="2">
        <f>IF($M126=P$3,-$K126,0)</f>
        <v>0</v>
      </c>
      <c r="Q126" s="2">
        <f>IF($M126=Q$3,-$K126,0)</f>
        <v>0</v>
      </c>
      <c r="R126" s="2">
        <f>IF($M126=R$3,-$K126,0)</f>
        <v>0</v>
      </c>
      <c r="S126" s="2">
        <f>IF($M126=S$3,-$K126,0)</f>
        <v>0</v>
      </c>
      <c r="T126" s="2">
        <f>IF($M126=T$3,-$K126,0)</f>
        <v>0</v>
      </c>
      <c r="U126" s="2">
        <f>IF($M126=U$3,-$K126,0)</f>
        <v>0</v>
      </c>
      <c r="V126" s="2">
        <f>IF($M126=V$3,-$K126,0)</f>
        <v>0</v>
      </c>
      <c r="W126" s="2">
        <f>IF($M126=W$3,-$K126,0)</f>
        <v>0</v>
      </c>
      <c r="X126" s="2">
        <f>IF($M126=X$3,-$K126,0)</f>
        <v>0</v>
      </c>
      <c r="Y126" s="2">
        <f>IF($M126=Y$3,-$K126,0)</f>
        <v>0</v>
      </c>
      <c r="Z126" s="2">
        <f>IF($M126=Z$3,-$K126,0)</f>
        <v>0</v>
      </c>
      <c r="AA126" s="2">
        <f>IF($M126=AA$3,-$K126,0)</f>
        <v>0</v>
      </c>
      <c r="AB126" s="2">
        <f>IF($M126=AB$3,-$K126,0)</f>
        <v>0</v>
      </c>
      <c r="AC126" s="21">
        <f>IF($M126=AC$3,-$K126,0)</f>
        <v>0</v>
      </c>
      <c r="AD126" s="20"/>
      <c r="AE126" s="19"/>
      <c r="AF126" s="2"/>
      <c r="AG126" s="2"/>
      <c r="AH126" s="2">
        <f>K126+SUM(O126:AC126)</f>
        <v>0</v>
      </c>
      <c r="AI126" s="2">
        <f>K126+SUM(AF126:AG126)</f>
        <v>0</v>
      </c>
    </row>
    <row r="127" spans="1:35" x14ac:dyDescent="0.2">
      <c r="A127" s="1" t="s">
        <v>3</v>
      </c>
      <c r="B127" s="1" t="s">
        <v>527</v>
      </c>
      <c r="H127" s="1" t="s">
        <v>19</v>
      </c>
      <c r="I127" s="1" t="s">
        <v>745</v>
      </c>
      <c r="K127" s="2">
        <v>-4564352</v>
      </c>
      <c r="L127" s="46">
        <v>22025</v>
      </c>
      <c r="M127" s="42" t="str">
        <f>LEFT(I127,(LEN(LEFT(I127,FIND(";",I127)))-8))</f>
        <v>VNQN</v>
      </c>
      <c r="N127" s="42" t="s">
        <v>138</v>
      </c>
      <c r="O127" s="2">
        <f>IF($M127=O$3,-$K127,0)</f>
        <v>0</v>
      </c>
      <c r="P127" s="2">
        <f>IF($M127=P$3,-$K127,0)</f>
        <v>0</v>
      </c>
      <c r="Q127" s="2">
        <f>IF($M127=Q$3,-$K127,0)</f>
        <v>0</v>
      </c>
      <c r="R127" s="2">
        <f>IF($M127=R$3,-$K127,0)</f>
        <v>0</v>
      </c>
      <c r="S127" s="2">
        <f>IF($M127=S$3,-$K127,0)</f>
        <v>0</v>
      </c>
      <c r="T127" s="2">
        <f>IF($M127=T$3,-$K127,0)</f>
        <v>4564352</v>
      </c>
      <c r="U127" s="2">
        <f>IF($M127=U$3,-$K127,0)</f>
        <v>0</v>
      </c>
      <c r="V127" s="2">
        <f>IF($M127=V$3,-$K127,0)</f>
        <v>0</v>
      </c>
      <c r="W127" s="2">
        <f>IF($M127=W$3,-$K127,0)</f>
        <v>0</v>
      </c>
      <c r="X127" s="2">
        <f>IF($M127=X$3,-$K127,0)</f>
        <v>0</v>
      </c>
      <c r="Y127" s="2">
        <f>IF($M127=Y$3,-$K127,0)</f>
        <v>0</v>
      </c>
      <c r="Z127" s="2">
        <f>IF($M127=Z$3,-$K127,0)</f>
        <v>0</v>
      </c>
      <c r="AA127" s="2">
        <f>IF($M127=AA$3,-$K127,0)</f>
        <v>0</v>
      </c>
      <c r="AB127" s="2">
        <f>IF($M127=AB$3,-$K127,0)</f>
        <v>0</v>
      </c>
      <c r="AC127" s="21">
        <f>IF($M127=AC$3,-$K127,0)</f>
        <v>0</v>
      </c>
      <c r="AD127" s="20"/>
      <c r="AE127" s="19"/>
      <c r="AF127" s="2"/>
      <c r="AG127" s="2">
        <f>-$K127</f>
        <v>4564352</v>
      </c>
      <c r="AH127" s="2">
        <f>K127+SUM(O127:AC127)</f>
        <v>0</v>
      </c>
      <c r="AI127" s="2">
        <f>K127+SUM(AF127:AG127)</f>
        <v>0</v>
      </c>
    </row>
    <row r="128" spans="1:35" x14ac:dyDescent="0.2">
      <c r="A128" s="1" t="s">
        <v>3</v>
      </c>
      <c r="B128" s="1" t="s">
        <v>527</v>
      </c>
      <c r="H128" s="1" t="s">
        <v>153</v>
      </c>
      <c r="I128" s="1" t="s">
        <v>744</v>
      </c>
      <c r="K128" s="2">
        <v>-4244352</v>
      </c>
      <c r="L128" s="46">
        <v>22025</v>
      </c>
      <c r="M128" s="42" t="str">
        <f>LEFT(I128,(LEN(LEFT(I128,FIND(";",I128)))-8))</f>
        <v>VNBN</v>
      </c>
      <c r="N128" s="42" t="s">
        <v>138</v>
      </c>
      <c r="O128" s="2">
        <f>IF($M128=O$3,-$K128,0)</f>
        <v>0</v>
      </c>
      <c r="P128" s="2">
        <f>IF($M128=P$3,-$K128,0)</f>
        <v>0</v>
      </c>
      <c r="Q128" s="2">
        <f>IF($M128=Q$3,-$K128,0)</f>
        <v>0</v>
      </c>
      <c r="R128" s="2">
        <f>IF($M128=R$3,-$K128,0)</f>
        <v>0</v>
      </c>
      <c r="S128" s="2">
        <f>IF($M128=S$3,-$K128,0)</f>
        <v>0</v>
      </c>
      <c r="T128" s="2">
        <f>IF($M128=T$3,-$K128,0)</f>
        <v>0</v>
      </c>
      <c r="U128" s="2">
        <f>IF($M128=U$3,-$K128,0)</f>
        <v>0</v>
      </c>
      <c r="V128" s="2">
        <f>IF($M128=V$3,-$K128,0)</f>
        <v>0</v>
      </c>
      <c r="W128" s="2">
        <f>IF($M128=W$3,-$K128,0)</f>
        <v>0</v>
      </c>
      <c r="X128" s="2">
        <f>IF($M128=X$3,-$K128,0)</f>
        <v>0</v>
      </c>
      <c r="Y128" s="2">
        <f>IF($M128=Y$3,-$K128,0)</f>
        <v>0</v>
      </c>
      <c r="Z128" s="2">
        <f>IF($M128=Z$3,-$K128,0)</f>
        <v>0</v>
      </c>
      <c r="AA128" s="2">
        <f>IF($M128=AA$3,-$K128,0)</f>
        <v>4244352</v>
      </c>
      <c r="AB128" s="2">
        <f>IF($M128=AB$3,-$K128,0)</f>
        <v>0</v>
      </c>
      <c r="AC128" s="21">
        <f>IF($M128=AC$3,-$K128,0)</f>
        <v>0</v>
      </c>
      <c r="AD128" s="20"/>
      <c r="AE128" s="19"/>
      <c r="AF128" s="2"/>
      <c r="AG128" s="2">
        <f>-K128</f>
        <v>4244352</v>
      </c>
      <c r="AH128" s="2">
        <f>K128+SUM(O128:AC128)</f>
        <v>0</v>
      </c>
      <c r="AI128" s="2">
        <f>K128+SUM(AF128:AG128)</f>
        <v>0</v>
      </c>
    </row>
    <row r="129" spans="1:35" x14ac:dyDescent="0.2">
      <c r="A129" s="1" t="s">
        <v>3</v>
      </c>
      <c r="B129" s="1" t="s">
        <v>527</v>
      </c>
      <c r="H129" s="1" t="s">
        <v>151</v>
      </c>
      <c r="I129" s="1" t="s">
        <v>743</v>
      </c>
      <c r="K129" s="2">
        <v>-3924352</v>
      </c>
      <c r="L129" s="46">
        <v>22025</v>
      </c>
      <c r="M129" s="42" t="str">
        <f>LEFT(I129,(LEN(LEFT(I129,FIND(";",I129)))-8))</f>
        <v>VNQN</v>
      </c>
      <c r="N129" s="42" t="s">
        <v>138</v>
      </c>
      <c r="O129" s="2">
        <f>IF($M129=O$3,-$K129,0)</f>
        <v>0</v>
      </c>
      <c r="P129" s="2">
        <f>IF($M129=P$3,-$K129,0)</f>
        <v>0</v>
      </c>
      <c r="Q129" s="2">
        <f>IF($M129=Q$3,-$K129,0)</f>
        <v>0</v>
      </c>
      <c r="R129" s="2">
        <f>IF($M129=R$3,-$K129,0)</f>
        <v>0</v>
      </c>
      <c r="S129" s="2">
        <f>IF($M129=S$3,-$K129,0)</f>
        <v>0</v>
      </c>
      <c r="T129" s="2">
        <f>IF($M129=T$3,-$K129,0)</f>
        <v>3924352</v>
      </c>
      <c r="U129" s="2">
        <f>IF($M129=U$3,-$K129,0)</f>
        <v>0</v>
      </c>
      <c r="V129" s="2">
        <f>IF($M129=V$3,-$K129,0)</f>
        <v>0</v>
      </c>
      <c r="W129" s="2">
        <f>IF($M129=W$3,-$K129,0)</f>
        <v>0</v>
      </c>
      <c r="X129" s="2">
        <f>IF($M129=X$3,-$K129,0)</f>
        <v>0</v>
      </c>
      <c r="Y129" s="2">
        <f>IF($M129=Y$3,-$K129,0)</f>
        <v>0</v>
      </c>
      <c r="Z129" s="2">
        <f>IF($M129=Z$3,-$K129,0)</f>
        <v>0</v>
      </c>
      <c r="AA129" s="2">
        <f>IF($M129=AA$3,-$K129,0)</f>
        <v>0</v>
      </c>
      <c r="AB129" s="2">
        <f>IF($M129=AB$3,-$K129,0)</f>
        <v>0</v>
      </c>
      <c r="AC129" s="21">
        <f>IF($M129=AC$3,-$K129,0)</f>
        <v>0</v>
      </c>
      <c r="AD129" s="20"/>
      <c r="AE129" s="19"/>
      <c r="AF129" s="2"/>
      <c r="AG129" s="2">
        <f>-$K129</f>
        <v>3924352</v>
      </c>
      <c r="AH129" s="2">
        <f>K129+SUM(O129:AC129)</f>
        <v>0</v>
      </c>
      <c r="AI129" s="2">
        <f>K129+SUM(AF129:AG129)</f>
        <v>0</v>
      </c>
    </row>
    <row r="130" spans="1:35" x14ac:dyDescent="0.2">
      <c r="A130" s="1" t="s">
        <v>3</v>
      </c>
      <c r="B130" s="1" t="s">
        <v>527</v>
      </c>
      <c r="H130" s="1" t="s">
        <v>76</v>
      </c>
      <c r="I130" s="1" t="s">
        <v>742</v>
      </c>
      <c r="K130" s="2">
        <v>0</v>
      </c>
      <c r="L130" s="46">
        <v>22025</v>
      </c>
      <c r="M130" s="42" t="str">
        <f>LEFT(I130,(LEN(LEFT(I130,FIND(";",I130)))-8))</f>
        <v>VNMOET</v>
      </c>
      <c r="N130" s="42" t="s">
        <v>138</v>
      </c>
      <c r="O130" s="2">
        <f>IF($M130=O$3,-$K130,0)</f>
        <v>0</v>
      </c>
      <c r="P130" s="2">
        <f>IF($M130=P$3,-$K130,0)</f>
        <v>0</v>
      </c>
      <c r="Q130" s="2">
        <f>IF($M130=Q$3,-$K130,0)</f>
        <v>0</v>
      </c>
      <c r="R130" s="2">
        <f>IF($M130=R$3,-$K130,0)</f>
        <v>0</v>
      </c>
      <c r="S130" s="2">
        <f>IF($M130=S$3,-$K130,0)</f>
        <v>0</v>
      </c>
      <c r="T130" s="2">
        <f>IF($M130=T$3,-$K130,0)</f>
        <v>0</v>
      </c>
      <c r="U130" s="2">
        <f>IF($M130=U$3,-$K130,0)</f>
        <v>0</v>
      </c>
      <c r="V130" s="2">
        <f>IF($M130=V$3,-$K130,0)</f>
        <v>0</v>
      </c>
      <c r="W130" s="2">
        <f>IF($M130=W$3,-$K130,0)</f>
        <v>0</v>
      </c>
      <c r="X130" s="2">
        <f>IF($M130=X$3,-$K130,0)</f>
        <v>0</v>
      </c>
      <c r="Y130" s="2">
        <f>IF($M130=Y$3,-$K130,0)</f>
        <v>0</v>
      </c>
      <c r="Z130" s="2">
        <f>IF($M130=Z$3,-$K130,0)</f>
        <v>0</v>
      </c>
      <c r="AA130" s="2">
        <f>IF($M130=AA$3,-$K130,0)</f>
        <v>0</v>
      </c>
      <c r="AB130" s="2">
        <f>IF($M130=AB$3,-$K130,0)</f>
        <v>0</v>
      </c>
      <c r="AC130" s="21">
        <f>IF($M130=AC$3,-$K130,0)</f>
        <v>0</v>
      </c>
      <c r="AD130" s="20"/>
      <c r="AE130" s="19"/>
      <c r="AF130" s="2">
        <f>-$K130</f>
        <v>0</v>
      </c>
      <c r="AG130" s="2"/>
      <c r="AH130" s="2">
        <f>K130+SUM(O130:AC130)</f>
        <v>0</v>
      </c>
      <c r="AI130" s="2">
        <f>K130+SUM(AF130:AG130)</f>
        <v>0</v>
      </c>
    </row>
    <row r="131" spans="1:35" x14ac:dyDescent="0.2">
      <c r="A131" s="1" t="s">
        <v>3</v>
      </c>
      <c r="B131" s="1" t="s">
        <v>527</v>
      </c>
      <c r="H131" s="1" t="s">
        <v>17</v>
      </c>
      <c r="I131" s="1" t="s">
        <v>741</v>
      </c>
      <c r="K131" s="2">
        <v>-3604352</v>
      </c>
      <c r="L131" s="46">
        <v>22025</v>
      </c>
      <c r="M131" s="42" t="s">
        <v>394</v>
      </c>
      <c r="N131" s="42" t="s">
        <v>138</v>
      </c>
      <c r="O131" s="2">
        <f>IF($M131=O$3,-$K131,0)</f>
        <v>0</v>
      </c>
      <c r="P131" s="2">
        <f>IF($M131=P$3,-$K131,0)</f>
        <v>0</v>
      </c>
      <c r="Q131" s="2">
        <f>IF($M131=Q$3,-$K131,0)</f>
        <v>0</v>
      </c>
      <c r="R131" s="2">
        <f>IF($M131=R$3,-$K131,0)</f>
        <v>0</v>
      </c>
      <c r="S131" s="2">
        <f>IF($M131=S$3,-$K131,0)</f>
        <v>3604352</v>
      </c>
      <c r="T131" s="2">
        <f>IF($M131=T$3,-$K131,0)</f>
        <v>0</v>
      </c>
      <c r="U131" s="2">
        <f>IF($M131=U$3,-$K131,0)</f>
        <v>0</v>
      </c>
      <c r="V131" s="2">
        <f>IF($M131=V$3,-$K131,0)</f>
        <v>0</v>
      </c>
      <c r="W131" s="2">
        <f>IF($M131=W$3,-$K131,0)</f>
        <v>0</v>
      </c>
      <c r="X131" s="2">
        <f>IF($M131=X$3,-$K131,0)</f>
        <v>0</v>
      </c>
      <c r="Y131" s="2">
        <f>IF($M131=Y$3,-$K131,0)</f>
        <v>0</v>
      </c>
      <c r="Z131" s="2">
        <f>IF($M131=Z$3,-$K131,0)</f>
        <v>0</v>
      </c>
      <c r="AA131" s="2">
        <f>IF($M131=AA$3,-$K131,0)</f>
        <v>0</v>
      </c>
      <c r="AB131" s="2">
        <f>IF($M131=AB$3,-$K131,0)</f>
        <v>0</v>
      </c>
      <c r="AC131" s="21">
        <f>IF($M131=AC$3,-$K131,0)</f>
        <v>0</v>
      </c>
      <c r="AD131" s="20"/>
      <c r="AE131" s="19"/>
      <c r="AF131" s="2"/>
      <c r="AG131" s="2">
        <f>-$K131</f>
        <v>3604352</v>
      </c>
      <c r="AH131" s="2">
        <f>K131+SUM(O131:AC131)</f>
        <v>0</v>
      </c>
      <c r="AI131" s="2">
        <f>K131+SUM(AF131:AG131)</f>
        <v>0</v>
      </c>
    </row>
    <row r="132" spans="1:35" x14ac:dyDescent="0.2">
      <c r="A132" s="69" t="s">
        <v>61</v>
      </c>
      <c r="B132" s="1" t="s">
        <v>712</v>
      </c>
      <c r="H132" s="1" t="s">
        <v>135</v>
      </c>
      <c r="I132" s="1" t="s">
        <v>740</v>
      </c>
      <c r="K132" s="2">
        <v>-53196586</v>
      </c>
      <c r="L132" s="46">
        <v>32025</v>
      </c>
      <c r="M132" s="42" t="str">
        <f>LEFT(I132,(LEN(LEFT(I132,FIND(";",I132)))-8))</f>
        <v>VNOther</v>
      </c>
      <c r="N132" s="42" t="s">
        <v>138</v>
      </c>
      <c r="O132" s="15">
        <f>-$K132*IFERROR(INDEX('[1]salary allocation'!$E$6:$J$22,MATCH($H132,'[1]salary allocation'!$D$6:$D$22,0),MATCH(O$3,'[1]salary allocation'!$E$3:$J$3,0)),0)</f>
        <v>0</v>
      </c>
      <c r="P132" s="15">
        <f>-$K132*IFERROR(INDEX('[1]salary allocation'!$E$6:$J$22,MATCH($H132,'[1]salary allocation'!$D$6:$D$22,0),MATCH(P$3,'[1]salary allocation'!$E$3:$J$3,0)),0)</f>
        <v>26598293</v>
      </c>
      <c r="Q132" s="15">
        <f>-$K132*IFERROR(INDEX('[1]salary allocation'!$E$6:$J$22,MATCH($H132,'[1]salary allocation'!$D$6:$D$22,0),MATCH(Q$3,'[1]salary allocation'!$E$3:$J$3,0)),0)</f>
        <v>0</v>
      </c>
      <c r="R132" s="15">
        <f>-$K132*IFERROR(INDEX('[1]salary allocation'!$E$6:$J$22,MATCH($H132,'[1]salary allocation'!$D$6:$D$22,0),MATCH(R$3,'[1]salary allocation'!$E$3:$J$3,0)),0)</f>
        <v>0</v>
      </c>
      <c r="S132" s="15">
        <f>-$K132*IFERROR(INDEX('[1]salary allocation'!$E$6:$J$22,MATCH($H132,'[1]salary allocation'!$D$6:$D$22,0),MATCH(S$3,'[1]salary allocation'!$E$3:$J$3,0)),0)</f>
        <v>5319658.6000000006</v>
      </c>
      <c r="T132" s="15">
        <f>-$K132*IFERROR(INDEX('[1]salary allocation'!$E$6:$J$22,MATCH($H132,'[1]salary allocation'!$D$6:$D$22,0),MATCH(T$3,'[1]salary allocation'!$E$3:$J$3,0)),0)</f>
        <v>5319658.6000000006</v>
      </c>
      <c r="U132" s="15">
        <f>-$K132*IFERROR(INDEX('[1]salary allocation'!$E$6:$J$22,MATCH($H132,'[1]salary allocation'!$D$6:$D$22,0),MATCH(U$3,'[1]salary allocation'!$E$3:$J$3,0)),0)</f>
        <v>5319658.6000000006</v>
      </c>
      <c r="V132" s="15">
        <f>-$K132*IFERROR(INDEX('[1]salary allocation'!$E$6:$J$22,MATCH($H132,'[1]salary allocation'!$D$6:$D$22,0),MATCH(V$3,'[1]salary allocation'!$E$3:$J$3,0)),0)</f>
        <v>0</v>
      </c>
      <c r="W132" s="15">
        <f>-$K132*IFERROR(INDEX('[1]salary allocation'!$E$6:$J$22,MATCH($H132,'[1]salary allocation'!$D$6:$D$22,0),MATCH(W$3,'[1]salary allocation'!$E$3:$J$3,0)),0)</f>
        <v>10639317.200000001</v>
      </c>
      <c r="X132" s="15">
        <f>-$K132*IFERROR(INDEX('[1]salary allocation'!$E$6:$J$22,MATCH($H132,'[1]salary allocation'!$D$6:$D$22,0),MATCH(X$3,'[1]salary allocation'!$E$3:$J$3,0)),0)</f>
        <v>0</v>
      </c>
      <c r="Y132" s="15">
        <f>-$K132*IFERROR(INDEX('[1]salary allocation'!$E$6:$J$22,MATCH($H132,'[1]salary allocation'!$D$6:$D$22,0),MATCH(Y$3,'[1]salary allocation'!$E$3:$J$3,0)),0)</f>
        <v>0</v>
      </c>
      <c r="Z132" s="15">
        <f>-$K132*IFERROR(INDEX('[1]salary allocation'!$E$6:$J$22,MATCH($H132,'[1]salary allocation'!$D$6:$D$22,0),MATCH(Z$3,'[1]salary allocation'!$E$3:$J$3,0)),0)</f>
        <v>0</v>
      </c>
      <c r="AA132" s="15">
        <f>-$K132*IFERROR(INDEX('[1]salary allocation'!$E$6:$J$22,MATCH($H132,'[1]salary allocation'!$D$6:$D$22,0),MATCH(AA$3,'[1]salary allocation'!$E$3:$J$3,0)),0)</f>
        <v>0</v>
      </c>
      <c r="AB132" s="15">
        <f>-$K132*IFERROR(INDEX('[1]salary allocation'!$E$6:$J$22,MATCH($H132,'[1]salary allocation'!$D$6:$D$22,0),MATCH(AB$3,'[1]salary allocation'!$E$3:$J$3,0)),0)</f>
        <v>0</v>
      </c>
      <c r="AC132" s="18">
        <f>-$K132*IFERROR(INDEX('[1]salary allocation'!$E$6:$J$22,MATCH($H132,'[1]salary allocation'!$D$6:$D$22,0),MATCH(AC$3,'[1]salary allocation'!$E$3:$J$3,0)),0)</f>
        <v>0</v>
      </c>
      <c r="AD132" s="17"/>
      <c r="AE132" s="16"/>
      <c r="AF132" s="15">
        <f>-$K132</f>
        <v>53196586</v>
      </c>
      <c r="AG132" s="15"/>
      <c r="AH132" s="2">
        <f>K132+SUM(O132:AC132)</f>
        <v>0</v>
      </c>
      <c r="AI132" s="2">
        <f>K132+SUM(AF132:AG132)</f>
        <v>0</v>
      </c>
    </row>
    <row r="133" spans="1:35" x14ac:dyDescent="0.2">
      <c r="A133" s="69" t="s">
        <v>61</v>
      </c>
      <c r="B133" s="1" t="s">
        <v>712</v>
      </c>
      <c r="H133" s="1" t="s">
        <v>57</v>
      </c>
      <c r="I133" s="1" t="s">
        <v>739</v>
      </c>
      <c r="K133" s="2">
        <v>-6336313</v>
      </c>
      <c r="L133" s="46">
        <v>32025</v>
      </c>
      <c r="M133" s="42" t="str">
        <f>LEFT(I133,(LEN(LEFT(I133,FIND(";",I133)))-8))</f>
        <v>VNOther</v>
      </c>
      <c r="N133" s="42" t="s">
        <v>138</v>
      </c>
      <c r="O133" s="15">
        <f>-$K133*IFERROR(INDEX('[1]salary allocation'!$E$6:$J$22,MATCH($H133,'[1]salary allocation'!$D$6:$D$22,0),MATCH(O$3,'[1]salary allocation'!$E$3:$J$3,0)),0)</f>
        <v>0</v>
      </c>
      <c r="P133" s="15">
        <f>-$K133*IFERROR(INDEX('[1]salary allocation'!$E$6:$J$22,MATCH($H133,'[1]salary allocation'!$D$6:$D$22,0),MATCH(P$3,'[1]salary allocation'!$E$3:$J$3,0)),0)</f>
        <v>3168156.5</v>
      </c>
      <c r="Q133" s="15">
        <f>-$K133*IFERROR(INDEX('[1]salary allocation'!$E$6:$J$22,MATCH($H133,'[1]salary allocation'!$D$6:$D$22,0),MATCH(Q$3,'[1]salary allocation'!$E$3:$J$3,0)),0)</f>
        <v>0</v>
      </c>
      <c r="R133" s="15">
        <f>-$K133*IFERROR(INDEX('[1]salary allocation'!$E$6:$J$22,MATCH($H133,'[1]salary allocation'!$D$6:$D$22,0),MATCH(R$3,'[1]salary allocation'!$E$3:$J$3,0)),0)</f>
        <v>0</v>
      </c>
      <c r="S133" s="15">
        <f>-$K133*IFERROR(INDEX('[1]salary allocation'!$E$6:$J$22,MATCH($H133,'[1]salary allocation'!$D$6:$D$22,0),MATCH(S$3,'[1]salary allocation'!$E$3:$J$3,0)),0)</f>
        <v>633631.30000000005</v>
      </c>
      <c r="T133" s="15">
        <f>-$K133*IFERROR(INDEX('[1]salary allocation'!$E$6:$J$22,MATCH($H133,'[1]salary allocation'!$D$6:$D$22,0),MATCH(T$3,'[1]salary allocation'!$E$3:$J$3,0)),0)</f>
        <v>633631.30000000005</v>
      </c>
      <c r="U133" s="15">
        <f>-$K133*IFERROR(INDEX('[1]salary allocation'!$E$6:$J$22,MATCH($H133,'[1]salary allocation'!$D$6:$D$22,0),MATCH(U$3,'[1]salary allocation'!$E$3:$J$3,0)),0)</f>
        <v>633631.30000000005</v>
      </c>
      <c r="V133" s="15">
        <f>-$K133*IFERROR(INDEX('[1]salary allocation'!$E$6:$J$22,MATCH($H133,'[1]salary allocation'!$D$6:$D$22,0),MATCH(V$3,'[1]salary allocation'!$E$3:$J$3,0)),0)</f>
        <v>0</v>
      </c>
      <c r="W133" s="15">
        <f>-$K133*IFERROR(INDEX('[1]salary allocation'!$E$6:$J$22,MATCH($H133,'[1]salary allocation'!$D$6:$D$22,0),MATCH(W$3,'[1]salary allocation'!$E$3:$J$3,0)),0)</f>
        <v>1267262.6000000001</v>
      </c>
      <c r="X133" s="15">
        <f>-$K133*IFERROR(INDEX('[1]salary allocation'!$E$6:$J$22,MATCH($H133,'[1]salary allocation'!$D$6:$D$22,0),MATCH(X$3,'[1]salary allocation'!$E$3:$J$3,0)),0)</f>
        <v>0</v>
      </c>
      <c r="Y133" s="15">
        <f>-$K133*IFERROR(INDEX('[1]salary allocation'!$E$6:$J$22,MATCH($H133,'[1]salary allocation'!$D$6:$D$22,0),MATCH(Y$3,'[1]salary allocation'!$E$3:$J$3,0)),0)</f>
        <v>0</v>
      </c>
      <c r="Z133" s="15">
        <f>-$K133*IFERROR(INDEX('[1]salary allocation'!$E$6:$J$22,MATCH($H133,'[1]salary allocation'!$D$6:$D$22,0),MATCH(Z$3,'[1]salary allocation'!$E$3:$J$3,0)),0)</f>
        <v>0</v>
      </c>
      <c r="AA133" s="15">
        <f>-$K133*IFERROR(INDEX('[1]salary allocation'!$E$6:$J$22,MATCH($H133,'[1]salary allocation'!$D$6:$D$22,0),MATCH(AA$3,'[1]salary allocation'!$E$3:$J$3,0)),0)</f>
        <v>0</v>
      </c>
      <c r="AB133" s="15">
        <f>-$K133*IFERROR(INDEX('[1]salary allocation'!$E$6:$J$22,MATCH($H133,'[1]salary allocation'!$D$6:$D$22,0),MATCH(AB$3,'[1]salary allocation'!$E$3:$J$3,0)),0)</f>
        <v>0</v>
      </c>
      <c r="AC133" s="18">
        <f>-$K133*IFERROR(INDEX('[1]salary allocation'!$E$6:$J$22,MATCH($H133,'[1]salary allocation'!$D$6:$D$22,0),MATCH(AC$3,'[1]salary allocation'!$E$3:$J$3,0)),0)</f>
        <v>0</v>
      </c>
      <c r="AD133" s="17"/>
      <c r="AE133" s="16"/>
      <c r="AF133" s="15">
        <f>-$K133</f>
        <v>6336313</v>
      </c>
      <c r="AG133" s="15"/>
      <c r="AH133" s="2">
        <f>K133+SUM(O133:AC133)</f>
        <v>0</v>
      </c>
      <c r="AI133" s="2">
        <f>K133+SUM(AF133:AG133)</f>
        <v>0</v>
      </c>
    </row>
    <row r="134" spans="1:35" x14ac:dyDescent="0.2">
      <c r="A134" s="69" t="s">
        <v>61</v>
      </c>
      <c r="B134" s="1" t="s">
        <v>712</v>
      </c>
      <c r="H134" s="1" t="s">
        <v>55</v>
      </c>
      <c r="I134" s="1" t="s">
        <v>738</v>
      </c>
      <c r="K134" s="2">
        <v>-8811637</v>
      </c>
      <c r="L134" s="46">
        <v>32025</v>
      </c>
      <c r="M134" s="42" t="str">
        <f>LEFT(I134,(LEN(LEFT(I134,FIND(";",I134)))-8))</f>
        <v>VNHBC</v>
      </c>
      <c r="N134" s="42" t="s">
        <v>138</v>
      </c>
      <c r="O134" s="15">
        <f>-$K134*IFERROR(INDEX('[1]salary allocation'!$E$6:$J$22,MATCH($H134,'[1]salary allocation'!$D$6:$D$22,0),MATCH(O$3,'[1]salary allocation'!$E$3:$J$3,0)),0)</f>
        <v>0</v>
      </c>
      <c r="P134" s="15">
        <f>-$K134*IFERROR(INDEX('[1]salary allocation'!$E$6:$J$22,MATCH($H134,'[1]salary allocation'!$D$6:$D$22,0),MATCH(P$3,'[1]salary allocation'!$E$3:$J$3,0)),0)</f>
        <v>0</v>
      </c>
      <c r="Q134" s="15">
        <f>-$K134*IFERROR(INDEX('[1]salary allocation'!$E$6:$J$22,MATCH($H134,'[1]salary allocation'!$D$6:$D$22,0),MATCH(Q$3,'[1]salary allocation'!$E$3:$J$3,0)),0)</f>
        <v>0</v>
      </c>
      <c r="R134" s="15">
        <f>-$K134*IFERROR(INDEX('[1]salary allocation'!$E$6:$J$22,MATCH($H134,'[1]salary allocation'!$D$6:$D$22,0),MATCH(R$3,'[1]salary allocation'!$E$3:$J$3,0)),0)</f>
        <v>0</v>
      </c>
      <c r="S134" s="15">
        <f>-$K134*IFERROR(INDEX('[1]salary allocation'!$E$6:$J$22,MATCH($H134,'[1]salary allocation'!$D$6:$D$22,0),MATCH(S$3,'[1]salary allocation'!$E$3:$J$3,0)),0)</f>
        <v>1762327.4000000001</v>
      </c>
      <c r="T134" s="15">
        <f>-$K134*IFERROR(INDEX('[1]salary allocation'!$E$6:$J$22,MATCH($H134,'[1]salary allocation'!$D$6:$D$22,0),MATCH(T$3,'[1]salary allocation'!$E$3:$J$3,0)),0)</f>
        <v>1762327.4000000001</v>
      </c>
      <c r="U134" s="15">
        <f>-$K134*IFERROR(INDEX('[1]salary allocation'!$E$6:$J$22,MATCH($H134,'[1]salary allocation'!$D$6:$D$22,0),MATCH(U$3,'[1]salary allocation'!$E$3:$J$3,0)),0)</f>
        <v>1762327.4000000001</v>
      </c>
      <c r="V134" s="15">
        <f>-$K134*IFERROR(INDEX('[1]salary allocation'!$E$6:$J$22,MATCH($H134,'[1]salary allocation'!$D$6:$D$22,0),MATCH(V$3,'[1]salary allocation'!$E$3:$J$3,0)),0)</f>
        <v>0</v>
      </c>
      <c r="W134" s="15">
        <f>-$K134*IFERROR(INDEX('[1]salary allocation'!$E$6:$J$22,MATCH($H134,'[1]salary allocation'!$D$6:$D$22,0),MATCH(W$3,'[1]salary allocation'!$E$3:$J$3,0)),0)</f>
        <v>3524654.8000000003</v>
      </c>
      <c r="X134" s="15">
        <f>-$K134*IFERROR(INDEX('[1]salary allocation'!$E$6:$J$22,MATCH($H134,'[1]salary allocation'!$D$6:$D$22,0),MATCH(X$3,'[1]salary allocation'!$E$3:$J$3,0)),0)</f>
        <v>0</v>
      </c>
      <c r="Y134" s="15">
        <f>-$K134*IFERROR(INDEX('[1]salary allocation'!$E$6:$J$22,MATCH($H134,'[1]salary allocation'!$D$6:$D$22,0),MATCH(Y$3,'[1]salary allocation'!$E$3:$J$3,0)),0)</f>
        <v>0</v>
      </c>
      <c r="Z134" s="15">
        <f>-$K134*IFERROR(INDEX('[1]salary allocation'!$E$6:$J$22,MATCH($H134,'[1]salary allocation'!$D$6:$D$22,0),MATCH(Z$3,'[1]salary allocation'!$E$3:$J$3,0)),0)</f>
        <v>0</v>
      </c>
      <c r="AA134" s="15">
        <f>-$K134*IFERROR(INDEX('[1]salary allocation'!$E$6:$J$22,MATCH($H134,'[1]salary allocation'!$D$6:$D$22,0),MATCH(AA$3,'[1]salary allocation'!$E$3:$J$3,0)),0)</f>
        <v>0</v>
      </c>
      <c r="AB134" s="15">
        <f>-$K134*IFERROR(INDEX('[1]salary allocation'!$E$6:$J$22,MATCH($H134,'[1]salary allocation'!$D$6:$D$22,0),MATCH(AB$3,'[1]salary allocation'!$E$3:$J$3,0)),0)</f>
        <v>0</v>
      </c>
      <c r="AC134" s="18">
        <f>-$K134*IFERROR(INDEX('[1]salary allocation'!$E$6:$J$22,MATCH($H134,'[1]salary allocation'!$D$6:$D$22,0),MATCH(AC$3,'[1]salary allocation'!$E$3:$J$3,0)),0)</f>
        <v>0</v>
      </c>
      <c r="AD134" s="17"/>
      <c r="AE134" s="16"/>
      <c r="AF134" s="15"/>
      <c r="AG134" s="15">
        <f>-$K134</f>
        <v>8811637</v>
      </c>
      <c r="AH134" s="2">
        <f>K134+SUM(O134:AC134)</f>
        <v>0</v>
      </c>
      <c r="AI134" s="2">
        <f>K134+SUM(AF134:AG134)</f>
        <v>0</v>
      </c>
    </row>
    <row r="135" spans="1:35" x14ac:dyDescent="0.2">
      <c r="A135" s="69" t="s">
        <v>61</v>
      </c>
      <c r="B135" s="1" t="s">
        <v>712</v>
      </c>
      <c r="H135" s="1" t="s">
        <v>53</v>
      </c>
      <c r="I135" s="1" t="s">
        <v>737</v>
      </c>
      <c r="K135" s="2">
        <v>-5333649</v>
      </c>
      <c r="L135" s="46">
        <v>32025</v>
      </c>
      <c r="M135" s="42" t="str">
        <f>LEFT(I135,(LEN(LEFT(I135,FIND(";",I135)))-8))</f>
        <v>VNOther</v>
      </c>
      <c r="N135" s="42" t="s">
        <v>138</v>
      </c>
      <c r="O135" s="15">
        <f>-$K135*IFERROR(INDEX('[1]salary allocation'!$E$6:$J$22,MATCH($H135,'[1]salary allocation'!$D$6:$D$22,0),MATCH(O$3,'[1]salary allocation'!$E$3:$J$3,0)),0)</f>
        <v>0</v>
      </c>
      <c r="P135" s="15">
        <f>-$K135*IFERROR(INDEX('[1]salary allocation'!$E$6:$J$22,MATCH($H135,'[1]salary allocation'!$D$6:$D$22,0),MATCH(P$3,'[1]salary allocation'!$E$3:$J$3,0)),0)</f>
        <v>800047.35</v>
      </c>
      <c r="Q135" s="15">
        <f>-$K135*IFERROR(INDEX('[1]salary allocation'!$E$6:$J$22,MATCH($H135,'[1]salary allocation'!$D$6:$D$22,0),MATCH(Q$3,'[1]salary allocation'!$E$3:$J$3,0)),0)</f>
        <v>0</v>
      </c>
      <c r="R135" s="15">
        <f>-$K135*IFERROR(INDEX('[1]salary allocation'!$E$6:$J$22,MATCH($H135,'[1]salary allocation'!$D$6:$D$22,0),MATCH(R$3,'[1]salary allocation'!$E$3:$J$3,0)),0)</f>
        <v>0</v>
      </c>
      <c r="S135" s="15">
        <f>-$K135*IFERROR(INDEX('[1]salary allocation'!$E$6:$J$22,MATCH($H135,'[1]salary allocation'!$D$6:$D$22,0),MATCH(S$3,'[1]salary allocation'!$E$3:$J$3,0)),0)</f>
        <v>906720.33</v>
      </c>
      <c r="T135" s="15">
        <f>-$K135*IFERROR(INDEX('[1]salary allocation'!$E$6:$J$22,MATCH($H135,'[1]salary allocation'!$D$6:$D$22,0),MATCH(T$3,'[1]salary allocation'!$E$3:$J$3,0)),0)</f>
        <v>906720.33</v>
      </c>
      <c r="U135" s="15">
        <f>-$K135*IFERROR(INDEX('[1]salary allocation'!$E$6:$J$22,MATCH($H135,'[1]salary allocation'!$D$6:$D$22,0),MATCH(U$3,'[1]salary allocation'!$E$3:$J$3,0)),0)</f>
        <v>906720.33</v>
      </c>
      <c r="V135" s="15">
        <f>-$K135*IFERROR(INDEX('[1]salary allocation'!$E$6:$J$22,MATCH($H135,'[1]salary allocation'!$D$6:$D$22,0),MATCH(V$3,'[1]salary allocation'!$E$3:$J$3,0)),0)</f>
        <v>0</v>
      </c>
      <c r="W135" s="15">
        <f>-$K135*IFERROR(INDEX('[1]salary allocation'!$E$6:$J$22,MATCH($H135,'[1]salary allocation'!$D$6:$D$22,0),MATCH(W$3,'[1]salary allocation'!$E$3:$J$3,0)),0)</f>
        <v>1813440.66</v>
      </c>
      <c r="X135" s="15">
        <f>-$K135*IFERROR(INDEX('[1]salary allocation'!$E$6:$J$22,MATCH($H135,'[1]salary allocation'!$D$6:$D$22,0),MATCH(X$3,'[1]salary allocation'!$E$3:$J$3,0)),0)</f>
        <v>0</v>
      </c>
      <c r="Y135" s="15">
        <f>-$K135*IFERROR(INDEX('[1]salary allocation'!$E$6:$J$22,MATCH($H135,'[1]salary allocation'!$D$6:$D$22,0),MATCH(Y$3,'[1]salary allocation'!$E$3:$J$3,0)),0)</f>
        <v>0</v>
      </c>
      <c r="Z135" s="15">
        <f>-$K135*IFERROR(INDEX('[1]salary allocation'!$E$6:$J$22,MATCH($H135,'[1]salary allocation'!$D$6:$D$22,0),MATCH(Z$3,'[1]salary allocation'!$E$3:$J$3,0)),0)</f>
        <v>0</v>
      </c>
      <c r="AA135" s="15">
        <f>-$K135*IFERROR(INDEX('[1]salary allocation'!$E$6:$J$22,MATCH($H135,'[1]salary allocation'!$D$6:$D$22,0),MATCH(AA$3,'[1]salary allocation'!$E$3:$J$3,0)),0)</f>
        <v>0</v>
      </c>
      <c r="AB135" s="15">
        <f>-$K135*IFERROR(INDEX('[1]salary allocation'!$E$6:$J$22,MATCH($H135,'[1]salary allocation'!$D$6:$D$22,0),MATCH(AB$3,'[1]salary allocation'!$E$3:$J$3,0)),0)</f>
        <v>0</v>
      </c>
      <c r="AC135" s="18">
        <f>-$K135*IFERROR(INDEX('[1]salary allocation'!$E$6:$J$22,MATCH($H135,'[1]salary allocation'!$D$6:$D$22,0),MATCH(AC$3,'[1]salary allocation'!$E$3:$J$3,0)),0)</f>
        <v>0</v>
      </c>
      <c r="AD135" s="17"/>
      <c r="AE135" s="16"/>
      <c r="AF135" s="15">
        <f>-$K135</f>
        <v>5333649</v>
      </c>
      <c r="AG135" s="15"/>
      <c r="AH135" s="2">
        <f>K135+SUM(O135:AC135)</f>
        <v>0</v>
      </c>
      <c r="AI135" s="2">
        <f>K135+SUM(AF135:AG135)</f>
        <v>0</v>
      </c>
    </row>
    <row r="136" spans="1:35" x14ac:dyDescent="0.2">
      <c r="A136" s="69" t="s">
        <v>61</v>
      </c>
      <c r="B136" s="1" t="s">
        <v>712</v>
      </c>
      <c r="H136" s="1" t="s">
        <v>51</v>
      </c>
      <c r="I136" s="1" t="s">
        <v>736</v>
      </c>
      <c r="K136" s="2">
        <v>-2352247</v>
      </c>
      <c r="L136" s="46">
        <v>32025</v>
      </c>
      <c r="M136" s="42" t="str">
        <f>LEFT(I136,(LEN(LEFT(I136,FIND(";",I136)))-8))</f>
        <v>VNOther</v>
      </c>
      <c r="N136" s="42" t="s">
        <v>138</v>
      </c>
      <c r="O136" s="15">
        <f>-$K136*IFERROR(INDEX('[1]salary allocation'!$E$6:$J$22,MATCH($H136,'[1]salary allocation'!$D$6:$D$22,0),MATCH(O$3,'[1]salary allocation'!$E$3:$J$3,0)),0)</f>
        <v>0</v>
      </c>
      <c r="P136" s="15">
        <f>-$K136*IFERROR(INDEX('[1]salary allocation'!$E$6:$J$22,MATCH($H136,'[1]salary allocation'!$D$6:$D$22,0),MATCH(P$3,'[1]salary allocation'!$E$3:$J$3,0)),0)</f>
        <v>1176123.5</v>
      </c>
      <c r="Q136" s="15">
        <f>-$K136*IFERROR(INDEX('[1]salary allocation'!$E$6:$J$22,MATCH($H136,'[1]salary allocation'!$D$6:$D$22,0),MATCH(Q$3,'[1]salary allocation'!$E$3:$J$3,0)),0)</f>
        <v>0</v>
      </c>
      <c r="R136" s="15">
        <f>-$K136*IFERROR(INDEX('[1]salary allocation'!$E$6:$J$22,MATCH($H136,'[1]salary allocation'!$D$6:$D$22,0),MATCH(R$3,'[1]salary allocation'!$E$3:$J$3,0)),0)</f>
        <v>0</v>
      </c>
      <c r="S136" s="15">
        <f>-$K136*IFERROR(INDEX('[1]salary allocation'!$E$6:$J$22,MATCH($H136,'[1]salary allocation'!$D$6:$D$22,0),MATCH(S$3,'[1]salary allocation'!$E$3:$J$3,0)),0)</f>
        <v>235224.7</v>
      </c>
      <c r="T136" s="15">
        <f>-$K136*IFERROR(INDEX('[1]salary allocation'!$E$6:$J$22,MATCH($H136,'[1]salary allocation'!$D$6:$D$22,0),MATCH(T$3,'[1]salary allocation'!$E$3:$J$3,0)),0)</f>
        <v>235224.7</v>
      </c>
      <c r="U136" s="15">
        <f>-$K136*IFERROR(INDEX('[1]salary allocation'!$E$6:$J$22,MATCH($H136,'[1]salary allocation'!$D$6:$D$22,0),MATCH(U$3,'[1]salary allocation'!$E$3:$J$3,0)),0)</f>
        <v>235224.7</v>
      </c>
      <c r="V136" s="15">
        <f>-$K136*IFERROR(INDEX('[1]salary allocation'!$E$6:$J$22,MATCH($H136,'[1]salary allocation'!$D$6:$D$22,0),MATCH(V$3,'[1]salary allocation'!$E$3:$J$3,0)),0)</f>
        <v>0</v>
      </c>
      <c r="W136" s="15">
        <f>-$K136*IFERROR(INDEX('[1]salary allocation'!$E$6:$J$22,MATCH($H136,'[1]salary allocation'!$D$6:$D$22,0),MATCH(W$3,'[1]salary allocation'!$E$3:$J$3,0)),0)</f>
        <v>470449.4</v>
      </c>
      <c r="X136" s="15">
        <f>-$K136*IFERROR(INDEX('[1]salary allocation'!$E$6:$J$22,MATCH($H136,'[1]salary allocation'!$D$6:$D$22,0),MATCH(X$3,'[1]salary allocation'!$E$3:$J$3,0)),0)</f>
        <v>0</v>
      </c>
      <c r="Y136" s="15">
        <f>-$K136*IFERROR(INDEX('[1]salary allocation'!$E$6:$J$22,MATCH($H136,'[1]salary allocation'!$D$6:$D$22,0),MATCH(Y$3,'[1]salary allocation'!$E$3:$J$3,0)),0)</f>
        <v>0</v>
      </c>
      <c r="Z136" s="15">
        <f>-$K136*IFERROR(INDEX('[1]salary allocation'!$E$6:$J$22,MATCH($H136,'[1]salary allocation'!$D$6:$D$22,0),MATCH(Z$3,'[1]salary allocation'!$E$3:$J$3,0)),0)</f>
        <v>0</v>
      </c>
      <c r="AA136" s="15">
        <f>-$K136*IFERROR(INDEX('[1]salary allocation'!$E$6:$J$22,MATCH($H136,'[1]salary allocation'!$D$6:$D$22,0),MATCH(AA$3,'[1]salary allocation'!$E$3:$J$3,0)),0)</f>
        <v>0</v>
      </c>
      <c r="AB136" s="15">
        <f>-$K136*IFERROR(INDEX('[1]salary allocation'!$E$6:$J$22,MATCH($H136,'[1]salary allocation'!$D$6:$D$22,0),MATCH(AB$3,'[1]salary allocation'!$E$3:$J$3,0)),0)</f>
        <v>0</v>
      </c>
      <c r="AC136" s="18">
        <f>-$K136*IFERROR(INDEX('[1]salary allocation'!$E$6:$J$22,MATCH($H136,'[1]salary allocation'!$D$6:$D$22,0),MATCH(AC$3,'[1]salary allocation'!$E$3:$J$3,0)),0)</f>
        <v>0</v>
      </c>
      <c r="AD136" s="17"/>
      <c r="AE136" s="16"/>
      <c r="AF136" s="15">
        <f>-$K136</f>
        <v>2352247</v>
      </c>
      <c r="AG136" s="15"/>
      <c r="AH136" s="2">
        <f>K136+SUM(O136:AC136)</f>
        <v>0</v>
      </c>
      <c r="AI136" s="2">
        <f>K136+SUM(AF136:AG136)</f>
        <v>0</v>
      </c>
    </row>
    <row r="137" spans="1:35" x14ac:dyDescent="0.2">
      <c r="A137" s="69" t="s">
        <v>61</v>
      </c>
      <c r="B137" s="1" t="s">
        <v>712</v>
      </c>
      <c r="H137" s="1" t="s">
        <v>49</v>
      </c>
      <c r="I137" s="1" t="s">
        <v>735</v>
      </c>
      <c r="K137" s="2">
        <v>-1395382</v>
      </c>
      <c r="L137" s="46">
        <v>32025</v>
      </c>
      <c r="M137" s="42" t="str">
        <f>LEFT(I137,(LEN(LEFT(I137,FIND(";",I137)))-8))</f>
        <v>VNMOET</v>
      </c>
      <c r="N137" s="42" t="s">
        <v>138</v>
      </c>
      <c r="O137" s="15">
        <f>-$K137*IFERROR(INDEX('[1]salary allocation'!$E$6:$J$22,MATCH($H137,'[1]salary allocation'!$D$6:$D$22,0),MATCH(O$3,'[1]salary allocation'!$E$3:$J$3,0)),0)</f>
        <v>0</v>
      </c>
      <c r="P137" s="15">
        <f>-$K137*IFERROR(INDEX('[1]salary allocation'!$E$6:$J$22,MATCH($H137,'[1]salary allocation'!$D$6:$D$22,0),MATCH(P$3,'[1]salary allocation'!$E$3:$J$3,0)),0)</f>
        <v>0</v>
      </c>
      <c r="Q137" s="15">
        <f>-$K137*IFERROR(INDEX('[1]salary allocation'!$E$6:$J$22,MATCH($H137,'[1]salary allocation'!$D$6:$D$22,0),MATCH(Q$3,'[1]salary allocation'!$E$3:$J$3,0)),0)</f>
        <v>0</v>
      </c>
      <c r="R137" s="15">
        <f>-$K137*IFERROR(INDEX('[1]salary allocation'!$E$6:$J$22,MATCH($H137,'[1]salary allocation'!$D$6:$D$22,0),MATCH(R$3,'[1]salary allocation'!$E$3:$J$3,0)),0)</f>
        <v>0</v>
      </c>
      <c r="S137" s="15">
        <f>-$K137*IFERROR(INDEX('[1]salary allocation'!$E$6:$J$22,MATCH($H137,'[1]salary allocation'!$D$6:$D$22,0),MATCH(S$3,'[1]salary allocation'!$E$3:$J$3,0)),0)</f>
        <v>279076.40000000002</v>
      </c>
      <c r="T137" s="15">
        <f>-$K137*IFERROR(INDEX('[1]salary allocation'!$E$6:$J$22,MATCH($H137,'[1]salary allocation'!$D$6:$D$22,0),MATCH(T$3,'[1]salary allocation'!$E$3:$J$3,0)),0)</f>
        <v>279076.40000000002</v>
      </c>
      <c r="U137" s="15">
        <f>-$K137*IFERROR(INDEX('[1]salary allocation'!$E$6:$J$22,MATCH($H137,'[1]salary allocation'!$D$6:$D$22,0),MATCH(U$3,'[1]salary allocation'!$E$3:$J$3,0)),0)</f>
        <v>279076.40000000002</v>
      </c>
      <c r="V137" s="15">
        <f>-$K137*IFERROR(INDEX('[1]salary allocation'!$E$6:$J$22,MATCH($H137,'[1]salary allocation'!$D$6:$D$22,0),MATCH(V$3,'[1]salary allocation'!$E$3:$J$3,0)),0)</f>
        <v>0</v>
      </c>
      <c r="W137" s="15">
        <f>-$K137*IFERROR(INDEX('[1]salary allocation'!$E$6:$J$22,MATCH($H137,'[1]salary allocation'!$D$6:$D$22,0),MATCH(W$3,'[1]salary allocation'!$E$3:$J$3,0)),0)</f>
        <v>558152.80000000005</v>
      </c>
      <c r="X137" s="15">
        <f>-$K137*IFERROR(INDEX('[1]salary allocation'!$E$6:$J$22,MATCH($H137,'[1]salary allocation'!$D$6:$D$22,0),MATCH(X$3,'[1]salary allocation'!$E$3:$J$3,0)),0)</f>
        <v>0</v>
      </c>
      <c r="Y137" s="15">
        <f>-$K137*IFERROR(INDEX('[1]salary allocation'!$E$6:$J$22,MATCH($H137,'[1]salary allocation'!$D$6:$D$22,0),MATCH(Y$3,'[1]salary allocation'!$E$3:$J$3,0)),0)</f>
        <v>0</v>
      </c>
      <c r="Z137" s="15">
        <f>-$K137*IFERROR(INDEX('[1]salary allocation'!$E$6:$J$22,MATCH($H137,'[1]salary allocation'!$D$6:$D$22,0),MATCH(Z$3,'[1]salary allocation'!$E$3:$J$3,0)),0)</f>
        <v>0</v>
      </c>
      <c r="AA137" s="15">
        <f>-$K137*IFERROR(INDEX('[1]salary allocation'!$E$6:$J$22,MATCH($H137,'[1]salary allocation'!$D$6:$D$22,0),MATCH(AA$3,'[1]salary allocation'!$E$3:$J$3,0)),0)</f>
        <v>0</v>
      </c>
      <c r="AB137" s="15">
        <f>-$K137*IFERROR(INDEX('[1]salary allocation'!$E$6:$J$22,MATCH($H137,'[1]salary allocation'!$D$6:$D$22,0),MATCH(AB$3,'[1]salary allocation'!$E$3:$J$3,0)),0)</f>
        <v>0</v>
      </c>
      <c r="AC137" s="18">
        <f>-$K137*IFERROR(INDEX('[1]salary allocation'!$E$6:$J$22,MATCH($H137,'[1]salary allocation'!$D$6:$D$22,0),MATCH(AC$3,'[1]salary allocation'!$E$3:$J$3,0)),0)</f>
        <v>0</v>
      </c>
      <c r="AD137" s="17"/>
      <c r="AE137" s="16"/>
      <c r="AF137" s="15"/>
      <c r="AG137" s="15">
        <f>-K137</f>
        <v>1395382</v>
      </c>
      <c r="AH137" s="2">
        <f>K137+SUM(O137:AC137)</f>
        <v>0</v>
      </c>
      <c r="AI137" s="2">
        <f>K137+SUM(AF137:AG137)</f>
        <v>0</v>
      </c>
    </row>
    <row r="138" spans="1:35" x14ac:dyDescent="0.2">
      <c r="A138" s="69" t="s">
        <v>61</v>
      </c>
      <c r="B138" s="1" t="s">
        <v>712</v>
      </c>
      <c r="H138" s="1" t="s">
        <v>47</v>
      </c>
      <c r="I138" s="1" t="s">
        <v>734</v>
      </c>
      <c r="K138" s="2">
        <v>-4569876</v>
      </c>
      <c r="L138" s="46">
        <v>32025</v>
      </c>
      <c r="M138" s="42" t="str">
        <f>LEFT(I138,(LEN(LEFT(I138,FIND(";",I138)))-8))</f>
        <v>VNHBC</v>
      </c>
      <c r="N138" s="42" t="s">
        <v>138</v>
      </c>
      <c r="O138" s="15">
        <f>-$K138*IFERROR(INDEX('[1]salary allocation'!$E$6:$J$22,MATCH($H138,'[1]salary allocation'!$D$6:$D$22,0),MATCH(O$3,'[1]salary allocation'!$E$3:$J$3,0)),0)</f>
        <v>0</v>
      </c>
      <c r="P138" s="15">
        <f>-$K138*IFERROR(INDEX('[1]salary allocation'!$E$6:$J$22,MATCH($H138,'[1]salary allocation'!$D$6:$D$22,0),MATCH(P$3,'[1]salary allocation'!$E$3:$J$3,0)),0)</f>
        <v>0</v>
      </c>
      <c r="Q138" s="15">
        <f>-$K138*IFERROR(INDEX('[1]salary allocation'!$E$6:$J$22,MATCH($H138,'[1]salary allocation'!$D$6:$D$22,0),MATCH(Q$3,'[1]salary allocation'!$E$3:$J$3,0)),0)</f>
        <v>0</v>
      </c>
      <c r="R138" s="15">
        <f>-$K138*IFERROR(INDEX('[1]salary allocation'!$E$6:$J$22,MATCH($H138,'[1]salary allocation'!$D$6:$D$22,0),MATCH(R$3,'[1]salary allocation'!$E$3:$J$3,0)),0)</f>
        <v>0</v>
      </c>
      <c r="S138" s="15">
        <f>-$K138*IFERROR(INDEX('[1]salary allocation'!$E$6:$J$22,MATCH($H138,'[1]salary allocation'!$D$6:$D$22,0),MATCH(S$3,'[1]salary allocation'!$E$3:$J$3,0)),0)</f>
        <v>913975.20000000007</v>
      </c>
      <c r="T138" s="15">
        <f>-$K138*IFERROR(INDEX('[1]salary allocation'!$E$6:$J$22,MATCH($H138,'[1]salary allocation'!$D$6:$D$22,0),MATCH(T$3,'[1]salary allocation'!$E$3:$J$3,0)),0)</f>
        <v>913975.20000000007</v>
      </c>
      <c r="U138" s="15">
        <f>-$K138*IFERROR(INDEX('[1]salary allocation'!$E$6:$J$22,MATCH($H138,'[1]salary allocation'!$D$6:$D$22,0),MATCH(U$3,'[1]salary allocation'!$E$3:$J$3,0)),0)</f>
        <v>913975.20000000007</v>
      </c>
      <c r="V138" s="15">
        <f>-$K138*IFERROR(INDEX('[1]salary allocation'!$E$6:$J$22,MATCH($H138,'[1]salary allocation'!$D$6:$D$22,0),MATCH(V$3,'[1]salary allocation'!$E$3:$J$3,0)),0)</f>
        <v>0</v>
      </c>
      <c r="W138" s="15">
        <f>-$K138*IFERROR(INDEX('[1]salary allocation'!$E$6:$J$22,MATCH($H138,'[1]salary allocation'!$D$6:$D$22,0),MATCH(W$3,'[1]salary allocation'!$E$3:$J$3,0)),0)</f>
        <v>1827950.4000000001</v>
      </c>
      <c r="X138" s="15">
        <f>-$K138*IFERROR(INDEX('[1]salary allocation'!$E$6:$J$22,MATCH($H138,'[1]salary allocation'!$D$6:$D$22,0),MATCH(X$3,'[1]salary allocation'!$E$3:$J$3,0)),0)</f>
        <v>0</v>
      </c>
      <c r="Y138" s="15">
        <f>-$K138*IFERROR(INDEX('[1]salary allocation'!$E$6:$J$22,MATCH($H138,'[1]salary allocation'!$D$6:$D$22,0),MATCH(Y$3,'[1]salary allocation'!$E$3:$J$3,0)),0)</f>
        <v>0</v>
      </c>
      <c r="Z138" s="15">
        <f>-$K138*IFERROR(INDEX('[1]salary allocation'!$E$6:$J$22,MATCH($H138,'[1]salary allocation'!$D$6:$D$22,0),MATCH(Z$3,'[1]salary allocation'!$E$3:$J$3,0)),0)</f>
        <v>0</v>
      </c>
      <c r="AA138" s="15">
        <f>-$K138*IFERROR(INDEX('[1]salary allocation'!$E$6:$J$22,MATCH($H138,'[1]salary allocation'!$D$6:$D$22,0),MATCH(AA$3,'[1]salary allocation'!$E$3:$J$3,0)),0)</f>
        <v>0</v>
      </c>
      <c r="AB138" s="15">
        <f>-$K138*IFERROR(INDEX('[1]salary allocation'!$E$6:$J$22,MATCH($H138,'[1]salary allocation'!$D$6:$D$22,0),MATCH(AB$3,'[1]salary allocation'!$E$3:$J$3,0)),0)</f>
        <v>0</v>
      </c>
      <c r="AC138" s="18">
        <f>-$K138*IFERROR(INDEX('[1]salary allocation'!$E$6:$J$22,MATCH($H138,'[1]salary allocation'!$D$6:$D$22,0),MATCH(AC$3,'[1]salary allocation'!$E$3:$J$3,0)),0)</f>
        <v>0</v>
      </c>
      <c r="AD138" s="17"/>
      <c r="AE138" s="16"/>
      <c r="AF138" s="15">
        <f>-$K138</f>
        <v>4569876</v>
      </c>
      <c r="AG138" s="15"/>
      <c r="AH138" s="2">
        <f>K138+SUM(O138:AC138)</f>
        <v>0</v>
      </c>
      <c r="AI138" s="2">
        <f>K138+SUM(AF138:AG138)</f>
        <v>0</v>
      </c>
    </row>
    <row r="139" spans="1:35" x14ac:dyDescent="0.2">
      <c r="A139" s="69" t="s">
        <v>61</v>
      </c>
      <c r="B139" s="1" t="s">
        <v>712</v>
      </c>
      <c r="H139" s="1" t="s">
        <v>45</v>
      </c>
      <c r="I139" s="1" t="s">
        <v>733</v>
      </c>
      <c r="K139" s="2">
        <v>-141722</v>
      </c>
      <c r="L139" s="46">
        <v>32025</v>
      </c>
      <c r="M139" s="42" t="str">
        <f>LEFT(I139,(LEN(LEFT(I139,FIND(";",I139)))-9))</f>
        <v>VNHBC</v>
      </c>
      <c r="N139" s="42" t="s">
        <v>138</v>
      </c>
      <c r="O139" s="15">
        <f>-$K139*IFERROR(INDEX('[1]salary allocation'!$E$6:$J$22,MATCH($H139,'[1]salary allocation'!$D$6:$D$22,0),MATCH(O$3,'[1]salary allocation'!$E$3:$J$3,0)),0)</f>
        <v>0</v>
      </c>
      <c r="P139" s="15">
        <f>-$K139*IFERROR(INDEX('[1]salary allocation'!$E$6:$J$22,MATCH($H139,'[1]salary allocation'!$D$6:$D$22,0),MATCH(P$3,'[1]salary allocation'!$E$3:$J$3,0)),0)</f>
        <v>0</v>
      </c>
      <c r="Q139" s="15">
        <f>-$K139*IFERROR(INDEX('[1]salary allocation'!$E$6:$J$22,MATCH($H139,'[1]salary allocation'!$D$6:$D$22,0),MATCH(Q$3,'[1]salary allocation'!$E$3:$J$3,0)),0)</f>
        <v>0</v>
      </c>
      <c r="R139" s="15">
        <f>-$K139*IFERROR(INDEX('[1]salary allocation'!$E$6:$J$22,MATCH($H139,'[1]salary allocation'!$D$6:$D$22,0),MATCH(R$3,'[1]salary allocation'!$E$3:$J$3,0)),0)</f>
        <v>0</v>
      </c>
      <c r="S139" s="15">
        <f>-$K139*IFERROR(INDEX('[1]salary allocation'!$E$6:$J$22,MATCH($H139,'[1]salary allocation'!$D$6:$D$22,0),MATCH(S$3,'[1]salary allocation'!$E$3:$J$3,0)),0)</f>
        <v>28344.400000000001</v>
      </c>
      <c r="T139" s="15">
        <f>-$K139*IFERROR(INDEX('[1]salary allocation'!$E$6:$J$22,MATCH($H139,'[1]salary allocation'!$D$6:$D$22,0),MATCH(T$3,'[1]salary allocation'!$E$3:$J$3,0)),0)</f>
        <v>28344.400000000001</v>
      </c>
      <c r="U139" s="15">
        <f>-$K139*IFERROR(INDEX('[1]salary allocation'!$E$6:$J$22,MATCH($H139,'[1]salary allocation'!$D$6:$D$22,0),MATCH(U$3,'[1]salary allocation'!$E$3:$J$3,0)),0)</f>
        <v>28344.400000000001</v>
      </c>
      <c r="V139" s="15">
        <f>-$K139*IFERROR(INDEX('[1]salary allocation'!$E$6:$J$22,MATCH($H139,'[1]salary allocation'!$D$6:$D$22,0),MATCH(V$3,'[1]salary allocation'!$E$3:$J$3,0)),0)</f>
        <v>0</v>
      </c>
      <c r="W139" s="15">
        <f>-$K139*IFERROR(INDEX('[1]salary allocation'!$E$6:$J$22,MATCH($H139,'[1]salary allocation'!$D$6:$D$22,0),MATCH(W$3,'[1]salary allocation'!$E$3:$J$3,0)),0)</f>
        <v>56688.800000000003</v>
      </c>
      <c r="X139" s="15">
        <f>-$K139*IFERROR(INDEX('[1]salary allocation'!$E$6:$J$22,MATCH($H139,'[1]salary allocation'!$D$6:$D$22,0),MATCH(X$3,'[1]salary allocation'!$E$3:$J$3,0)),0)</f>
        <v>0</v>
      </c>
      <c r="Y139" s="15">
        <f>-$K139*IFERROR(INDEX('[1]salary allocation'!$E$6:$J$22,MATCH($H139,'[1]salary allocation'!$D$6:$D$22,0),MATCH(Y$3,'[1]salary allocation'!$E$3:$J$3,0)),0)</f>
        <v>0</v>
      </c>
      <c r="Z139" s="15">
        <f>-$K139*IFERROR(INDEX('[1]salary allocation'!$E$6:$J$22,MATCH($H139,'[1]salary allocation'!$D$6:$D$22,0),MATCH(Z$3,'[1]salary allocation'!$E$3:$J$3,0)),0)</f>
        <v>0</v>
      </c>
      <c r="AA139" s="15">
        <f>-$K139*IFERROR(INDEX('[1]salary allocation'!$E$6:$J$22,MATCH($H139,'[1]salary allocation'!$D$6:$D$22,0),MATCH(AA$3,'[1]salary allocation'!$E$3:$J$3,0)),0)</f>
        <v>0</v>
      </c>
      <c r="AB139" s="15">
        <f>-$K139*IFERROR(INDEX('[1]salary allocation'!$E$6:$J$22,MATCH($H139,'[1]salary allocation'!$D$6:$D$22,0),MATCH(AB$3,'[1]salary allocation'!$E$3:$J$3,0)),0)</f>
        <v>0</v>
      </c>
      <c r="AC139" s="18">
        <f>-$K139*IFERROR(INDEX('[1]salary allocation'!$E$6:$J$22,MATCH($H139,'[1]salary allocation'!$D$6:$D$22,0),MATCH(AC$3,'[1]salary allocation'!$E$3:$J$3,0)),0)</f>
        <v>0</v>
      </c>
      <c r="AD139" s="17"/>
      <c r="AE139" s="16"/>
      <c r="AF139" s="15"/>
      <c r="AG139" s="15">
        <f>-K139</f>
        <v>141722</v>
      </c>
      <c r="AH139" s="2">
        <f>K139+SUM(O139:AC139)</f>
        <v>0</v>
      </c>
      <c r="AI139" s="2">
        <f>K139+SUM(AF139:AG139)</f>
        <v>0</v>
      </c>
    </row>
    <row r="140" spans="1:35" x14ac:dyDescent="0.2">
      <c r="A140" s="69" t="s">
        <v>61</v>
      </c>
      <c r="B140" s="1" t="s">
        <v>712</v>
      </c>
      <c r="H140" s="1" t="s">
        <v>43</v>
      </c>
      <c r="I140" s="1" t="s">
        <v>732</v>
      </c>
      <c r="K140" s="2">
        <v>-5324453</v>
      </c>
      <c r="L140" s="46">
        <v>32025</v>
      </c>
      <c r="M140" s="42" t="str">
        <f>LEFT(I140,(LEN(LEFT(I140,FIND(";",I140)))-8))</f>
        <v>VNMOET</v>
      </c>
      <c r="N140" s="42" t="s">
        <v>138</v>
      </c>
      <c r="O140" s="15">
        <f>-$K140*IFERROR(INDEX('[1]salary allocation'!$E$6:$J$22,MATCH($H140,'[1]salary allocation'!$D$6:$D$22,0),MATCH(O$3,'[1]salary allocation'!$E$3:$J$3,0)),0)</f>
        <v>0</v>
      </c>
      <c r="P140" s="15">
        <f>-$K140*IFERROR(INDEX('[1]salary allocation'!$E$6:$J$22,MATCH($H140,'[1]salary allocation'!$D$6:$D$22,0),MATCH(P$3,'[1]salary allocation'!$E$3:$J$3,0)),0)</f>
        <v>0</v>
      </c>
      <c r="Q140" s="15">
        <f>-$K140*IFERROR(INDEX('[1]salary allocation'!$E$6:$J$22,MATCH($H140,'[1]salary allocation'!$D$6:$D$22,0),MATCH(Q$3,'[1]salary allocation'!$E$3:$J$3,0)),0)</f>
        <v>0</v>
      </c>
      <c r="R140" s="15">
        <f>-$K140*IFERROR(INDEX('[1]salary allocation'!$E$6:$J$22,MATCH($H140,'[1]salary allocation'!$D$6:$D$22,0),MATCH(R$3,'[1]salary allocation'!$E$3:$J$3,0)),0)</f>
        <v>0</v>
      </c>
      <c r="S140" s="15">
        <f>-$K140*IFERROR(INDEX('[1]salary allocation'!$E$6:$J$22,MATCH($H140,'[1]salary allocation'!$D$6:$D$22,0),MATCH(S$3,'[1]salary allocation'!$E$3:$J$3,0)),0)</f>
        <v>1064890.6000000001</v>
      </c>
      <c r="T140" s="15">
        <f>-$K140*IFERROR(INDEX('[1]salary allocation'!$E$6:$J$22,MATCH($H140,'[1]salary allocation'!$D$6:$D$22,0),MATCH(T$3,'[1]salary allocation'!$E$3:$J$3,0)),0)</f>
        <v>1064890.6000000001</v>
      </c>
      <c r="U140" s="15">
        <f>-$K140*IFERROR(INDEX('[1]salary allocation'!$E$6:$J$22,MATCH($H140,'[1]salary allocation'!$D$6:$D$22,0),MATCH(U$3,'[1]salary allocation'!$E$3:$J$3,0)),0)</f>
        <v>1064890.6000000001</v>
      </c>
      <c r="V140" s="15">
        <f>-$K140*IFERROR(INDEX('[1]salary allocation'!$E$6:$J$22,MATCH($H140,'[1]salary allocation'!$D$6:$D$22,0),MATCH(V$3,'[1]salary allocation'!$E$3:$J$3,0)),0)</f>
        <v>0</v>
      </c>
      <c r="W140" s="15">
        <f>-$K140*IFERROR(INDEX('[1]salary allocation'!$E$6:$J$22,MATCH($H140,'[1]salary allocation'!$D$6:$D$22,0),MATCH(W$3,'[1]salary allocation'!$E$3:$J$3,0)),0)</f>
        <v>2129781.2000000002</v>
      </c>
      <c r="X140" s="15">
        <f>-$K140*IFERROR(INDEX('[1]salary allocation'!$E$6:$J$22,MATCH($H140,'[1]salary allocation'!$D$6:$D$22,0),MATCH(X$3,'[1]salary allocation'!$E$3:$J$3,0)),0)</f>
        <v>0</v>
      </c>
      <c r="Y140" s="15">
        <f>-$K140*IFERROR(INDEX('[1]salary allocation'!$E$6:$J$22,MATCH($H140,'[1]salary allocation'!$D$6:$D$22,0),MATCH(Y$3,'[1]salary allocation'!$E$3:$J$3,0)),0)</f>
        <v>0</v>
      </c>
      <c r="Z140" s="15">
        <f>-$K140*IFERROR(INDEX('[1]salary allocation'!$E$6:$J$22,MATCH($H140,'[1]salary allocation'!$D$6:$D$22,0),MATCH(Z$3,'[1]salary allocation'!$E$3:$J$3,0)),0)</f>
        <v>0</v>
      </c>
      <c r="AA140" s="15">
        <f>-$K140*IFERROR(INDEX('[1]salary allocation'!$E$6:$J$22,MATCH($H140,'[1]salary allocation'!$D$6:$D$22,0),MATCH(AA$3,'[1]salary allocation'!$E$3:$J$3,0)),0)</f>
        <v>0</v>
      </c>
      <c r="AB140" s="15">
        <f>-$K140*IFERROR(INDEX('[1]salary allocation'!$E$6:$J$22,MATCH($H140,'[1]salary allocation'!$D$6:$D$22,0),MATCH(AB$3,'[1]salary allocation'!$E$3:$J$3,0)),0)</f>
        <v>0</v>
      </c>
      <c r="AC140" s="18">
        <f>-$K140*IFERROR(INDEX('[1]salary allocation'!$E$6:$J$22,MATCH($H140,'[1]salary allocation'!$D$6:$D$22,0),MATCH(AC$3,'[1]salary allocation'!$E$3:$J$3,0)),0)</f>
        <v>0</v>
      </c>
      <c r="AD140" s="17"/>
      <c r="AE140" s="16"/>
      <c r="AF140" s="15">
        <f>-$K140</f>
        <v>5324453</v>
      </c>
      <c r="AG140" s="15"/>
      <c r="AH140" s="2">
        <f>K140+SUM(O140:AC140)</f>
        <v>0</v>
      </c>
      <c r="AI140" s="2">
        <f>K140+SUM(AF140:AG140)</f>
        <v>0</v>
      </c>
    </row>
    <row r="141" spans="1:35" x14ac:dyDescent="0.2">
      <c r="A141" s="69" t="s">
        <v>61</v>
      </c>
      <c r="B141" s="1" t="s">
        <v>712</v>
      </c>
      <c r="H141" s="1" t="s">
        <v>41</v>
      </c>
      <c r="I141" s="1" t="s">
        <v>731</v>
      </c>
      <c r="K141" s="2">
        <v>-4657671</v>
      </c>
      <c r="L141" s="46">
        <v>32025</v>
      </c>
      <c r="M141" s="42" t="str">
        <f>LEFT(I141,(LEN(LEFT(I141,FIND(";",I141)))-8))</f>
        <v>VNMOET</v>
      </c>
      <c r="N141" s="42" t="s">
        <v>138</v>
      </c>
      <c r="O141" s="15">
        <f>-$K141*IFERROR(INDEX('[1]salary allocation'!$E$6:$J$22,MATCH($H141,'[1]salary allocation'!$D$6:$D$22,0),MATCH(O$3,'[1]salary allocation'!$E$3:$J$3,0)),0)</f>
        <v>0</v>
      </c>
      <c r="P141" s="15">
        <f>-$K141*IFERROR(INDEX('[1]salary allocation'!$E$6:$J$22,MATCH($H141,'[1]salary allocation'!$D$6:$D$22,0),MATCH(P$3,'[1]salary allocation'!$E$3:$J$3,0)),0)</f>
        <v>0</v>
      </c>
      <c r="Q141" s="15">
        <f>-$K141*IFERROR(INDEX('[1]salary allocation'!$E$6:$J$22,MATCH($H141,'[1]salary allocation'!$D$6:$D$22,0),MATCH(Q$3,'[1]salary allocation'!$E$3:$J$3,0)),0)</f>
        <v>0</v>
      </c>
      <c r="R141" s="15">
        <f>-$K141*IFERROR(INDEX('[1]salary allocation'!$E$6:$J$22,MATCH($H141,'[1]salary allocation'!$D$6:$D$22,0),MATCH(R$3,'[1]salary allocation'!$E$3:$J$3,0)),0)</f>
        <v>0</v>
      </c>
      <c r="S141" s="15">
        <f>-$K141*IFERROR(INDEX('[1]salary allocation'!$E$6:$J$22,MATCH($H141,'[1]salary allocation'!$D$6:$D$22,0),MATCH(S$3,'[1]salary allocation'!$E$3:$J$3,0)),0)</f>
        <v>0</v>
      </c>
      <c r="T141" s="15">
        <f>-$K141*IFERROR(INDEX('[1]salary allocation'!$E$6:$J$22,MATCH($H141,'[1]salary allocation'!$D$6:$D$22,0),MATCH(T$3,'[1]salary allocation'!$E$3:$J$3,0)),0)</f>
        <v>0</v>
      </c>
      <c r="U141" s="15">
        <f>-$K141*IFERROR(INDEX('[1]salary allocation'!$E$6:$J$22,MATCH($H141,'[1]salary allocation'!$D$6:$D$22,0),MATCH(U$3,'[1]salary allocation'!$E$3:$J$3,0)),0)</f>
        <v>0</v>
      </c>
      <c r="V141" s="15">
        <f>-$K141*IFERROR(INDEX('[1]salary allocation'!$E$6:$J$22,MATCH($H141,'[1]salary allocation'!$D$6:$D$22,0),MATCH(V$3,'[1]salary allocation'!$E$3:$J$3,0)),0)</f>
        <v>0</v>
      </c>
      <c r="W141" s="15">
        <f>-$K141*IFERROR(INDEX('[1]salary allocation'!$E$6:$J$22,MATCH($H141,'[1]salary allocation'!$D$6:$D$22,0),MATCH(W$3,'[1]salary allocation'!$E$3:$J$3,0)),0)</f>
        <v>4657671</v>
      </c>
      <c r="X141" s="15">
        <f>-$K141*IFERROR(INDEX('[1]salary allocation'!$E$6:$J$22,MATCH($H141,'[1]salary allocation'!$D$6:$D$22,0),MATCH(X$3,'[1]salary allocation'!$E$3:$J$3,0)),0)</f>
        <v>0</v>
      </c>
      <c r="Y141" s="15">
        <f>-$K141*IFERROR(INDEX('[1]salary allocation'!$E$6:$J$22,MATCH($H141,'[1]salary allocation'!$D$6:$D$22,0),MATCH(Y$3,'[1]salary allocation'!$E$3:$J$3,0)),0)</f>
        <v>0</v>
      </c>
      <c r="Z141" s="15">
        <f>-$K141*IFERROR(INDEX('[1]salary allocation'!$E$6:$J$22,MATCH($H141,'[1]salary allocation'!$D$6:$D$22,0),MATCH(Z$3,'[1]salary allocation'!$E$3:$J$3,0)),0)</f>
        <v>0</v>
      </c>
      <c r="AA141" s="15">
        <f>-$K141*IFERROR(INDEX('[1]salary allocation'!$E$6:$J$22,MATCH($H141,'[1]salary allocation'!$D$6:$D$22,0),MATCH(AA$3,'[1]salary allocation'!$E$3:$J$3,0)),0)</f>
        <v>0</v>
      </c>
      <c r="AB141" s="15">
        <f>-$K141*IFERROR(INDEX('[1]salary allocation'!$E$6:$J$22,MATCH($H141,'[1]salary allocation'!$D$6:$D$22,0),MATCH(AB$3,'[1]salary allocation'!$E$3:$J$3,0)),0)</f>
        <v>0</v>
      </c>
      <c r="AC141" s="18">
        <f>-$K141*IFERROR(INDEX('[1]salary allocation'!$E$6:$J$22,MATCH($H141,'[1]salary allocation'!$D$6:$D$22,0),MATCH(AC$3,'[1]salary allocation'!$E$3:$J$3,0)),0)</f>
        <v>0</v>
      </c>
      <c r="AD141" s="17"/>
      <c r="AE141" s="16"/>
      <c r="AF141" s="15">
        <f>-$K141</f>
        <v>4657671</v>
      </c>
      <c r="AG141" s="15"/>
      <c r="AH141" s="2">
        <f>K141+SUM(O141:AC141)</f>
        <v>0</v>
      </c>
      <c r="AI141" s="2">
        <f>K141+SUM(AF141:AG141)</f>
        <v>0</v>
      </c>
    </row>
    <row r="142" spans="1:35" x14ac:dyDescent="0.2">
      <c r="A142" s="69" t="s">
        <v>61</v>
      </c>
      <c r="B142" s="1" t="s">
        <v>712</v>
      </c>
      <c r="H142" s="1" t="s">
        <v>39</v>
      </c>
      <c r="I142" s="1" t="s">
        <v>730</v>
      </c>
      <c r="K142" s="2">
        <v>-5324453</v>
      </c>
      <c r="L142" s="46">
        <v>32025</v>
      </c>
      <c r="M142" s="42" t="str">
        <f>LEFT(I142,(LEN(LEFT(I142,FIND(";",I142)))-8))</f>
        <v>VNMOET</v>
      </c>
      <c r="N142" s="42" t="s">
        <v>138</v>
      </c>
      <c r="O142" s="15">
        <f>-$K142*IFERROR(INDEX('[1]salary allocation'!$E$6:$J$22,MATCH($H142,'[1]salary allocation'!$D$6:$D$22,0),MATCH(O$3,'[1]salary allocation'!$E$3:$J$3,0)),0)</f>
        <v>0</v>
      </c>
      <c r="P142" s="15">
        <f>-$K142*IFERROR(INDEX('[1]salary allocation'!$E$6:$J$22,MATCH($H142,'[1]salary allocation'!$D$6:$D$22,0),MATCH(P$3,'[1]salary allocation'!$E$3:$J$3,0)),0)</f>
        <v>0</v>
      </c>
      <c r="Q142" s="15">
        <f>-$K142*IFERROR(INDEX('[1]salary allocation'!$E$6:$J$22,MATCH($H142,'[1]salary allocation'!$D$6:$D$22,0),MATCH(Q$3,'[1]salary allocation'!$E$3:$J$3,0)),0)</f>
        <v>0</v>
      </c>
      <c r="R142" s="15">
        <f>-$K142*IFERROR(INDEX('[1]salary allocation'!$E$6:$J$22,MATCH($H142,'[1]salary allocation'!$D$6:$D$22,0),MATCH(R$3,'[1]salary allocation'!$E$3:$J$3,0)),0)</f>
        <v>0</v>
      </c>
      <c r="S142" s="15">
        <f>-$K142*IFERROR(INDEX('[1]salary allocation'!$E$6:$J$22,MATCH($H142,'[1]salary allocation'!$D$6:$D$22,0),MATCH(S$3,'[1]salary allocation'!$E$3:$J$3,0)),0)</f>
        <v>0</v>
      </c>
      <c r="T142" s="15">
        <f>-$K142*IFERROR(INDEX('[1]salary allocation'!$E$6:$J$22,MATCH($H142,'[1]salary allocation'!$D$6:$D$22,0),MATCH(T$3,'[1]salary allocation'!$E$3:$J$3,0)),0)</f>
        <v>0</v>
      </c>
      <c r="U142" s="15">
        <f>-$K142*IFERROR(INDEX('[1]salary allocation'!$E$6:$J$22,MATCH($H142,'[1]salary allocation'!$D$6:$D$22,0),MATCH(U$3,'[1]salary allocation'!$E$3:$J$3,0)),0)</f>
        <v>0</v>
      </c>
      <c r="V142" s="15">
        <f>-$K142*IFERROR(INDEX('[1]salary allocation'!$E$6:$J$22,MATCH($H142,'[1]salary allocation'!$D$6:$D$22,0),MATCH(V$3,'[1]salary allocation'!$E$3:$J$3,0)),0)</f>
        <v>0</v>
      </c>
      <c r="W142" s="15">
        <f>-$K142*IFERROR(INDEX('[1]salary allocation'!$E$6:$J$22,MATCH($H142,'[1]salary allocation'!$D$6:$D$22,0),MATCH(W$3,'[1]salary allocation'!$E$3:$J$3,0)),0)</f>
        <v>5324453</v>
      </c>
      <c r="X142" s="15">
        <f>-$K142*IFERROR(INDEX('[1]salary allocation'!$E$6:$J$22,MATCH($H142,'[1]salary allocation'!$D$6:$D$22,0),MATCH(X$3,'[1]salary allocation'!$E$3:$J$3,0)),0)</f>
        <v>0</v>
      </c>
      <c r="Y142" s="15">
        <f>-$K142*IFERROR(INDEX('[1]salary allocation'!$E$6:$J$22,MATCH($H142,'[1]salary allocation'!$D$6:$D$22,0),MATCH(Y$3,'[1]salary allocation'!$E$3:$J$3,0)),0)</f>
        <v>0</v>
      </c>
      <c r="Z142" s="15">
        <f>-$K142*IFERROR(INDEX('[1]salary allocation'!$E$6:$J$22,MATCH($H142,'[1]salary allocation'!$D$6:$D$22,0),MATCH(Z$3,'[1]salary allocation'!$E$3:$J$3,0)),0)</f>
        <v>0</v>
      </c>
      <c r="AA142" s="15">
        <f>-$K142*IFERROR(INDEX('[1]salary allocation'!$E$6:$J$22,MATCH($H142,'[1]salary allocation'!$D$6:$D$22,0),MATCH(AA$3,'[1]salary allocation'!$E$3:$J$3,0)),0)</f>
        <v>0</v>
      </c>
      <c r="AB142" s="15">
        <f>-$K142*IFERROR(INDEX('[1]salary allocation'!$E$6:$J$22,MATCH($H142,'[1]salary allocation'!$D$6:$D$22,0),MATCH(AB$3,'[1]salary allocation'!$E$3:$J$3,0)),0)</f>
        <v>0</v>
      </c>
      <c r="AC142" s="18">
        <f>-$K142*IFERROR(INDEX('[1]salary allocation'!$E$6:$J$22,MATCH($H142,'[1]salary allocation'!$D$6:$D$22,0),MATCH(AC$3,'[1]salary allocation'!$E$3:$J$3,0)),0)</f>
        <v>0</v>
      </c>
      <c r="AD142" s="17"/>
      <c r="AE142" s="16"/>
      <c r="AF142" s="15">
        <f>-$K142</f>
        <v>5324453</v>
      </c>
      <c r="AG142" s="15"/>
      <c r="AH142" s="2">
        <f>K142+SUM(O142:AC142)</f>
        <v>0</v>
      </c>
      <c r="AI142" s="2">
        <f>K142+SUM(AF142:AG142)</f>
        <v>0</v>
      </c>
    </row>
    <row r="143" spans="1:35" x14ac:dyDescent="0.2">
      <c r="A143" s="69" t="s">
        <v>61</v>
      </c>
      <c r="B143" s="1" t="s">
        <v>712</v>
      </c>
      <c r="H143" s="1" t="s">
        <v>37</v>
      </c>
      <c r="I143" s="1" t="s">
        <v>729</v>
      </c>
      <c r="K143" s="2">
        <v>-3886391</v>
      </c>
      <c r="L143" s="46">
        <v>32025</v>
      </c>
      <c r="M143" s="42" t="str">
        <f>LEFT(I143,(LEN(LEFT(I143,FIND(";",I143)))-8))</f>
        <v>VNOther</v>
      </c>
      <c r="N143" s="42" t="s">
        <v>138</v>
      </c>
      <c r="O143" s="15">
        <f>-$K143*IFERROR(INDEX('[1]salary allocation'!$E$6:$J$22,MATCH($H143,'[1]salary allocation'!$D$6:$D$22,0),MATCH(O$3,'[1]salary allocation'!$E$3:$J$3,0)),0)</f>
        <v>0</v>
      </c>
      <c r="P143" s="15">
        <f>-$K143*IFERROR(INDEX('[1]salary allocation'!$E$6:$J$22,MATCH($H143,'[1]salary allocation'!$D$6:$D$22,0),MATCH(P$3,'[1]salary allocation'!$E$3:$J$3,0)),0)</f>
        <v>582958.65</v>
      </c>
      <c r="Q143" s="15">
        <f>-$K143*IFERROR(INDEX('[1]salary allocation'!$E$6:$J$22,MATCH($H143,'[1]salary allocation'!$D$6:$D$22,0),MATCH(Q$3,'[1]salary allocation'!$E$3:$J$3,0)),0)</f>
        <v>0</v>
      </c>
      <c r="R143" s="15">
        <f>-$K143*IFERROR(INDEX('[1]salary allocation'!$E$6:$J$22,MATCH($H143,'[1]salary allocation'!$D$6:$D$22,0),MATCH(R$3,'[1]salary allocation'!$E$3:$J$3,0)),0)</f>
        <v>0</v>
      </c>
      <c r="S143" s="15">
        <f>-$K143*IFERROR(INDEX('[1]salary allocation'!$E$6:$J$22,MATCH($H143,'[1]salary allocation'!$D$6:$D$22,0),MATCH(S$3,'[1]salary allocation'!$E$3:$J$3,0)),0)</f>
        <v>660686.47</v>
      </c>
      <c r="T143" s="15">
        <f>-$K143*IFERROR(INDEX('[1]salary allocation'!$E$6:$J$22,MATCH($H143,'[1]salary allocation'!$D$6:$D$22,0),MATCH(T$3,'[1]salary allocation'!$E$3:$J$3,0)),0)</f>
        <v>660686.47</v>
      </c>
      <c r="U143" s="15">
        <f>-$K143*IFERROR(INDEX('[1]salary allocation'!$E$6:$J$22,MATCH($H143,'[1]salary allocation'!$D$6:$D$22,0),MATCH(U$3,'[1]salary allocation'!$E$3:$J$3,0)),0)</f>
        <v>660686.47</v>
      </c>
      <c r="V143" s="15">
        <f>-$K143*IFERROR(INDEX('[1]salary allocation'!$E$6:$J$22,MATCH($H143,'[1]salary allocation'!$D$6:$D$22,0),MATCH(V$3,'[1]salary allocation'!$E$3:$J$3,0)),0)</f>
        <v>0</v>
      </c>
      <c r="W143" s="15">
        <f>-$K143*IFERROR(INDEX('[1]salary allocation'!$E$6:$J$22,MATCH($H143,'[1]salary allocation'!$D$6:$D$22,0),MATCH(W$3,'[1]salary allocation'!$E$3:$J$3,0)),0)</f>
        <v>1321372.94</v>
      </c>
      <c r="X143" s="15">
        <f>-$K143*IFERROR(INDEX('[1]salary allocation'!$E$6:$J$22,MATCH($H143,'[1]salary allocation'!$D$6:$D$22,0),MATCH(X$3,'[1]salary allocation'!$E$3:$J$3,0)),0)</f>
        <v>0</v>
      </c>
      <c r="Y143" s="15">
        <f>-$K143*IFERROR(INDEX('[1]salary allocation'!$E$6:$J$22,MATCH($H143,'[1]salary allocation'!$D$6:$D$22,0),MATCH(Y$3,'[1]salary allocation'!$E$3:$J$3,0)),0)</f>
        <v>0</v>
      </c>
      <c r="Z143" s="15">
        <f>-$K143*IFERROR(INDEX('[1]salary allocation'!$E$6:$J$22,MATCH($H143,'[1]salary allocation'!$D$6:$D$22,0),MATCH(Z$3,'[1]salary allocation'!$E$3:$J$3,0)),0)</f>
        <v>0</v>
      </c>
      <c r="AA143" s="15">
        <f>-$K143*IFERROR(INDEX('[1]salary allocation'!$E$6:$J$22,MATCH($H143,'[1]salary allocation'!$D$6:$D$22,0),MATCH(AA$3,'[1]salary allocation'!$E$3:$J$3,0)),0)</f>
        <v>0</v>
      </c>
      <c r="AB143" s="15">
        <f>-$K143*IFERROR(INDEX('[1]salary allocation'!$E$6:$J$22,MATCH($H143,'[1]salary allocation'!$D$6:$D$22,0),MATCH(AB$3,'[1]salary allocation'!$E$3:$J$3,0)),0)</f>
        <v>0</v>
      </c>
      <c r="AC143" s="18">
        <f>-$K143*IFERROR(INDEX('[1]salary allocation'!$E$6:$J$22,MATCH($H143,'[1]salary allocation'!$D$6:$D$22,0),MATCH(AC$3,'[1]salary allocation'!$E$3:$J$3,0)),0)</f>
        <v>0</v>
      </c>
      <c r="AD143" s="17"/>
      <c r="AE143" s="16"/>
      <c r="AF143" s="15">
        <f>-K143</f>
        <v>3886391</v>
      </c>
      <c r="AG143" s="15"/>
      <c r="AH143" s="2">
        <f>K143+SUM(O143:AC143)</f>
        <v>0</v>
      </c>
      <c r="AI143" s="2">
        <f>K143+SUM(AF143:AG143)</f>
        <v>0</v>
      </c>
    </row>
    <row r="144" spans="1:35" x14ac:dyDescent="0.2">
      <c r="A144" s="69" t="s">
        <v>61</v>
      </c>
      <c r="B144" s="1" t="s">
        <v>712</v>
      </c>
      <c r="H144" s="1" t="s">
        <v>35</v>
      </c>
      <c r="I144" s="1" t="s">
        <v>728</v>
      </c>
      <c r="K144" s="2">
        <v>-9463368</v>
      </c>
      <c r="L144" s="46">
        <v>32025</v>
      </c>
      <c r="M144" s="42" t="str">
        <f>LEFT(I144,(LEN(LEFT(I144,FIND(";",I144)))-8))</f>
        <v>VNOther</v>
      </c>
      <c r="N144" s="42" t="s">
        <v>138</v>
      </c>
      <c r="O144" s="15">
        <f>-$K144*IFERROR(INDEX('[1]salary allocation'!$E$6:$J$22,MATCH($H144,'[1]salary allocation'!$D$6:$D$22,0),MATCH(O$3,'[1]salary allocation'!$E$3:$J$3,0)),0)</f>
        <v>0</v>
      </c>
      <c r="P144" s="15">
        <f>-$K144*IFERROR(INDEX('[1]salary allocation'!$E$6:$J$22,MATCH($H144,'[1]salary allocation'!$D$6:$D$22,0),MATCH(P$3,'[1]salary allocation'!$E$3:$J$3,0)),0)</f>
        <v>1419505.2</v>
      </c>
      <c r="Q144" s="15">
        <f>-$K144*IFERROR(INDEX('[1]salary allocation'!$E$6:$J$22,MATCH($H144,'[1]salary allocation'!$D$6:$D$22,0),MATCH(Q$3,'[1]salary allocation'!$E$3:$J$3,0)),0)</f>
        <v>0</v>
      </c>
      <c r="R144" s="15">
        <f>-$K144*IFERROR(INDEX('[1]salary allocation'!$E$6:$J$22,MATCH($H144,'[1]salary allocation'!$D$6:$D$22,0),MATCH(R$3,'[1]salary allocation'!$E$3:$J$3,0)),0)</f>
        <v>0</v>
      </c>
      <c r="S144" s="15">
        <f>-$K144*IFERROR(INDEX('[1]salary allocation'!$E$6:$J$22,MATCH($H144,'[1]salary allocation'!$D$6:$D$22,0),MATCH(S$3,'[1]salary allocation'!$E$3:$J$3,0)),0)</f>
        <v>1608772.5599999998</v>
      </c>
      <c r="T144" s="15">
        <f>-$K144*IFERROR(INDEX('[1]salary allocation'!$E$6:$J$22,MATCH($H144,'[1]salary allocation'!$D$6:$D$22,0),MATCH(T$3,'[1]salary allocation'!$E$3:$J$3,0)),0)</f>
        <v>1608772.5599999998</v>
      </c>
      <c r="U144" s="15">
        <f>-$K144*IFERROR(INDEX('[1]salary allocation'!$E$6:$J$22,MATCH($H144,'[1]salary allocation'!$D$6:$D$22,0),MATCH(U$3,'[1]salary allocation'!$E$3:$J$3,0)),0)</f>
        <v>1608772.5599999998</v>
      </c>
      <c r="V144" s="15">
        <f>-$K144*IFERROR(INDEX('[1]salary allocation'!$E$6:$J$22,MATCH($H144,'[1]salary allocation'!$D$6:$D$22,0),MATCH(V$3,'[1]salary allocation'!$E$3:$J$3,0)),0)</f>
        <v>0</v>
      </c>
      <c r="W144" s="15">
        <f>-$K144*IFERROR(INDEX('[1]salary allocation'!$E$6:$J$22,MATCH($H144,'[1]salary allocation'!$D$6:$D$22,0),MATCH(W$3,'[1]salary allocation'!$E$3:$J$3,0)),0)</f>
        <v>3217545.1199999996</v>
      </c>
      <c r="X144" s="15">
        <f>-$K144*IFERROR(INDEX('[1]salary allocation'!$E$6:$J$22,MATCH($H144,'[1]salary allocation'!$D$6:$D$22,0),MATCH(X$3,'[1]salary allocation'!$E$3:$J$3,0)),0)</f>
        <v>0</v>
      </c>
      <c r="Y144" s="15">
        <f>-$K144*IFERROR(INDEX('[1]salary allocation'!$E$6:$J$22,MATCH($H144,'[1]salary allocation'!$D$6:$D$22,0),MATCH(Y$3,'[1]salary allocation'!$E$3:$J$3,0)),0)</f>
        <v>0</v>
      </c>
      <c r="Z144" s="15">
        <f>-$K144*IFERROR(INDEX('[1]salary allocation'!$E$6:$J$22,MATCH($H144,'[1]salary allocation'!$D$6:$D$22,0),MATCH(Z$3,'[1]salary allocation'!$E$3:$J$3,0)),0)</f>
        <v>0</v>
      </c>
      <c r="AA144" s="15">
        <f>-$K144*IFERROR(INDEX('[1]salary allocation'!$E$6:$J$22,MATCH($H144,'[1]salary allocation'!$D$6:$D$22,0),MATCH(AA$3,'[1]salary allocation'!$E$3:$J$3,0)),0)</f>
        <v>0</v>
      </c>
      <c r="AB144" s="15">
        <f>-$K144*IFERROR(INDEX('[1]salary allocation'!$E$6:$J$22,MATCH($H144,'[1]salary allocation'!$D$6:$D$22,0),MATCH(AB$3,'[1]salary allocation'!$E$3:$J$3,0)),0)</f>
        <v>0</v>
      </c>
      <c r="AC144" s="18">
        <f>-$K144*IFERROR(INDEX('[1]salary allocation'!$E$6:$J$22,MATCH($H144,'[1]salary allocation'!$D$6:$D$22,0),MATCH(AC$3,'[1]salary allocation'!$E$3:$J$3,0)),0)</f>
        <v>0</v>
      </c>
      <c r="AD144" s="17"/>
      <c r="AE144" s="16"/>
      <c r="AF144" s="15">
        <f>-$K144</f>
        <v>9463368</v>
      </c>
      <c r="AG144" s="15"/>
      <c r="AH144" s="2">
        <f>K144+SUM(O144:AC144)</f>
        <v>0</v>
      </c>
      <c r="AI144" s="2">
        <f>K144+SUM(AF144:AG144)</f>
        <v>0</v>
      </c>
    </row>
    <row r="145" spans="1:35" x14ac:dyDescent="0.2">
      <c r="A145" s="69" t="s">
        <v>61</v>
      </c>
      <c r="B145" s="1" t="s">
        <v>712</v>
      </c>
      <c r="H145" s="1" t="s">
        <v>121</v>
      </c>
      <c r="I145" s="1" t="s">
        <v>727</v>
      </c>
      <c r="K145" s="2">
        <v>-152496</v>
      </c>
      <c r="L145" s="46">
        <v>32025</v>
      </c>
      <c r="M145" s="42" t="str">
        <f>LEFT(I145,(LEN(LEFT(I145,FIND(";",I145)))-8))</f>
        <v>VNLA</v>
      </c>
      <c r="N145" s="42" t="s">
        <v>138</v>
      </c>
      <c r="O145" s="2">
        <f>IF($M145=O$3,-$K145,0)</f>
        <v>0</v>
      </c>
      <c r="P145" s="2">
        <f>IF($M145=P$3,-$K145,0)</f>
        <v>0</v>
      </c>
      <c r="Q145" s="2">
        <f>IF($M145=Q$3,-$K145,0)</f>
        <v>0</v>
      </c>
      <c r="R145" s="2">
        <f>IF($M145=R$3,-$K145,0)</f>
        <v>0</v>
      </c>
      <c r="S145" s="2">
        <f>IF($M145=S$3,-$K145,0)</f>
        <v>0</v>
      </c>
      <c r="T145" s="2">
        <f>IF($M145=T$3,-$K145,0)</f>
        <v>0</v>
      </c>
      <c r="U145" s="2">
        <f>IF($M145=U$3,-$K145,0)</f>
        <v>0</v>
      </c>
      <c r="V145" s="2">
        <f>IF($M145=V$3,-$K145,0)</f>
        <v>0</v>
      </c>
      <c r="W145" s="2">
        <f>IF($M145=W$3,-$K145,0)</f>
        <v>0</v>
      </c>
      <c r="X145" s="2">
        <f>IF($M145=X$3,-$K145,0)</f>
        <v>152496</v>
      </c>
      <c r="Y145" s="2">
        <f>IF($M145=Y$3,-$K145,0)</f>
        <v>0</v>
      </c>
      <c r="Z145" s="2">
        <f>IF($M145=Z$3,-$K145,0)</f>
        <v>0</v>
      </c>
      <c r="AA145" s="2">
        <f>IF($M145=AA$3,-$K145,0)</f>
        <v>0</v>
      </c>
      <c r="AB145" s="2">
        <f>IF($M145=AB$3,-$K145,0)</f>
        <v>0</v>
      </c>
      <c r="AC145" s="21">
        <f>IF($M145=AC$3,-$K145,0)</f>
        <v>0</v>
      </c>
      <c r="AD145" s="20"/>
      <c r="AE145" s="19"/>
      <c r="AF145" s="2"/>
      <c r="AG145" s="2">
        <f>-$K145</f>
        <v>152496</v>
      </c>
      <c r="AH145" s="2">
        <f>K145+SUM(O145:AC145)</f>
        <v>0</v>
      </c>
      <c r="AI145" s="2">
        <f>K145+SUM(AF145:AG145)</f>
        <v>0</v>
      </c>
    </row>
    <row r="146" spans="1:35" x14ac:dyDescent="0.2">
      <c r="A146" s="69" t="s">
        <v>61</v>
      </c>
      <c r="B146" s="1" t="s">
        <v>712</v>
      </c>
      <c r="H146" s="1" t="s">
        <v>33</v>
      </c>
      <c r="I146" s="1" t="s">
        <v>726</v>
      </c>
      <c r="K146" s="2">
        <v>-170754</v>
      </c>
      <c r="L146" s="46">
        <v>32025</v>
      </c>
      <c r="M146" s="42" t="str">
        <f>LEFT(I146,(LEN(LEFT(I146,FIND(";",I146)))-8))</f>
        <v>VNDN</v>
      </c>
      <c r="N146" s="42" t="s">
        <v>138</v>
      </c>
      <c r="O146" s="2">
        <f>IF($M146=O$3,-$K146,0)</f>
        <v>0</v>
      </c>
      <c r="P146" s="2">
        <f>IF($M146=P$3,-$K146,0)</f>
        <v>0</v>
      </c>
      <c r="Q146" s="2">
        <f>IF($M146=Q$3,-$K146,0)</f>
        <v>0</v>
      </c>
      <c r="R146" s="2">
        <f>IF($M146=R$3,-$K146,0)</f>
        <v>0</v>
      </c>
      <c r="S146" s="2">
        <f>IF($M146=S$3,-$K146,0)</f>
        <v>170754</v>
      </c>
      <c r="T146" s="2">
        <f>IF($M146=T$3,-$K146,0)</f>
        <v>0</v>
      </c>
      <c r="U146" s="2">
        <f>IF($M146=U$3,-$K146,0)</f>
        <v>0</v>
      </c>
      <c r="V146" s="2">
        <f>IF($M146=V$3,-$K146,0)</f>
        <v>0</v>
      </c>
      <c r="W146" s="2">
        <f>IF($M146=W$3,-$K146,0)</f>
        <v>0</v>
      </c>
      <c r="X146" s="2">
        <f>IF($M146=X$3,-$K146,0)</f>
        <v>0</v>
      </c>
      <c r="Y146" s="2">
        <f>IF($M146=Y$3,-$K146,0)</f>
        <v>0</v>
      </c>
      <c r="Z146" s="2">
        <f>IF($M146=Z$3,-$K146,0)</f>
        <v>0</v>
      </c>
      <c r="AA146" s="2">
        <f>IF($M146=AA$3,-$K146,0)</f>
        <v>0</v>
      </c>
      <c r="AB146" s="2">
        <f>IF($M146=AB$3,-$K146,0)</f>
        <v>0</v>
      </c>
      <c r="AC146" s="21">
        <f>IF($M146=AC$3,-$K146,0)</f>
        <v>0</v>
      </c>
      <c r="AD146" s="20"/>
      <c r="AE146" s="19"/>
      <c r="AF146" s="2"/>
      <c r="AG146" s="2">
        <f>-$K146</f>
        <v>170754</v>
      </c>
      <c r="AH146" s="2">
        <f>K146+SUM(O146:AC146)</f>
        <v>0</v>
      </c>
      <c r="AI146" s="2">
        <f>K146+SUM(AF146:AG146)</f>
        <v>0</v>
      </c>
    </row>
    <row r="147" spans="1:35" x14ac:dyDescent="0.2">
      <c r="A147" s="69" t="s">
        <v>61</v>
      </c>
      <c r="B147" s="1" t="s">
        <v>712</v>
      </c>
      <c r="H147" s="1" t="s">
        <v>31</v>
      </c>
      <c r="I147" s="1" t="s">
        <v>725</v>
      </c>
      <c r="K147" s="2">
        <v>0</v>
      </c>
      <c r="L147" s="46">
        <v>32025</v>
      </c>
      <c r="M147" s="42" t="str">
        <f>LEFT(I147,(LEN(LEFT(I147,FIND(";",I147)))-8))</f>
        <v>VNDN</v>
      </c>
      <c r="N147" s="42" t="s">
        <v>138</v>
      </c>
      <c r="O147" s="2">
        <f>IF($M147=O$3,-$K147,0)</f>
        <v>0</v>
      </c>
      <c r="P147" s="2">
        <f>IF($M147=P$3,-$K147,0)</f>
        <v>0</v>
      </c>
      <c r="Q147" s="2">
        <f>IF($M147=Q$3,-$K147,0)</f>
        <v>0</v>
      </c>
      <c r="R147" s="2">
        <f>IF($M147=R$3,-$K147,0)</f>
        <v>0</v>
      </c>
      <c r="S147" s="2">
        <f>IF($M147=S$3,-$K147,0)</f>
        <v>0</v>
      </c>
      <c r="T147" s="2">
        <f>IF($M147=T$3,-$K147,0)</f>
        <v>0</v>
      </c>
      <c r="U147" s="2">
        <f>IF($M147=U$3,-$K147,0)</f>
        <v>0</v>
      </c>
      <c r="V147" s="2">
        <f>IF($M147=V$3,-$K147,0)</f>
        <v>0</v>
      </c>
      <c r="W147" s="2">
        <f>IF($M147=W$3,-$K147,0)</f>
        <v>0</v>
      </c>
      <c r="X147" s="2">
        <f>IF($M147=X$3,-$K147,0)</f>
        <v>0</v>
      </c>
      <c r="Y147" s="2">
        <f>IF($M147=Y$3,-$K147,0)</f>
        <v>0</v>
      </c>
      <c r="Z147" s="2">
        <f>IF($M147=Z$3,-$K147,0)</f>
        <v>0</v>
      </c>
      <c r="AA147" s="2">
        <f>IF($M147=AA$3,-$K147,0)</f>
        <v>0</v>
      </c>
      <c r="AB147" s="2">
        <f>IF($M147=AB$3,-$K147,0)</f>
        <v>0</v>
      </c>
      <c r="AC147" s="21">
        <f>IF($M147=AC$3,-$K147,0)</f>
        <v>0</v>
      </c>
      <c r="AD147" s="20"/>
      <c r="AE147" s="19"/>
      <c r="AF147" s="2"/>
      <c r="AG147" s="2">
        <f>-$K147</f>
        <v>0</v>
      </c>
      <c r="AH147" s="2">
        <f>K147+SUM(O147:AC147)</f>
        <v>0</v>
      </c>
      <c r="AI147" s="2">
        <f>K147+SUM(AF147:AG147)</f>
        <v>0</v>
      </c>
    </row>
    <row r="148" spans="1:35" x14ac:dyDescent="0.2">
      <c r="A148" s="69" t="s">
        <v>61</v>
      </c>
      <c r="B148" s="1" t="s">
        <v>712</v>
      </c>
      <c r="H148" s="1" t="s">
        <v>29</v>
      </c>
      <c r="I148" s="1" t="s">
        <v>724</v>
      </c>
      <c r="K148" s="2">
        <v>-118771</v>
      </c>
      <c r="L148" s="46">
        <v>32025</v>
      </c>
      <c r="M148" s="42" t="str">
        <f>LEFT(I148,(LEN(LEFT(I148,FIND(";",I148)))-8))</f>
        <v>VNDN</v>
      </c>
      <c r="N148" s="42" t="s">
        <v>138</v>
      </c>
      <c r="O148" s="2">
        <f>IF($M148=O$3,-$K148,0)</f>
        <v>0</v>
      </c>
      <c r="P148" s="2">
        <f>IF($M148=P$3,-$K148,0)</f>
        <v>0</v>
      </c>
      <c r="Q148" s="2">
        <f>IF($M148=Q$3,-$K148,0)</f>
        <v>0</v>
      </c>
      <c r="R148" s="2">
        <f>IF($M148=R$3,-$K148,0)</f>
        <v>0</v>
      </c>
      <c r="S148" s="2">
        <f>IF($M148=S$3,-$K148,0)</f>
        <v>118771</v>
      </c>
      <c r="T148" s="2">
        <f>IF($M148=T$3,-$K148,0)</f>
        <v>0</v>
      </c>
      <c r="U148" s="2">
        <f>IF($M148=U$3,-$K148,0)</f>
        <v>0</v>
      </c>
      <c r="V148" s="2">
        <f>IF($M148=V$3,-$K148,0)</f>
        <v>0</v>
      </c>
      <c r="W148" s="2">
        <f>IF($M148=W$3,-$K148,0)</f>
        <v>0</v>
      </c>
      <c r="X148" s="2">
        <f>IF($M148=X$3,-$K148,0)</f>
        <v>0</v>
      </c>
      <c r="Y148" s="2">
        <f>IF($M148=Y$3,-$K148,0)</f>
        <v>0</v>
      </c>
      <c r="Z148" s="2">
        <f>IF($M148=Z$3,-$K148,0)</f>
        <v>0</v>
      </c>
      <c r="AA148" s="2">
        <f>IF($M148=AA$3,-$K148,0)</f>
        <v>0</v>
      </c>
      <c r="AB148" s="2">
        <f>IF($M148=AB$3,-$K148,0)</f>
        <v>0</v>
      </c>
      <c r="AC148" s="21">
        <f>IF($M148=AC$3,-$K148,0)</f>
        <v>0</v>
      </c>
      <c r="AD148" s="20"/>
      <c r="AE148" s="19"/>
      <c r="AF148" s="2"/>
      <c r="AG148" s="2">
        <f>-$K148</f>
        <v>118771</v>
      </c>
      <c r="AH148" s="2">
        <f>K148+SUM(O148:AC148)</f>
        <v>0</v>
      </c>
      <c r="AI148" s="2">
        <f>K148+SUM(AF148:AG148)</f>
        <v>0</v>
      </c>
    </row>
    <row r="149" spans="1:35" x14ac:dyDescent="0.2">
      <c r="A149" s="69" t="s">
        <v>61</v>
      </c>
      <c r="B149" s="1" t="s">
        <v>712</v>
      </c>
      <c r="H149" s="1" t="s">
        <v>27</v>
      </c>
      <c r="I149" s="1" t="s">
        <v>723</v>
      </c>
      <c r="K149" s="2">
        <v>0</v>
      </c>
      <c r="L149" s="46">
        <v>32025</v>
      </c>
      <c r="M149" s="42" t="str">
        <f>LEFT(I149,(LEN(LEFT(I149,FIND(";",I149)))-8))</f>
        <v>VNDN</v>
      </c>
      <c r="N149" s="42" t="s">
        <v>138</v>
      </c>
      <c r="O149" s="2">
        <f>IF($M149=O$3,-$K149,0)</f>
        <v>0</v>
      </c>
      <c r="P149" s="2">
        <f>IF($M149=P$3,-$K149,0)</f>
        <v>0</v>
      </c>
      <c r="Q149" s="2">
        <f>IF($M149=Q$3,-$K149,0)</f>
        <v>0</v>
      </c>
      <c r="R149" s="2">
        <f>IF($M149=R$3,-$K149,0)</f>
        <v>0</v>
      </c>
      <c r="S149" s="2">
        <f>IF($M149=S$3,-$K149,0)</f>
        <v>0</v>
      </c>
      <c r="T149" s="2">
        <f>IF($M149=T$3,-$K149,0)</f>
        <v>0</v>
      </c>
      <c r="U149" s="2">
        <f>IF($M149=U$3,-$K149,0)</f>
        <v>0</v>
      </c>
      <c r="V149" s="2">
        <f>IF($M149=V$3,-$K149,0)</f>
        <v>0</v>
      </c>
      <c r="W149" s="2">
        <f>IF($M149=W$3,-$K149,0)</f>
        <v>0</v>
      </c>
      <c r="X149" s="2">
        <f>IF($M149=X$3,-$K149,0)</f>
        <v>0</v>
      </c>
      <c r="Y149" s="2">
        <f>IF($M149=Y$3,-$K149,0)</f>
        <v>0</v>
      </c>
      <c r="Z149" s="2">
        <f>IF($M149=Z$3,-$K149,0)</f>
        <v>0</v>
      </c>
      <c r="AA149" s="2">
        <f>IF($M149=AA$3,-$K149,0)</f>
        <v>0</v>
      </c>
      <c r="AB149" s="2">
        <f>IF($M149=AB$3,-$K149,0)</f>
        <v>0</v>
      </c>
      <c r="AC149" s="21">
        <f>IF($M149=AC$3,-$K149,0)</f>
        <v>0</v>
      </c>
      <c r="AD149" s="20"/>
      <c r="AE149" s="19"/>
      <c r="AF149" s="2"/>
      <c r="AG149" s="2">
        <f>-$K149</f>
        <v>0</v>
      </c>
      <c r="AH149" s="2">
        <f>K149+SUM(O149:AC149)</f>
        <v>0</v>
      </c>
      <c r="AI149" s="2">
        <f>K149+SUM(AF149:AG149)</f>
        <v>0</v>
      </c>
    </row>
    <row r="150" spans="1:35" x14ac:dyDescent="0.2">
      <c r="A150" s="69" t="s">
        <v>61</v>
      </c>
      <c r="B150" s="1" t="s">
        <v>712</v>
      </c>
      <c r="H150" s="1" t="s">
        <v>25</v>
      </c>
      <c r="I150" s="1" t="s">
        <v>722</v>
      </c>
      <c r="K150" s="2">
        <v>-339500</v>
      </c>
      <c r="L150" s="46">
        <v>32025</v>
      </c>
      <c r="M150" s="42" t="str">
        <f>LEFT(I150,(LEN(LEFT(I150,FIND(";",I150)))-8))</f>
        <v>VNQN</v>
      </c>
      <c r="N150" s="42" t="s">
        <v>138</v>
      </c>
      <c r="O150" s="2">
        <f>IF($M150=O$3,-$K150,0)</f>
        <v>0</v>
      </c>
      <c r="P150" s="2">
        <f>IF($M150=P$3,-$K150,0)</f>
        <v>0</v>
      </c>
      <c r="Q150" s="2">
        <f>IF($M150=Q$3,-$K150,0)</f>
        <v>0</v>
      </c>
      <c r="R150" s="2">
        <f>IF($M150=R$3,-$K150,0)</f>
        <v>0</v>
      </c>
      <c r="S150" s="2">
        <f>IF($M150=S$3,-$K150,0)</f>
        <v>0</v>
      </c>
      <c r="T150" s="2">
        <f>IF($M150=T$3,-$K150,0)</f>
        <v>339500</v>
      </c>
      <c r="U150" s="2">
        <f>IF($M150=U$3,-$K150,0)</f>
        <v>0</v>
      </c>
      <c r="V150" s="2">
        <f>IF($M150=V$3,-$K150,0)</f>
        <v>0</v>
      </c>
      <c r="W150" s="2">
        <f>IF($M150=W$3,-$K150,0)</f>
        <v>0</v>
      </c>
      <c r="X150" s="2">
        <f>IF($M150=X$3,-$K150,0)</f>
        <v>0</v>
      </c>
      <c r="Y150" s="2">
        <f>IF($M150=Y$3,-$K150,0)</f>
        <v>0</v>
      </c>
      <c r="Z150" s="2">
        <f>IF($M150=Z$3,-$K150,0)</f>
        <v>0</v>
      </c>
      <c r="AA150" s="2">
        <f>IF($M150=AA$3,-$K150,0)</f>
        <v>0</v>
      </c>
      <c r="AB150" s="2">
        <f>IF($M150=AB$3,-$K150,0)</f>
        <v>0</v>
      </c>
      <c r="AC150" s="21">
        <f>IF($M150=AC$3,-$K150,0)</f>
        <v>0</v>
      </c>
      <c r="AD150" s="20"/>
      <c r="AE150" s="19"/>
      <c r="AF150" s="2"/>
      <c r="AG150" s="2">
        <f>-$K150</f>
        <v>339500</v>
      </c>
      <c r="AH150" s="2">
        <f>K150+SUM(O150:AC150)</f>
        <v>0</v>
      </c>
      <c r="AI150" s="2">
        <f>K150+SUM(AF150:AG150)</f>
        <v>0</v>
      </c>
    </row>
    <row r="151" spans="1:35" x14ac:dyDescent="0.2">
      <c r="A151" s="69" t="s">
        <v>61</v>
      </c>
      <c r="B151" s="1" t="s">
        <v>712</v>
      </c>
      <c r="H151" s="1" t="s">
        <v>81</v>
      </c>
      <c r="I151" s="1" t="s">
        <v>721</v>
      </c>
      <c r="K151" s="2">
        <v>-129657</v>
      </c>
      <c r="L151" s="46">
        <v>32025</v>
      </c>
      <c r="M151" s="42" t="str">
        <f>LEFT(I151,(LEN(LEFT(I151,FIND(";",I151)))-8))</f>
        <v>VNQN</v>
      </c>
      <c r="N151" s="42" t="s">
        <v>138</v>
      </c>
      <c r="O151" s="2">
        <f>IF($M151=O$3,-$K151,0)</f>
        <v>0</v>
      </c>
      <c r="P151" s="2">
        <f>IF($M151=P$3,-$K151,0)</f>
        <v>0</v>
      </c>
      <c r="Q151" s="2">
        <f>IF($M151=Q$3,-$K151,0)</f>
        <v>0</v>
      </c>
      <c r="R151" s="2">
        <f>IF($M151=R$3,-$K151,0)</f>
        <v>0</v>
      </c>
      <c r="S151" s="2">
        <f>IF($M151=S$3,-$K151,0)</f>
        <v>0</v>
      </c>
      <c r="T151" s="2">
        <f>IF($M151=T$3,-$K151,0)</f>
        <v>129657</v>
      </c>
      <c r="U151" s="2">
        <f>IF($M151=U$3,-$K151,0)</f>
        <v>0</v>
      </c>
      <c r="V151" s="2">
        <f>IF($M151=V$3,-$K151,0)</f>
        <v>0</v>
      </c>
      <c r="W151" s="2">
        <f>IF($M151=W$3,-$K151,0)</f>
        <v>0</v>
      </c>
      <c r="X151" s="2">
        <f>IF($M151=X$3,-$K151,0)</f>
        <v>0</v>
      </c>
      <c r="Y151" s="2">
        <f>IF($M151=Y$3,-$K151,0)</f>
        <v>0</v>
      </c>
      <c r="Z151" s="2">
        <f>IF($M151=Z$3,-$K151,0)</f>
        <v>0</v>
      </c>
      <c r="AA151" s="2">
        <f>IF($M151=AA$3,-$K151,0)</f>
        <v>0</v>
      </c>
      <c r="AB151" s="2">
        <f>IF($M151=AB$3,-$K151,0)</f>
        <v>0</v>
      </c>
      <c r="AC151" s="21">
        <f>IF($M151=AC$3,-$K151,0)</f>
        <v>0</v>
      </c>
      <c r="AD151" s="20"/>
      <c r="AE151" s="19"/>
      <c r="AF151" s="2"/>
      <c r="AG151" s="2">
        <f>-$K151</f>
        <v>129657</v>
      </c>
      <c r="AH151" s="2">
        <f>K151+SUM(O151:AC151)</f>
        <v>0</v>
      </c>
      <c r="AI151" s="2">
        <f>K151+SUM(AF151:AG151)</f>
        <v>0</v>
      </c>
    </row>
    <row r="152" spans="1:35" x14ac:dyDescent="0.2">
      <c r="A152" s="69" t="s">
        <v>61</v>
      </c>
      <c r="B152" s="1" t="s">
        <v>712</v>
      </c>
      <c r="H152" s="1" t="s">
        <v>23</v>
      </c>
      <c r="I152" s="1" t="s">
        <v>720</v>
      </c>
      <c r="K152" s="2">
        <v>0</v>
      </c>
      <c r="L152" s="46">
        <v>32025</v>
      </c>
      <c r="M152" s="42" t="str">
        <f>LEFT(I152,(LEN(LEFT(I152,FIND(";",I152)))-8))</f>
        <v>VNHD</v>
      </c>
      <c r="N152" s="42" t="s">
        <v>138</v>
      </c>
      <c r="O152" s="2">
        <f>IF($M152=O$3,-$K152,0)</f>
        <v>0</v>
      </c>
      <c r="P152" s="2">
        <f>IF($M152=P$3,-$K152,0)</f>
        <v>0</v>
      </c>
      <c r="Q152" s="2">
        <f>IF($M152=Q$3,-$K152,0)</f>
        <v>0</v>
      </c>
      <c r="R152" s="2">
        <f>IF($M152=R$3,-$K152,0)</f>
        <v>0</v>
      </c>
      <c r="S152" s="2">
        <f>IF($M152=S$3,-$K152,0)</f>
        <v>0</v>
      </c>
      <c r="T152" s="2">
        <f>IF($M152=T$3,-$K152,0)</f>
        <v>0</v>
      </c>
      <c r="U152" s="2">
        <f>IF($M152=U$3,-$K152,0)</f>
        <v>0</v>
      </c>
      <c r="V152" s="2">
        <f>IF($M152=V$3,-$K152,0)</f>
        <v>0</v>
      </c>
      <c r="W152" s="2">
        <f>IF($M152=W$3,-$K152,0)</f>
        <v>0</v>
      </c>
      <c r="X152" s="2">
        <f>IF($M152=X$3,-$K152,0)</f>
        <v>0</v>
      </c>
      <c r="Y152" s="2">
        <f>IF($M152=Y$3,-$K152,0)</f>
        <v>0</v>
      </c>
      <c r="Z152" s="2">
        <f>IF($M152=Z$3,-$K152,0)</f>
        <v>0</v>
      </c>
      <c r="AA152" s="2">
        <f>IF($M152=AA$3,-$K152,0)</f>
        <v>0</v>
      </c>
      <c r="AB152" s="2">
        <f>IF($M152=AB$3,-$K152,0)</f>
        <v>0</v>
      </c>
      <c r="AC152" s="21">
        <f>IF($M152=AC$3,-$K152,0)</f>
        <v>0</v>
      </c>
      <c r="AD152" s="20"/>
      <c r="AE152" s="19"/>
      <c r="AF152" s="2"/>
      <c r="AG152" s="2">
        <f>-$K152</f>
        <v>0</v>
      </c>
      <c r="AH152" s="2">
        <f>K152+SUM(O152:AC152)</f>
        <v>0</v>
      </c>
      <c r="AI152" s="2">
        <f>K152+SUM(AF152:AG152)</f>
        <v>0</v>
      </c>
    </row>
    <row r="153" spans="1:35" x14ac:dyDescent="0.2">
      <c r="A153" s="69" t="s">
        <v>61</v>
      </c>
      <c r="B153" s="1" t="s">
        <v>712</v>
      </c>
      <c r="H153" s="1" t="s">
        <v>21</v>
      </c>
      <c r="I153" s="1" t="s">
        <v>719</v>
      </c>
      <c r="K153" s="2">
        <v>-188296</v>
      </c>
      <c r="L153" s="46">
        <v>32025</v>
      </c>
      <c r="M153" s="42" t="str">
        <f>LEFT(I153,(LEN(LEFT(I153,FIND(";",I153)))-8))</f>
        <v>VNHCM</v>
      </c>
      <c r="N153" s="42" t="s">
        <v>138</v>
      </c>
      <c r="O153" s="2">
        <f>IF($M153=O$3,-$K153,0)</f>
        <v>0</v>
      </c>
      <c r="P153" s="2">
        <f>IF($M153=P$3,-$K153,0)</f>
        <v>0</v>
      </c>
      <c r="Q153" s="2">
        <f>IF($M153=Q$3,-$K153,0)</f>
        <v>0</v>
      </c>
      <c r="R153" s="2">
        <f>IF($M153=R$3,-$K153,0)</f>
        <v>0</v>
      </c>
      <c r="S153" s="2">
        <f>IF($M153=S$3,-$K153,0)</f>
        <v>0</v>
      </c>
      <c r="T153" s="2">
        <f>IF($M153=T$3,-$K153,0)</f>
        <v>0</v>
      </c>
      <c r="U153" s="2">
        <f>IF($M153=U$3,-$K153,0)</f>
        <v>0</v>
      </c>
      <c r="V153" s="2">
        <f>IF($M153=V$3,-$K153,0)</f>
        <v>0</v>
      </c>
      <c r="W153" s="2">
        <f>IF($M153=W$3,-$K153,0)</f>
        <v>0</v>
      </c>
      <c r="X153" s="2">
        <f>IF($M153=X$3,-$K153,0)</f>
        <v>0</v>
      </c>
      <c r="Y153" s="2">
        <f>IF($M153=Y$3,-$K153,0)</f>
        <v>188296</v>
      </c>
      <c r="Z153" s="2">
        <f>IF($M153=Z$3,-$K153,0)</f>
        <v>0</v>
      </c>
      <c r="AA153" s="2">
        <f>IF($M153=AA$3,-$K153,0)</f>
        <v>0</v>
      </c>
      <c r="AB153" s="2">
        <f>IF($M153=AB$3,-$K153,0)</f>
        <v>0</v>
      </c>
      <c r="AC153" s="21">
        <f>IF($M153=AC$3,-$K153,0)</f>
        <v>0</v>
      </c>
      <c r="AD153" s="20"/>
      <c r="AE153" s="19"/>
      <c r="AF153" s="2"/>
      <c r="AG153" s="2">
        <f>-$K153</f>
        <v>188296</v>
      </c>
      <c r="AH153" s="2">
        <f>K153+SUM(O153:AC153)</f>
        <v>0</v>
      </c>
      <c r="AI153" s="2">
        <f>K153+SUM(AF153:AG153)</f>
        <v>0</v>
      </c>
    </row>
    <row r="154" spans="1:35" x14ac:dyDescent="0.2">
      <c r="A154" s="69" t="s">
        <v>61</v>
      </c>
      <c r="B154" s="1" t="s">
        <v>712</v>
      </c>
      <c r="H154" s="1" t="s">
        <v>156</v>
      </c>
      <c r="I154" s="1" t="s">
        <v>718</v>
      </c>
      <c r="K154" s="2">
        <v>0</v>
      </c>
      <c r="L154" s="46">
        <v>32025</v>
      </c>
      <c r="M154" s="42" t="str">
        <f>LEFT(I154,(LEN(LEFT(I154,FIND(";",I154)))-8))</f>
        <v>VNBG</v>
      </c>
      <c r="N154" s="42" t="s">
        <v>138</v>
      </c>
      <c r="O154" s="2">
        <f>IF($M154=O$3,-$K154,0)</f>
        <v>0</v>
      </c>
      <c r="P154" s="2">
        <f>IF($M154=P$3,-$K154,0)</f>
        <v>0</v>
      </c>
      <c r="Q154" s="2">
        <f>IF($M154=Q$3,-$K154,0)</f>
        <v>0</v>
      </c>
      <c r="R154" s="2">
        <f>IF($M154=R$3,-$K154,0)</f>
        <v>0</v>
      </c>
      <c r="S154" s="2">
        <f>IF($M154=S$3,-$K154,0)</f>
        <v>0</v>
      </c>
      <c r="T154" s="2">
        <f>IF($M154=T$3,-$K154,0)</f>
        <v>0</v>
      </c>
      <c r="U154" s="2">
        <f>IF($M154=U$3,-$K154,0)</f>
        <v>0</v>
      </c>
      <c r="V154" s="2">
        <f>IF($M154=V$3,-$K154,0)</f>
        <v>0</v>
      </c>
      <c r="W154" s="2">
        <f>IF($M154=W$3,-$K154,0)</f>
        <v>0</v>
      </c>
      <c r="X154" s="2">
        <f>IF($M154=X$3,-$K154,0)</f>
        <v>0</v>
      </c>
      <c r="Y154" s="2">
        <f>IF($M154=Y$3,-$K154,0)</f>
        <v>0</v>
      </c>
      <c r="Z154" s="2">
        <f>IF($M154=Z$3,-$K154,0)</f>
        <v>0</v>
      </c>
      <c r="AA154" s="2">
        <f>IF($M154=AA$3,-$K154,0)</f>
        <v>0</v>
      </c>
      <c r="AB154" s="2">
        <f>IF($M154=AB$3,-$K154,0)</f>
        <v>0</v>
      </c>
      <c r="AC154" s="21">
        <f>IF($M154=AC$3,-$K154,0)</f>
        <v>0</v>
      </c>
      <c r="AD154" s="20"/>
      <c r="AE154" s="19"/>
      <c r="AF154" s="2"/>
      <c r="AG154" s="2"/>
      <c r="AH154" s="2">
        <f>K154+SUM(O154:AC154)</f>
        <v>0</v>
      </c>
      <c r="AI154" s="2">
        <f>K154+SUM(AF154:AG154)</f>
        <v>0</v>
      </c>
    </row>
    <row r="155" spans="1:35" x14ac:dyDescent="0.2">
      <c r="A155" s="69" t="s">
        <v>61</v>
      </c>
      <c r="B155" s="1" t="s">
        <v>712</v>
      </c>
      <c r="H155" s="1" t="s">
        <v>19</v>
      </c>
      <c r="I155" s="1" t="s">
        <v>717</v>
      </c>
      <c r="K155" s="2">
        <v>-1284678</v>
      </c>
      <c r="L155" s="46">
        <v>32025</v>
      </c>
      <c r="M155" s="42" t="str">
        <f>LEFT(I155,(LEN(LEFT(I155,FIND(";",I155)))-8))</f>
        <v>VNQN</v>
      </c>
      <c r="N155" s="42" t="s">
        <v>138</v>
      </c>
      <c r="O155" s="2">
        <f>IF($M155=O$3,-$K155,0)</f>
        <v>0</v>
      </c>
      <c r="P155" s="2">
        <f>IF($M155=P$3,-$K155,0)</f>
        <v>0</v>
      </c>
      <c r="Q155" s="2">
        <f>IF($M155=Q$3,-$K155,0)</f>
        <v>0</v>
      </c>
      <c r="R155" s="2">
        <f>IF($M155=R$3,-$K155,0)</f>
        <v>0</v>
      </c>
      <c r="S155" s="2">
        <f>IF($M155=S$3,-$K155,0)</f>
        <v>0</v>
      </c>
      <c r="T155" s="2">
        <f>IF($M155=T$3,-$K155,0)</f>
        <v>1284678</v>
      </c>
      <c r="U155" s="2">
        <f>IF($M155=U$3,-$K155,0)</f>
        <v>0</v>
      </c>
      <c r="V155" s="2">
        <f>IF($M155=V$3,-$K155,0)</f>
        <v>0</v>
      </c>
      <c r="W155" s="2">
        <f>IF($M155=W$3,-$K155,0)</f>
        <v>0</v>
      </c>
      <c r="X155" s="2">
        <f>IF($M155=X$3,-$K155,0)</f>
        <v>0</v>
      </c>
      <c r="Y155" s="2">
        <f>IF($M155=Y$3,-$K155,0)</f>
        <v>0</v>
      </c>
      <c r="Z155" s="2">
        <f>IF($M155=Z$3,-$K155,0)</f>
        <v>0</v>
      </c>
      <c r="AA155" s="2">
        <f>IF($M155=AA$3,-$K155,0)</f>
        <v>0</v>
      </c>
      <c r="AB155" s="2">
        <f>IF($M155=AB$3,-$K155,0)</f>
        <v>0</v>
      </c>
      <c r="AC155" s="21">
        <f>IF($M155=AC$3,-$K155,0)</f>
        <v>0</v>
      </c>
      <c r="AD155" s="20"/>
      <c r="AE155" s="19"/>
      <c r="AF155" s="2"/>
      <c r="AG155" s="2">
        <f>-$K155</f>
        <v>1284678</v>
      </c>
      <c r="AH155" s="2">
        <f>K155+SUM(O155:AC155)</f>
        <v>0</v>
      </c>
      <c r="AI155" s="2">
        <f>K155+SUM(AF155:AG155)</f>
        <v>0</v>
      </c>
    </row>
    <row r="156" spans="1:35" x14ac:dyDescent="0.2">
      <c r="A156" s="69" t="s">
        <v>61</v>
      </c>
      <c r="B156" s="1" t="s">
        <v>712</v>
      </c>
      <c r="H156" s="1" t="s">
        <v>110</v>
      </c>
      <c r="I156" s="1" t="s">
        <v>716</v>
      </c>
      <c r="K156" s="2">
        <v>-804858</v>
      </c>
      <c r="L156" s="46">
        <v>32025</v>
      </c>
      <c r="M156" s="42" t="str">
        <f>LEFT(I156,(LEN(LEFT(I156,FIND(";",I156)))-8))</f>
        <v>VNOther</v>
      </c>
      <c r="N156" s="42" t="s">
        <v>138</v>
      </c>
      <c r="O156" s="15">
        <f>-$K156*IFERROR(INDEX('[1]salary allocation'!$E$6:$J$22,MATCH($H156,'[1]salary allocation'!$D$6:$D$22,0),MATCH(O$3,'[1]salary allocation'!$E$3:$J$3,0)),0)</f>
        <v>0</v>
      </c>
      <c r="P156" s="15">
        <f>-$K156*IFERROR(INDEX('[1]salary allocation'!$E$6:$J$22,MATCH($H156,'[1]salary allocation'!$D$6:$D$22,0),MATCH(P$3,'[1]salary allocation'!$E$3:$J$3,0)),0)</f>
        <v>120728.7</v>
      </c>
      <c r="Q156" s="15">
        <f>-$K156*IFERROR(INDEX('[1]salary allocation'!$E$6:$J$22,MATCH($H156,'[1]salary allocation'!$D$6:$D$22,0),MATCH(Q$3,'[1]salary allocation'!$E$3:$J$3,0)),0)</f>
        <v>0</v>
      </c>
      <c r="R156" s="15">
        <f>-$K156*IFERROR(INDEX('[1]salary allocation'!$E$6:$J$22,MATCH($H156,'[1]salary allocation'!$D$6:$D$22,0),MATCH(R$3,'[1]salary allocation'!$E$3:$J$3,0)),0)</f>
        <v>0</v>
      </c>
      <c r="S156" s="15">
        <f>-$K156*IFERROR(INDEX('[1]salary allocation'!$E$6:$J$22,MATCH($H156,'[1]salary allocation'!$D$6:$D$22,0),MATCH(S$3,'[1]salary allocation'!$E$3:$J$3,0)),0)</f>
        <v>136825.85999999999</v>
      </c>
      <c r="T156" s="15">
        <f>-$K156*IFERROR(INDEX('[1]salary allocation'!$E$6:$J$22,MATCH($H156,'[1]salary allocation'!$D$6:$D$22,0),MATCH(T$3,'[1]salary allocation'!$E$3:$J$3,0)),0)</f>
        <v>136825.85999999999</v>
      </c>
      <c r="U156" s="15">
        <f>-$K156*IFERROR(INDEX('[1]salary allocation'!$E$6:$J$22,MATCH($H156,'[1]salary allocation'!$D$6:$D$22,0),MATCH(U$3,'[1]salary allocation'!$E$3:$J$3,0)),0)</f>
        <v>136825.85999999999</v>
      </c>
      <c r="V156" s="15">
        <f>-$K156*IFERROR(INDEX('[1]salary allocation'!$E$6:$J$22,MATCH($H156,'[1]salary allocation'!$D$6:$D$22,0),MATCH(V$3,'[1]salary allocation'!$E$3:$J$3,0)),0)</f>
        <v>0</v>
      </c>
      <c r="W156" s="15">
        <f>-$K156*IFERROR(INDEX('[1]salary allocation'!$E$6:$J$22,MATCH($H156,'[1]salary allocation'!$D$6:$D$22,0),MATCH(W$3,'[1]salary allocation'!$E$3:$J$3,0)),0)</f>
        <v>273651.71999999997</v>
      </c>
      <c r="X156" s="15">
        <f>-$K156*IFERROR(INDEX('[1]salary allocation'!$E$6:$J$22,MATCH($H156,'[1]salary allocation'!$D$6:$D$22,0),MATCH(X$3,'[1]salary allocation'!$E$3:$J$3,0)),0)</f>
        <v>0</v>
      </c>
      <c r="Y156" s="15">
        <f>-$K156*IFERROR(INDEX('[1]salary allocation'!$E$6:$J$22,MATCH($H156,'[1]salary allocation'!$D$6:$D$22,0),MATCH(Y$3,'[1]salary allocation'!$E$3:$J$3,0)),0)</f>
        <v>0</v>
      </c>
      <c r="Z156" s="15">
        <f>-$K156*IFERROR(INDEX('[1]salary allocation'!$E$6:$J$22,MATCH($H156,'[1]salary allocation'!$D$6:$D$22,0),MATCH(Z$3,'[1]salary allocation'!$E$3:$J$3,0)),0)</f>
        <v>0</v>
      </c>
      <c r="AA156" s="15">
        <f>-$K156*IFERROR(INDEX('[1]salary allocation'!$E$6:$J$22,MATCH($H156,'[1]salary allocation'!$D$6:$D$22,0),MATCH(AA$3,'[1]salary allocation'!$E$3:$J$3,0)),0)</f>
        <v>0</v>
      </c>
      <c r="AB156" s="15">
        <f>-$K156*IFERROR(INDEX('[1]salary allocation'!$E$6:$J$22,MATCH($H156,'[1]salary allocation'!$D$6:$D$22,0),MATCH(AB$3,'[1]salary allocation'!$E$3:$J$3,0)),0)</f>
        <v>0</v>
      </c>
      <c r="AC156" s="18">
        <f>-$K156*IFERROR(INDEX('[1]salary allocation'!$E$6:$J$22,MATCH($H156,'[1]salary allocation'!$D$6:$D$22,0),MATCH(AC$3,'[1]salary allocation'!$E$3:$J$3,0)),0)</f>
        <v>0</v>
      </c>
      <c r="AD156" s="17"/>
      <c r="AE156" s="16"/>
      <c r="AF156" s="15">
        <f>-$K156</f>
        <v>804858</v>
      </c>
      <c r="AG156" s="15"/>
      <c r="AH156" s="2">
        <f>K156+SUM(O156:AC156)</f>
        <v>0</v>
      </c>
      <c r="AI156" s="2">
        <f>K156+SUM(AF156:AG156)</f>
        <v>0</v>
      </c>
    </row>
    <row r="157" spans="1:35" x14ac:dyDescent="0.2">
      <c r="A157" s="69" t="s">
        <v>61</v>
      </c>
      <c r="B157" s="1" t="s">
        <v>712</v>
      </c>
      <c r="H157" s="1" t="s">
        <v>153</v>
      </c>
      <c r="I157" s="1" t="s">
        <v>715</v>
      </c>
      <c r="K157" s="2">
        <v>-129046</v>
      </c>
      <c r="L157" s="46">
        <v>32025</v>
      </c>
      <c r="M157" s="42" t="str">
        <f>LEFT(I157,(LEN(LEFT(I157,FIND(";",I157)))-8))</f>
        <v>VNBN</v>
      </c>
      <c r="N157" s="42" t="s">
        <v>138</v>
      </c>
      <c r="O157" s="2">
        <f>IF($M157=O$3,-$K157,0)</f>
        <v>0</v>
      </c>
      <c r="P157" s="2">
        <f>IF($M157=P$3,-$K157,0)</f>
        <v>0</v>
      </c>
      <c r="Q157" s="2">
        <f>IF($M157=Q$3,-$K157,0)</f>
        <v>0</v>
      </c>
      <c r="R157" s="2">
        <f>IF($M157=R$3,-$K157,0)</f>
        <v>0</v>
      </c>
      <c r="S157" s="2">
        <f>IF($M157=S$3,-$K157,0)</f>
        <v>0</v>
      </c>
      <c r="T157" s="2">
        <f>IF($M157=T$3,-$K157,0)</f>
        <v>0</v>
      </c>
      <c r="U157" s="2">
        <f>IF($M157=U$3,-$K157,0)</f>
        <v>0</v>
      </c>
      <c r="V157" s="2">
        <f>IF($M157=V$3,-$K157,0)</f>
        <v>0</v>
      </c>
      <c r="W157" s="2">
        <f>IF($M157=W$3,-$K157,0)</f>
        <v>0</v>
      </c>
      <c r="X157" s="2">
        <f>IF($M157=X$3,-$K157,0)</f>
        <v>0</v>
      </c>
      <c r="Y157" s="2">
        <f>IF($M157=Y$3,-$K157,0)</f>
        <v>0</v>
      </c>
      <c r="Z157" s="2">
        <f>IF($M157=Z$3,-$K157,0)</f>
        <v>0</v>
      </c>
      <c r="AA157" s="2">
        <f>IF($M157=AA$3,-$K157,0)</f>
        <v>129046</v>
      </c>
      <c r="AB157" s="2">
        <f>IF($M157=AB$3,-$K157,0)</f>
        <v>0</v>
      </c>
      <c r="AC157" s="21">
        <f>IF($M157=AC$3,-$K157,0)</f>
        <v>0</v>
      </c>
      <c r="AD157" s="20"/>
      <c r="AE157" s="19"/>
      <c r="AF157" s="2"/>
      <c r="AG157" s="2">
        <f>-K157</f>
        <v>129046</v>
      </c>
      <c r="AH157" s="2">
        <f>K157+SUM(O157:AC157)</f>
        <v>0</v>
      </c>
      <c r="AI157" s="2">
        <f>K157+SUM(AF157:AG157)</f>
        <v>0</v>
      </c>
    </row>
    <row r="158" spans="1:35" x14ac:dyDescent="0.2">
      <c r="A158" s="69" t="s">
        <v>61</v>
      </c>
      <c r="B158" s="1" t="s">
        <v>712</v>
      </c>
      <c r="H158" s="1" t="s">
        <v>151</v>
      </c>
      <c r="I158" s="1" t="s">
        <v>714</v>
      </c>
      <c r="K158" s="2">
        <v>0</v>
      </c>
      <c r="L158" s="46">
        <v>32025</v>
      </c>
      <c r="M158" s="42" t="str">
        <f>LEFT(I158,(LEN(LEFT(I158,FIND(";",I158)))-8))</f>
        <v>VNQN</v>
      </c>
      <c r="N158" s="42" t="s">
        <v>138</v>
      </c>
      <c r="O158" s="2">
        <f>IF($M158=O$3,-$K158,0)</f>
        <v>0</v>
      </c>
      <c r="P158" s="2">
        <f>IF($M158=P$3,-$K158,0)</f>
        <v>0</v>
      </c>
      <c r="Q158" s="2">
        <f>IF($M158=Q$3,-$K158,0)</f>
        <v>0</v>
      </c>
      <c r="R158" s="2">
        <f>IF($M158=R$3,-$K158,0)</f>
        <v>0</v>
      </c>
      <c r="S158" s="2">
        <f>IF($M158=S$3,-$K158,0)</f>
        <v>0</v>
      </c>
      <c r="T158" s="2">
        <f>IF($M158=T$3,-$K158,0)</f>
        <v>0</v>
      </c>
      <c r="U158" s="2">
        <f>IF($M158=U$3,-$K158,0)</f>
        <v>0</v>
      </c>
      <c r="V158" s="2">
        <f>IF($M158=V$3,-$K158,0)</f>
        <v>0</v>
      </c>
      <c r="W158" s="2">
        <f>IF($M158=W$3,-$K158,0)</f>
        <v>0</v>
      </c>
      <c r="X158" s="2">
        <f>IF($M158=X$3,-$K158,0)</f>
        <v>0</v>
      </c>
      <c r="Y158" s="2">
        <f>IF($M158=Y$3,-$K158,0)</f>
        <v>0</v>
      </c>
      <c r="Z158" s="2">
        <f>IF($M158=Z$3,-$K158,0)</f>
        <v>0</v>
      </c>
      <c r="AA158" s="2">
        <f>IF($M158=AA$3,-$K158,0)</f>
        <v>0</v>
      </c>
      <c r="AB158" s="2">
        <f>IF($M158=AB$3,-$K158,0)</f>
        <v>0</v>
      </c>
      <c r="AC158" s="21">
        <f>IF($M158=AC$3,-$K158,0)</f>
        <v>0</v>
      </c>
      <c r="AD158" s="20"/>
      <c r="AE158" s="19"/>
      <c r="AF158" s="2"/>
      <c r="AG158" s="2">
        <f>-$K158</f>
        <v>0</v>
      </c>
      <c r="AH158" s="2">
        <f>K158+SUM(O158:AC158)</f>
        <v>0</v>
      </c>
      <c r="AI158" s="2">
        <f>K158+SUM(AF158:AG158)</f>
        <v>0</v>
      </c>
    </row>
    <row r="159" spans="1:35" x14ac:dyDescent="0.2">
      <c r="A159" s="69" t="s">
        <v>61</v>
      </c>
      <c r="B159" s="1" t="s">
        <v>712</v>
      </c>
      <c r="H159" s="1" t="s">
        <v>76</v>
      </c>
      <c r="I159" s="1" t="s">
        <v>713</v>
      </c>
      <c r="K159" s="2">
        <v>-16726278</v>
      </c>
      <c r="L159" s="46">
        <v>32025</v>
      </c>
      <c r="M159" s="42" t="str">
        <f>LEFT(I159,(LEN(LEFT(I159,FIND(";",I159)))-8))</f>
        <v>VNMOET</v>
      </c>
      <c r="N159" s="42" t="s">
        <v>138</v>
      </c>
      <c r="O159" s="2">
        <f>IF($M159=O$3,-$K159,0)</f>
        <v>0</v>
      </c>
      <c r="P159" s="2">
        <f>IF($M159=P$3,-$K159,0)</f>
        <v>0</v>
      </c>
      <c r="Q159" s="2">
        <f>IF($M159=Q$3,-$K159,0)</f>
        <v>0</v>
      </c>
      <c r="R159" s="2">
        <f>IF($M159=R$3,-$K159,0)</f>
        <v>0</v>
      </c>
      <c r="S159" s="2">
        <f>IF($M159=S$3,-$K159,0)</f>
        <v>0</v>
      </c>
      <c r="T159" s="2">
        <f>IF($M159=T$3,-$K159,0)</f>
        <v>0</v>
      </c>
      <c r="U159" s="2">
        <f>IF($M159=U$3,-$K159,0)</f>
        <v>0</v>
      </c>
      <c r="V159" s="2">
        <f>IF($M159=V$3,-$K159,0)</f>
        <v>0</v>
      </c>
      <c r="W159" s="2">
        <f>IF($M159=W$3,-$K159,0)</f>
        <v>16726278</v>
      </c>
      <c r="X159" s="2">
        <f>IF($M159=X$3,-$K159,0)</f>
        <v>0</v>
      </c>
      <c r="Y159" s="2">
        <f>IF($M159=Y$3,-$K159,0)</f>
        <v>0</v>
      </c>
      <c r="Z159" s="2">
        <f>IF($M159=Z$3,-$K159,0)</f>
        <v>0</v>
      </c>
      <c r="AA159" s="2">
        <f>IF($M159=AA$3,-$K159,0)</f>
        <v>0</v>
      </c>
      <c r="AB159" s="2">
        <f>IF($M159=AB$3,-$K159,0)</f>
        <v>0</v>
      </c>
      <c r="AC159" s="21">
        <f>IF($M159=AC$3,-$K159,0)</f>
        <v>0</v>
      </c>
      <c r="AD159" s="20"/>
      <c r="AE159" s="19"/>
      <c r="AF159" s="2">
        <f>-$K159</f>
        <v>16726278</v>
      </c>
      <c r="AG159" s="2"/>
      <c r="AH159" s="2">
        <f>K159+SUM(O159:AC159)</f>
        <v>0</v>
      </c>
      <c r="AI159" s="2">
        <f>K159+SUM(AF159:AG159)</f>
        <v>0</v>
      </c>
    </row>
    <row r="160" spans="1:35" x14ac:dyDescent="0.2">
      <c r="A160" s="69" t="s">
        <v>61</v>
      </c>
      <c r="B160" s="1" t="s">
        <v>712</v>
      </c>
      <c r="H160" s="1" t="s">
        <v>17</v>
      </c>
      <c r="I160" s="1" t="s">
        <v>711</v>
      </c>
      <c r="K160" s="2">
        <v>-10969</v>
      </c>
      <c r="L160" s="46">
        <v>32025</v>
      </c>
      <c r="M160" s="42" t="s">
        <v>394</v>
      </c>
      <c r="N160" s="42" t="s">
        <v>138</v>
      </c>
      <c r="O160" s="2">
        <f>IF($M160=O$3,-$K160,0)</f>
        <v>0</v>
      </c>
      <c r="P160" s="2">
        <f>IF($M160=P$3,-$K160,0)</f>
        <v>0</v>
      </c>
      <c r="Q160" s="2">
        <f>IF($M160=Q$3,-$K160,0)</f>
        <v>0</v>
      </c>
      <c r="R160" s="2">
        <f>IF($M160=R$3,-$K160,0)</f>
        <v>0</v>
      </c>
      <c r="S160" s="2">
        <f>IF($M160=S$3,-$K160,0)</f>
        <v>10969</v>
      </c>
      <c r="T160" s="2">
        <f>IF($M160=T$3,-$K160,0)</f>
        <v>0</v>
      </c>
      <c r="U160" s="2">
        <f>IF($M160=U$3,-$K160,0)</f>
        <v>0</v>
      </c>
      <c r="V160" s="2">
        <f>IF($M160=V$3,-$K160,0)</f>
        <v>0</v>
      </c>
      <c r="W160" s="2">
        <f>IF($M160=W$3,-$K160,0)</f>
        <v>0</v>
      </c>
      <c r="X160" s="2">
        <f>IF($M160=X$3,-$K160,0)</f>
        <v>0</v>
      </c>
      <c r="Y160" s="2">
        <f>IF($M160=Y$3,-$K160,0)</f>
        <v>0</v>
      </c>
      <c r="Z160" s="2">
        <f>IF($M160=Z$3,-$K160,0)</f>
        <v>0</v>
      </c>
      <c r="AA160" s="2">
        <f>IF($M160=AA$3,-$K160,0)</f>
        <v>0</v>
      </c>
      <c r="AB160" s="2">
        <f>IF($M160=AB$3,-$K160,0)</f>
        <v>0</v>
      </c>
      <c r="AC160" s="21">
        <f>IF($M160=AC$3,-$K160,0)</f>
        <v>0</v>
      </c>
      <c r="AD160" s="20"/>
      <c r="AE160" s="19"/>
      <c r="AF160" s="2"/>
      <c r="AG160" s="2">
        <f>-$K160</f>
        <v>10969</v>
      </c>
      <c r="AH160" s="2">
        <f>K160+SUM(O160:AC160)</f>
        <v>0</v>
      </c>
      <c r="AI160" s="2">
        <f>K160+SUM(AF160:AG160)</f>
        <v>0</v>
      </c>
    </row>
    <row r="161" spans="1:35" x14ac:dyDescent="0.2">
      <c r="A161" s="1" t="s">
        <v>3</v>
      </c>
      <c r="B161" s="53" t="s">
        <v>684</v>
      </c>
      <c r="H161" s="1" t="s">
        <v>135</v>
      </c>
      <c r="I161" s="1" t="s">
        <v>710</v>
      </c>
      <c r="K161" s="2">
        <v>0</v>
      </c>
      <c r="L161" s="46">
        <v>32025</v>
      </c>
      <c r="M161" s="42" t="str">
        <f>LEFT(I161,(LEN(LEFT(I161,FIND(";",I161)))-8))</f>
        <v>VNOther</v>
      </c>
      <c r="N161" s="42" t="s">
        <v>138</v>
      </c>
      <c r="O161" s="15">
        <f>-$K161*IFERROR(INDEX('[1]salary allocation'!$E$6:$J$22,MATCH($H161,'[1]salary allocation'!$D$6:$D$22,0),MATCH(O$3,'[1]salary allocation'!$E$3:$J$3,0)),0)</f>
        <v>0</v>
      </c>
      <c r="P161" s="15">
        <f>-$K161*IFERROR(INDEX('[1]salary allocation'!$E$6:$J$22,MATCH($H161,'[1]salary allocation'!$D$6:$D$22,0),MATCH(P$3,'[1]salary allocation'!$E$3:$J$3,0)),0)</f>
        <v>0</v>
      </c>
      <c r="Q161" s="15">
        <f>-$K161*IFERROR(INDEX('[1]salary allocation'!$E$6:$J$22,MATCH($H161,'[1]salary allocation'!$D$6:$D$22,0),MATCH(Q$3,'[1]salary allocation'!$E$3:$J$3,0)),0)</f>
        <v>0</v>
      </c>
      <c r="R161" s="15">
        <f>-$K161*IFERROR(INDEX('[1]salary allocation'!$E$6:$J$22,MATCH($H161,'[1]salary allocation'!$D$6:$D$22,0),MATCH(R$3,'[1]salary allocation'!$E$3:$J$3,0)),0)</f>
        <v>0</v>
      </c>
      <c r="S161" s="15">
        <f>-$K161*IFERROR(INDEX('[1]salary allocation'!$E$6:$J$22,MATCH($H161,'[1]salary allocation'!$D$6:$D$22,0),MATCH(S$3,'[1]salary allocation'!$E$3:$J$3,0)),0)</f>
        <v>0</v>
      </c>
      <c r="T161" s="15">
        <f>-$K161*IFERROR(INDEX('[1]salary allocation'!$E$6:$J$22,MATCH($H161,'[1]salary allocation'!$D$6:$D$22,0),MATCH(T$3,'[1]salary allocation'!$E$3:$J$3,0)),0)</f>
        <v>0</v>
      </c>
      <c r="U161" s="15">
        <f>-$K161*IFERROR(INDEX('[1]salary allocation'!$E$6:$J$22,MATCH($H161,'[1]salary allocation'!$D$6:$D$22,0),MATCH(U$3,'[1]salary allocation'!$E$3:$J$3,0)),0)</f>
        <v>0</v>
      </c>
      <c r="V161" s="15">
        <f>-$K161*IFERROR(INDEX('[1]salary allocation'!$E$6:$J$22,MATCH($H161,'[1]salary allocation'!$D$6:$D$22,0),MATCH(V$3,'[1]salary allocation'!$E$3:$J$3,0)),0)</f>
        <v>0</v>
      </c>
      <c r="W161" s="15">
        <f>-$K161*IFERROR(INDEX('[1]salary allocation'!$E$6:$J$22,MATCH($H161,'[1]salary allocation'!$D$6:$D$22,0),MATCH(W$3,'[1]salary allocation'!$E$3:$J$3,0)),0)</f>
        <v>0</v>
      </c>
      <c r="X161" s="15">
        <f>-$K161*IFERROR(INDEX('[1]salary allocation'!$E$6:$J$22,MATCH($H161,'[1]salary allocation'!$D$6:$D$22,0),MATCH(X$3,'[1]salary allocation'!$E$3:$J$3,0)),0)</f>
        <v>0</v>
      </c>
      <c r="Y161" s="15">
        <f>-$K161*IFERROR(INDEX('[1]salary allocation'!$E$6:$J$22,MATCH($H161,'[1]salary allocation'!$D$6:$D$22,0),MATCH(Y$3,'[1]salary allocation'!$E$3:$J$3,0)),0)</f>
        <v>0</v>
      </c>
      <c r="Z161" s="15">
        <f>-$K161*IFERROR(INDEX('[1]salary allocation'!$E$6:$J$22,MATCH($H161,'[1]salary allocation'!$D$6:$D$22,0),MATCH(Z$3,'[1]salary allocation'!$E$3:$J$3,0)),0)</f>
        <v>0</v>
      </c>
      <c r="AA161" s="15">
        <f>-$K161*IFERROR(INDEX('[1]salary allocation'!$E$6:$J$22,MATCH($H161,'[1]salary allocation'!$D$6:$D$22,0),MATCH(AA$3,'[1]salary allocation'!$E$3:$J$3,0)),0)</f>
        <v>0</v>
      </c>
      <c r="AB161" s="15">
        <f>-$K161*IFERROR(INDEX('[1]salary allocation'!$E$6:$J$22,MATCH($H161,'[1]salary allocation'!$D$6:$D$22,0),MATCH(AB$3,'[1]salary allocation'!$E$3:$J$3,0)),0)</f>
        <v>0</v>
      </c>
      <c r="AC161" s="18">
        <f>-$K161*IFERROR(INDEX('[1]salary allocation'!$E$6:$J$22,MATCH($H161,'[1]salary allocation'!$D$6:$D$22,0),MATCH(AC$3,'[1]salary allocation'!$E$3:$J$3,0)),0)</f>
        <v>0</v>
      </c>
      <c r="AD161" s="17"/>
      <c r="AE161" s="16"/>
      <c r="AF161" s="15">
        <f>-$K161</f>
        <v>0</v>
      </c>
      <c r="AG161" s="15"/>
      <c r="AH161" s="2">
        <f>K161+SUM(O161:AC161)</f>
        <v>0</v>
      </c>
      <c r="AI161" s="2">
        <f>K161+SUM(AF161:AG161)</f>
        <v>0</v>
      </c>
    </row>
    <row r="162" spans="1:35" x14ac:dyDescent="0.2">
      <c r="A162" s="1" t="s">
        <v>3</v>
      </c>
      <c r="B162" s="53" t="s">
        <v>684</v>
      </c>
      <c r="H162" s="1" t="s">
        <v>57</v>
      </c>
      <c r="I162" s="1" t="s">
        <v>709</v>
      </c>
      <c r="K162" s="2">
        <v>-15255640</v>
      </c>
      <c r="L162" s="46">
        <v>32025</v>
      </c>
      <c r="M162" s="42" t="str">
        <f>LEFT(I162,(LEN(LEFT(I162,FIND(";",I162)))-8))</f>
        <v>VNOther</v>
      </c>
      <c r="N162" s="42" t="s">
        <v>138</v>
      </c>
      <c r="O162" s="15">
        <f>-$K162*IFERROR(INDEX('[1]salary allocation'!$E$6:$J$22,MATCH($H162,'[1]salary allocation'!$D$6:$D$22,0),MATCH(O$3,'[1]salary allocation'!$E$3:$J$3,0)),0)</f>
        <v>0</v>
      </c>
      <c r="P162" s="15">
        <f>-$K162*IFERROR(INDEX('[1]salary allocation'!$E$6:$J$22,MATCH($H162,'[1]salary allocation'!$D$6:$D$22,0),MATCH(P$3,'[1]salary allocation'!$E$3:$J$3,0)),0)</f>
        <v>7627820</v>
      </c>
      <c r="Q162" s="15">
        <f>-$K162*IFERROR(INDEX('[1]salary allocation'!$E$6:$J$22,MATCH($H162,'[1]salary allocation'!$D$6:$D$22,0),MATCH(Q$3,'[1]salary allocation'!$E$3:$J$3,0)),0)</f>
        <v>0</v>
      </c>
      <c r="R162" s="15">
        <f>-$K162*IFERROR(INDEX('[1]salary allocation'!$E$6:$J$22,MATCH($H162,'[1]salary allocation'!$D$6:$D$22,0),MATCH(R$3,'[1]salary allocation'!$E$3:$J$3,0)),0)</f>
        <v>0</v>
      </c>
      <c r="S162" s="15">
        <f>-$K162*IFERROR(INDEX('[1]salary allocation'!$E$6:$J$22,MATCH($H162,'[1]salary allocation'!$D$6:$D$22,0),MATCH(S$3,'[1]salary allocation'!$E$3:$J$3,0)),0)</f>
        <v>1525564</v>
      </c>
      <c r="T162" s="15">
        <f>-$K162*IFERROR(INDEX('[1]salary allocation'!$E$6:$J$22,MATCH($H162,'[1]salary allocation'!$D$6:$D$22,0),MATCH(T$3,'[1]salary allocation'!$E$3:$J$3,0)),0)</f>
        <v>1525564</v>
      </c>
      <c r="U162" s="15">
        <f>-$K162*IFERROR(INDEX('[1]salary allocation'!$E$6:$J$22,MATCH($H162,'[1]salary allocation'!$D$6:$D$22,0),MATCH(U$3,'[1]salary allocation'!$E$3:$J$3,0)),0)</f>
        <v>1525564</v>
      </c>
      <c r="V162" s="15">
        <f>-$K162*IFERROR(INDEX('[1]salary allocation'!$E$6:$J$22,MATCH($H162,'[1]salary allocation'!$D$6:$D$22,0),MATCH(V$3,'[1]salary allocation'!$E$3:$J$3,0)),0)</f>
        <v>0</v>
      </c>
      <c r="W162" s="15">
        <f>-$K162*IFERROR(INDEX('[1]salary allocation'!$E$6:$J$22,MATCH($H162,'[1]salary allocation'!$D$6:$D$22,0),MATCH(W$3,'[1]salary allocation'!$E$3:$J$3,0)),0)</f>
        <v>3051128</v>
      </c>
      <c r="X162" s="15">
        <f>-$K162*IFERROR(INDEX('[1]salary allocation'!$E$6:$J$22,MATCH($H162,'[1]salary allocation'!$D$6:$D$22,0),MATCH(X$3,'[1]salary allocation'!$E$3:$J$3,0)),0)</f>
        <v>0</v>
      </c>
      <c r="Y162" s="15">
        <f>-$K162*IFERROR(INDEX('[1]salary allocation'!$E$6:$J$22,MATCH($H162,'[1]salary allocation'!$D$6:$D$22,0),MATCH(Y$3,'[1]salary allocation'!$E$3:$J$3,0)),0)</f>
        <v>0</v>
      </c>
      <c r="Z162" s="15">
        <f>-$K162*IFERROR(INDEX('[1]salary allocation'!$E$6:$J$22,MATCH($H162,'[1]salary allocation'!$D$6:$D$22,0),MATCH(Z$3,'[1]salary allocation'!$E$3:$J$3,0)),0)</f>
        <v>0</v>
      </c>
      <c r="AA162" s="15">
        <f>-$K162*IFERROR(INDEX('[1]salary allocation'!$E$6:$J$22,MATCH($H162,'[1]salary allocation'!$D$6:$D$22,0),MATCH(AA$3,'[1]salary allocation'!$E$3:$J$3,0)),0)</f>
        <v>0</v>
      </c>
      <c r="AB162" s="15">
        <f>-$K162*IFERROR(INDEX('[1]salary allocation'!$E$6:$J$22,MATCH($H162,'[1]salary allocation'!$D$6:$D$22,0),MATCH(AB$3,'[1]salary allocation'!$E$3:$J$3,0)),0)</f>
        <v>0</v>
      </c>
      <c r="AC162" s="18">
        <f>-$K162*IFERROR(INDEX('[1]salary allocation'!$E$6:$J$22,MATCH($H162,'[1]salary allocation'!$D$6:$D$22,0),MATCH(AC$3,'[1]salary allocation'!$E$3:$J$3,0)),0)</f>
        <v>0</v>
      </c>
      <c r="AD162" s="17"/>
      <c r="AE162" s="16"/>
      <c r="AF162" s="15">
        <f>-$K162</f>
        <v>15255640</v>
      </c>
      <c r="AG162" s="15"/>
      <c r="AH162" s="2">
        <f>K162+SUM(O162:AC162)</f>
        <v>0</v>
      </c>
      <c r="AI162" s="2">
        <f>K162+SUM(AF162:AG162)</f>
        <v>0</v>
      </c>
    </row>
    <row r="163" spans="1:35" x14ac:dyDescent="0.2">
      <c r="A163" s="1" t="s">
        <v>3</v>
      </c>
      <c r="B163" s="53" t="s">
        <v>684</v>
      </c>
      <c r="H163" s="1" t="s">
        <v>55</v>
      </c>
      <c r="I163" s="1" t="s">
        <v>708</v>
      </c>
      <c r="K163" s="2">
        <v>-15395850</v>
      </c>
      <c r="L163" s="46">
        <v>32025</v>
      </c>
      <c r="M163" s="42" t="str">
        <f>LEFT(I163,(LEN(LEFT(I163,FIND(";",I163)))-8))</f>
        <v>VNHBC</v>
      </c>
      <c r="N163" s="42" t="s">
        <v>138</v>
      </c>
      <c r="O163" s="15">
        <f>-$K163*IFERROR(INDEX('[1]salary allocation'!$E$6:$J$22,MATCH($H163,'[1]salary allocation'!$D$6:$D$22,0),MATCH(O$3,'[1]salary allocation'!$E$3:$J$3,0)),0)</f>
        <v>0</v>
      </c>
      <c r="P163" s="15">
        <f>-$K163*IFERROR(INDEX('[1]salary allocation'!$E$6:$J$22,MATCH($H163,'[1]salary allocation'!$D$6:$D$22,0),MATCH(P$3,'[1]salary allocation'!$E$3:$J$3,0)),0)</f>
        <v>0</v>
      </c>
      <c r="Q163" s="15">
        <f>-$K163*IFERROR(INDEX('[1]salary allocation'!$E$6:$J$22,MATCH($H163,'[1]salary allocation'!$D$6:$D$22,0),MATCH(Q$3,'[1]salary allocation'!$E$3:$J$3,0)),0)</f>
        <v>0</v>
      </c>
      <c r="R163" s="15">
        <f>-$K163*IFERROR(INDEX('[1]salary allocation'!$E$6:$J$22,MATCH($H163,'[1]salary allocation'!$D$6:$D$22,0),MATCH(R$3,'[1]salary allocation'!$E$3:$J$3,0)),0)</f>
        <v>0</v>
      </c>
      <c r="S163" s="15">
        <f>-$K163*IFERROR(INDEX('[1]salary allocation'!$E$6:$J$22,MATCH($H163,'[1]salary allocation'!$D$6:$D$22,0),MATCH(S$3,'[1]salary allocation'!$E$3:$J$3,0)),0)</f>
        <v>3079170</v>
      </c>
      <c r="T163" s="15">
        <f>-$K163*IFERROR(INDEX('[1]salary allocation'!$E$6:$J$22,MATCH($H163,'[1]salary allocation'!$D$6:$D$22,0),MATCH(T$3,'[1]salary allocation'!$E$3:$J$3,0)),0)</f>
        <v>3079170</v>
      </c>
      <c r="U163" s="15">
        <f>-$K163*IFERROR(INDEX('[1]salary allocation'!$E$6:$J$22,MATCH($H163,'[1]salary allocation'!$D$6:$D$22,0),MATCH(U$3,'[1]salary allocation'!$E$3:$J$3,0)),0)</f>
        <v>3079170</v>
      </c>
      <c r="V163" s="15">
        <f>-$K163*IFERROR(INDEX('[1]salary allocation'!$E$6:$J$22,MATCH($H163,'[1]salary allocation'!$D$6:$D$22,0),MATCH(V$3,'[1]salary allocation'!$E$3:$J$3,0)),0)</f>
        <v>0</v>
      </c>
      <c r="W163" s="15">
        <f>-$K163*IFERROR(INDEX('[1]salary allocation'!$E$6:$J$22,MATCH($H163,'[1]salary allocation'!$D$6:$D$22,0),MATCH(W$3,'[1]salary allocation'!$E$3:$J$3,0)),0)</f>
        <v>6158340</v>
      </c>
      <c r="X163" s="15">
        <f>-$K163*IFERROR(INDEX('[1]salary allocation'!$E$6:$J$22,MATCH($H163,'[1]salary allocation'!$D$6:$D$22,0),MATCH(X$3,'[1]salary allocation'!$E$3:$J$3,0)),0)</f>
        <v>0</v>
      </c>
      <c r="Y163" s="15">
        <f>-$K163*IFERROR(INDEX('[1]salary allocation'!$E$6:$J$22,MATCH($H163,'[1]salary allocation'!$D$6:$D$22,0),MATCH(Y$3,'[1]salary allocation'!$E$3:$J$3,0)),0)</f>
        <v>0</v>
      </c>
      <c r="Z163" s="15">
        <f>-$K163*IFERROR(INDEX('[1]salary allocation'!$E$6:$J$22,MATCH($H163,'[1]salary allocation'!$D$6:$D$22,0),MATCH(Z$3,'[1]salary allocation'!$E$3:$J$3,0)),0)</f>
        <v>0</v>
      </c>
      <c r="AA163" s="15">
        <f>-$K163*IFERROR(INDEX('[1]salary allocation'!$E$6:$J$22,MATCH($H163,'[1]salary allocation'!$D$6:$D$22,0),MATCH(AA$3,'[1]salary allocation'!$E$3:$J$3,0)),0)</f>
        <v>0</v>
      </c>
      <c r="AB163" s="15">
        <f>-$K163*IFERROR(INDEX('[1]salary allocation'!$E$6:$J$22,MATCH($H163,'[1]salary allocation'!$D$6:$D$22,0),MATCH(AB$3,'[1]salary allocation'!$E$3:$J$3,0)),0)</f>
        <v>0</v>
      </c>
      <c r="AC163" s="18">
        <f>-$K163*IFERROR(INDEX('[1]salary allocation'!$E$6:$J$22,MATCH($H163,'[1]salary allocation'!$D$6:$D$22,0),MATCH(AC$3,'[1]salary allocation'!$E$3:$J$3,0)),0)</f>
        <v>0</v>
      </c>
      <c r="AD163" s="17"/>
      <c r="AE163" s="16"/>
      <c r="AF163" s="15"/>
      <c r="AG163" s="15">
        <f>-$K163</f>
        <v>15395850</v>
      </c>
      <c r="AH163" s="2">
        <f>K163+SUM(O163:AC163)</f>
        <v>0</v>
      </c>
      <c r="AI163" s="2">
        <f>K163+SUM(AF163:AG163)</f>
        <v>0</v>
      </c>
    </row>
    <row r="164" spans="1:35" x14ac:dyDescent="0.2">
      <c r="A164" s="1" t="s">
        <v>3</v>
      </c>
      <c r="B164" s="53" t="s">
        <v>684</v>
      </c>
      <c r="H164" s="1" t="s">
        <v>53</v>
      </c>
      <c r="I164" s="1" t="s">
        <v>707</v>
      </c>
      <c r="K164" s="2">
        <v>-15135390</v>
      </c>
      <c r="L164" s="46">
        <v>32025</v>
      </c>
      <c r="M164" s="42" t="str">
        <f>LEFT(I164,(LEN(LEFT(I164,FIND(";",I164)))-8))</f>
        <v>VNOther</v>
      </c>
      <c r="N164" s="42" t="s">
        <v>138</v>
      </c>
      <c r="O164" s="15">
        <f>-$K164*IFERROR(INDEX('[1]salary allocation'!$E$6:$J$22,MATCH($H164,'[1]salary allocation'!$D$6:$D$22,0),MATCH(O$3,'[1]salary allocation'!$E$3:$J$3,0)),0)</f>
        <v>0</v>
      </c>
      <c r="P164" s="15">
        <f>-$K164*IFERROR(INDEX('[1]salary allocation'!$E$6:$J$22,MATCH($H164,'[1]salary allocation'!$D$6:$D$22,0),MATCH(P$3,'[1]salary allocation'!$E$3:$J$3,0)),0)</f>
        <v>2270308.5</v>
      </c>
      <c r="Q164" s="15">
        <f>-$K164*IFERROR(INDEX('[1]salary allocation'!$E$6:$J$22,MATCH($H164,'[1]salary allocation'!$D$6:$D$22,0),MATCH(Q$3,'[1]salary allocation'!$E$3:$J$3,0)),0)</f>
        <v>0</v>
      </c>
      <c r="R164" s="15">
        <f>-$K164*IFERROR(INDEX('[1]salary allocation'!$E$6:$J$22,MATCH($H164,'[1]salary allocation'!$D$6:$D$22,0),MATCH(R$3,'[1]salary allocation'!$E$3:$J$3,0)),0)</f>
        <v>0</v>
      </c>
      <c r="S164" s="15">
        <f>-$K164*IFERROR(INDEX('[1]salary allocation'!$E$6:$J$22,MATCH($H164,'[1]salary allocation'!$D$6:$D$22,0),MATCH(S$3,'[1]salary allocation'!$E$3:$J$3,0)),0)</f>
        <v>2573016.2999999998</v>
      </c>
      <c r="T164" s="15">
        <f>-$K164*IFERROR(INDEX('[1]salary allocation'!$E$6:$J$22,MATCH($H164,'[1]salary allocation'!$D$6:$D$22,0),MATCH(T$3,'[1]salary allocation'!$E$3:$J$3,0)),0)</f>
        <v>2573016.2999999998</v>
      </c>
      <c r="U164" s="15">
        <f>-$K164*IFERROR(INDEX('[1]salary allocation'!$E$6:$J$22,MATCH($H164,'[1]salary allocation'!$D$6:$D$22,0),MATCH(U$3,'[1]salary allocation'!$E$3:$J$3,0)),0)</f>
        <v>2573016.2999999998</v>
      </c>
      <c r="V164" s="15">
        <f>-$K164*IFERROR(INDEX('[1]salary allocation'!$E$6:$J$22,MATCH($H164,'[1]salary allocation'!$D$6:$D$22,0),MATCH(V$3,'[1]salary allocation'!$E$3:$J$3,0)),0)</f>
        <v>0</v>
      </c>
      <c r="W164" s="15">
        <f>-$K164*IFERROR(INDEX('[1]salary allocation'!$E$6:$J$22,MATCH($H164,'[1]salary allocation'!$D$6:$D$22,0),MATCH(W$3,'[1]salary allocation'!$E$3:$J$3,0)),0)</f>
        <v>5146032.5999999996</v>
      </c>
      <c r="X164" s="15">
        <f>-$K164*IFERROR(INDEX('[1]salary allocation'!$E$6:$J$22,MATCH($H164,'[1]salary allocation'!$D$6:$D$22,0),MATCH(X$3,'[1]salary allocation'!$E$3:$J$3,0)),0)</f>
        <v>0</v>
      </c>
      <c r="Y164" s="15">
        <f>-$K164*IFERROR(INDEX('[1]salary allocation'!$E$6:$J$22,MATCH($H164,'[1]salary allocation'!$D$6:$D$22,0),MATCH(Y$3,'[1]salary allocation'!$E$3:$J$3,0)),0)</f>
        <v>0</v>
      </c>
      <c r="Z164" s="15">
        <f>-$K164*IFERROR(INDEX('[1]salary allocation'!$E$6:$J$22,MATCH($H164,'[1]salary allocation'!$D$6:$D$22,0),MATCH(Z$3,'[1]salary allocation'!$E$3:$J$3,0)),0)</f>
        <v>0</v>
      </c>
      <c r="AA164" s="15">
        <f>-$K164*IFERROR(INDEX('[1]salary allocation'!$E$6:$J$22,MATCH($H164,'[1]salary allocation'!$D$6:$D$22,0),MATCH(AA$3,'[1]salary allocation'!$E$3:$J$3,0)),0)</f>
        <v>0</v>
      </c>
      <c r="AB164" s="15">
        <f>-$K164*IFERROR(INDEX('[1]salary allocation'!$E$6:$J$22,MATCH($H164,'[1]salary allocation'!$D$6:$D$22,0),MATCH(AB$3,'[1]salary allocation'!$E$3:$J$3,0)),0)</f>
        <v>0</v>
      </c>
      <c r="AC164" s="18">
        <f>-$K164*IFERROR(INDEX('[1]salary allocation'!$E$6:$J$22,MATCH($H164,'[1]salary allocation'!$D$6:$D$22,0),MATCH(AC$3,'[1]salary allocation'!$E$3:$J$3,0)),0)</f>
        <v>0</v>
      </c>
      <c r="AD164" s="17"/>
      <c r="AE164" s="16"/>
      <c r="AF164" s="15">
        <f>-$K164</f>
        <v>15135390</v>
      </c>
      <c r="AG164" s="15"/>
      <c r="AH164" s="2">
        <f>K164+SUM(O164:AC164)</f>
        <v>0</v>
      </c>
      <c r="AI164" s="2">
        <f>K164+SUM(AF164:AG164)</f>
        <v>0</v>
      </c>
    </row>
    <row r="165" spans="1:35" x14ac:dyDescent="0.2">
      <c r="A165" s="1" t="s">
        <v>3</v>
      </c>
      <c r="B165" s="53" t="s">
        <v>684</v>
      </c>
      <c r="H165" s="1" t="s">
        <v>51</v>
      </c>
      <c r="I165" s="1" t="s">
        <v>706</v>
      </c>
      <c r="K165" s="2">
        <v>-13125207</v>
      </c>
      <c r="L165" s="46">
        <v>32025</v>
      </c>
      <c r="M165" s="42" t="str">
        <f>LEFT(I165,(LEN(LEFT(I165,FIND(";",I165)))-8))</f>
        <v>VNOther</v>
      </c>
      <c r="N165" s="42" t="s">
        <v>138</v>
      </c>
      <c r="O165" s="15">
        <f>-$K165*IFERROR(INDEX('[1]salary allocation'!$E$6:$J$22,MATCH($H165,'[1]salary allocation'!$D$6:$D$22,0),MATCH(O$3,'[1]salary allocation'!$E$3:$J$3,0)),0)</f>
        <v>0</v>
      </c>
      <c r="P165" s="15">
        <f>-$K165*IFERROR(INDEX('[1]salary allocation'!$E$6:$J$22,MATCH($H165,'[1]salary allocation'!$D$6:$D$22,0),MATCH(P$3,'[1]salary allocation'!$E$3:$J$3,0)),0)</f>
        <v>6562603.5</v>
      </c>
      <c r="Q165" s="15">
        <f>-$K165*IFERROR(INDEX('[1]salary allocation'!$E$6:$J$22,MATCH($H165,'[1]salary allocation'!$D$6:$D$22,0),MATCH(Q$3,'[1]salary allocation'!$E$3:$J$3,0)),0)</f>
        <v>0</v>
      </c>
      <c r="R165" s="15">
        <f>-$K165*IFERROR(INDEX('[1]salary allocation'!$E$6:$J$22,MATCH($H165,'[1]salary allocation'!$D$6:$D$22,0),MATCH(R$3,'[1]salary allocation'!$E$3:$J$3,0)),0)</f>
        <v>0</v>
      </c>
      <c r="S165" s="15">
        <f>-$K165*IFERROR(INDEX('[1]salary allocation'!$E$6:$J$22,MATCH($H165,'[1]salary allocation'!$D$6:$D$22,0),MATCH(S$3,'[1]salary allocation'!$E$3:$J$3,0)),0)</f>
        <v>1312520.7000000002</v>
      </c>
      <c r="T165" s="15">
        <f>-$K165*IFERROR(INDEX('[1]salary allocation'!$E$6:$J$22,MATCH($H165,'[1]salary allocation'!$D$6:$D$22,0),MATCH(T$3,'[1]salary allocation'!$E$3:$J$3,0)),0)</f>
        <v>1312520.7000000002</v>
      </c>
      <c r="U165" s="15">
        <f>-$K165*IFERROR(INDEX('[1]salary allocation'!$E$6:$J$22,MATCH($H165,'[1]salary allocation'!$D$6:$D$22,0),MATCH(U$3,'[1]salary allocation'!$E$3:$J$3,0)),0)</f>
        <v>1312520.7000000002</v>
      </c>
      <c r="V165" s="15">
        <f>-$K165*IFERROR(INDEX('[1]salary allocation'!$E$6:$J$22,MATCH($H165,'[1]salary allocation'!$D$6:$D$22,0),MATCH(V$3,'[1]salary allocation'!$E$3:$J$3,0)),0)</f>
        <v>0</v>
      </c>
      <c r="W165" s="15">
        <f>-$K165*IFERROR(INDEX('[1]salary allocation'!$E$6:$J$22,MATCH($H165,'[1]salary allocation'!$D$6:$D$22,0),MATCH(W$3,'[1]salary allocation'!$E$3:$J$3,0)),0)</f>
        <v>2625041.4000000004</v>
      </c>
      <c r="X165" s="15">
        <f>-$K165*IFERROR(INDEX('[1]salary allocation'!$E$6:$J$22,MATCH($H165,'[1]salary allocation'!$D$6:$D$22,0),MATCH(X$3,'[1]salary allocation'!$E$3:$J$3,0)),0)</f>
        <v>0</v>
      </c>
      <c r="Y165" s="15">
        <f>-$K165*IFERROR(INDEX('[1]salary allocation'!$E$6:$J$22,MATCH($H165,'[1]salary allocation'!$D$6:$D$22,0),MATCH(Y$3,'[1]salary allocation'!$E$3:$J$3,0)),0)</f>
        <v>0</v>
      </c>
      <c r="Z165" s="15">
        <f>-$K165*IFERROR(INDEX('[1]salary allocation'!$E$6:$J$22,MATCH($H165,'[1]salary allocation'!$D$6:$D$22,0),MATCH(Z$3,'[1]salary allocation'!$E$3:$J$3,0)),0)</f>
        <v>0</v>
      </c>
      <c r="AA165" s="15">
        <f>-$K165*IFERROR(INDEX('[1]salary allocation'!$E$6:$J$22,MATCH($H165,'[1]salary allocation'!$D$6:$D$22,0),MATCH(AA$3,'[1]salary allocation'!$E$3:$J$3,0)),0)</f>
        <v>0</v>
      </c>
      <c r="AB165" s="15">
        <f>-$K165*IFERROR(INDEX('[1]salary allocation'!$E$6:$J$22,MATCH($H165,'[1]salary allocation'!$D$6:$D$22,0),MATCH(AB$3,'[1]salary allocation'!$E$3:$J$3,0)),0)</f>
        <v>0</v>
      </c>
      <c r="AC165" s="18">
        <f>-$K165*IFERROR(INDEX('[1]salary allocation'!$E$6:$J$22,MATCH($H165,'[1]salary allocation'!$D$6:$D$22,0),MATCH(AC$3,'[1]salary allocation'!$E$3:$J$3,0)),0)</f>
        <v>0</v>
      </c>
      <c r="AD165" s="17"/>
      <c r="AE165" s="16"/>
      <c r="AF165" s="15">
        <f>-$K165</f>
        <v>13125207</v>
      </c>
      <c r="AG165" s="15"/>
      <c r="AH165" s="2">
        <f>K165+SUM(O165:AC165)</f>
        <v>0</v>
      </c>
      <c r="AI165" s="2">
        <f>K165+SUM(AF165:AG165)</f>
        <v>0</v>
      </c>
    </row>
    <row r="166" spans="1:35" x14ac:dyDescent="0.2">
      <c r="A166" s="1" t="s">
        <v>3</v>
      </c>
      <c r="B166" s="53" t="s">
        <v>684</v>
      </c>
      <c r="H166" s="1" t="s">
        <v>49</v>
      </c>
      <c r="I166" s="1" t="s">
        <v>705</v>
      </c>
      <c r="K166" s="2">
        <v>-8342490</v>
      </c>
      <c r="L166" s="46">
        <v>32025</v>
      </c>
      <c r="M166" s="42" t="str">
        <f>LEFT(I166,(LEN(LEFT(I166,FIND(";",I166)))-8))</f>
        <v>VNMOET</v>
      </c>
      <c r="N166" s="42" t="s">
        <v>138</v>
      </c>
      <c r="O166" s="15">
        <f>-$K166*IFERROR(INDEX('[1]salary allocation'!$E$6:$J$22,MATCH($H166,'[1]salary allocation'!$D$6:$D$22,0),MATCH(O$3,'[1]salary allocation'!$E$3:$J$3,0)),0)</f>
        <v>0</v>
      </c>
      <c r="P166" s="15">
        <f>-$K166*IFERROR(INDEX('[1]salary allocation'!$E$6:$J$22,MATCH($H166,'[1]salary allocation'!$D$6:$D$22,0),MATCH(P$3,'[1]salary allocation'!$E$3:$J$3,0)),0)</f>
        <v>0</v>
      </c>
      <c r="Q166" s="15">
        <f>-$K166*IFERROR(INDEX('[1]salary allocation'!$E$6:$J$22,MATCH($H166,'[1]salary allocation'!$D$6:$D$22,0),MATCH(Q$3,'[1]salary allocation'!$E$3:$J$3,0)),0)</f>
        <v>0</v>
      </c>
      <c r="R166" s="15">
        <f>-$K166*IFERROR(INDEX('[1]salary allocation'!$E$6:$J$22,MATCH($H166,'[1]salary allocation'!$D$6:$D$22,0),MATCH(R$3,'[1]salary allocation'!$E$3:$J$3,0)),0)</f>
        <v>0</v>
      </c>
      <c r="S166" s="15">
        <f>-$K166*IFERROR(INDEX('[1]salary allocation'!$E$6:$J$22,MATCH($H166,'[1]salary allocation'!$D$6:$D$22,0),MATCH(S$3,'[1]salary allocation'!$E$3:$J$3,0)),0)</f>
        <v>1668498</v>
      </c>
      <c r="T166" s="15">
        <f>-$K166*IFERROR(INDEX('[1]salary allocation'!$E$6:$J$22,MATCH($H166,'[1]salary allocation'!$D$6:$D$22,0),MATCH(T$3,'[1]salary allocation'!$E$3:$J$3,0)),0)</f>
        <v>1668498</v>
      </c>
      <c r="U166" s="15">
        <f>-$K166*IFERROR(INDEX('[1]salary allocation'!$E$6:$J$22,MATCH($H166,'[1]salary allocation'!$D$6:$D$22,0),MATCH(U$3,'[1]salary allocation'!$E$3:$J$3,0)),0)</f>
        <v>1668498</v>
      </c>
      <c r="V166" s="15">
        <f>-$K166*IFERROR(INDEX('[1]salary allocation'!$E$6:$J$22,MATCH($H166,'[1]salary allocation'!$D$6:$D$22,0),MATCH(V$3,'[1]salary allocation'!$E$3:$J$3,0)),0)</f>
        <v>0</v>
      </c>
      <c r="W166" s="15">
        <f>-$K166*IFERROR(INDEX('[1]salary allocation'!$E$6:$J$22,MATCH($H166,'[1]salary allocation'!$D$6:$D$22,0),MATCH(W$3,'[1]salary allocation'!$E$3:$J$3,0)),0)</f>
        <v>3336996</v>
      </c>
      <c r="X166" s="15">
        <f>-$K166*IFERROR(INDEX('[1]salary allocation'!$E$6:$J$22,MATCH($H166,'[1]salary allocation'!$D$6:$D$22,0),MATCH(X$3,'[1]salary allocation'!$E$3:$J$3,0)),0)</f>
        <v>0</v>
      </c>
      <c r="Y166" s="15">
        <f>-$K166*IFERROR(INDEX('[1]salary allocation'!$E$6:$J$22,MATCH($H166,'[1]salary allocation'!$D$6:$D$22,0),MATCH(Y$3,'[1]salary allocation'!$E$3:$J$3,0)),0)</f>
        <v>0</v>
      </c>
      <c r="Z166" s="15">
        <f>-$K166*IFERROR(INDEX('[1]salary allocation'!$E$6:$J$22,MATCH($H166,'[1]salary allocation'!$D$6:$D$22,0),MATCH(Z$3,'[1]salary allocation'!$E$3:$J$3,0)),0)</f>
        <v>0</v>
      </c>
      <c r="AA166" s="15">
        <f>-$K166*IFERROR(INDEX('[1]salary allocation'!$E$6:$J$22,MATCH($H166,'[1]salary allocation'!$D$6:$D$22,0),MATCH(AA$3,'[1]salary allocation'!$E$3:$J$3,0)),0)</f>
        <v>0</v>
      </c>
      <c r="AB166" s="15">
        <f>-$K166*IFERROR(INDEX('[1]salary allocation'!$E$6:$J$22,MATCH($H166,'[1]salary allocation'!$D$6:$D$22,0),MATCH(AB$3,'[1]salary allocation'!$E$3:$J$3,0)),0)</f>
        <v>0</v>
      </c>
      <c r="AC166" s="18">
        <f>-$K166*IFERROR(INDEX('[1]salary allocation'!$E$6:$J$22,MATCH($H166,'[1]salary allocation'!$D$6:$D$22,0),MATCH(AC$3,'[1]salary allocation'!$E$3:$J$3,0)),0)</f>
        <v>0</v>
      </c>
      <c r="AD166" s="17"/>
      <c r="AE166" s="16"/>
      <c r="AF166" s="15"/>
      <c r="AG166" s="15">
        <f>-K166</f>
        <v>8342490</v>
      </c>
      <c r="AH166" s="2">
        <f>K166+SUM(O166:AC166)</f>
        <v>0</v>
      </c>
      <c r="AI166" s="2">
        <f>K166+SUM(AF166:AG166)</f>
        <v>0</v>
      </c>
    </row>
    <row r="167" spans="1:35" x14ac:dyDescent="0.2">
      <c r="A167" s="1" t="s">
        <v>3</v>
      </c>
      <c r="B167" s="53" t="s">
        <v>684</v>
      </c>
      <c r="H167" s="1" t="s">
        <v>47</v>
      </c>
      <c r="I167" s="1" t="s">
        <v>704</v>
      </c>
      <c r="K167" s="2">
        <v>-15239574</v>
      </c>
      <c r="L167" s="46">
        <v>32025</v>
      </c>
      <c r="M167" s="42" t="str">
        <f>LEFT(I167,(LEN(LEFT(I167,FIND(";",I167)))-8))</f>
        <v>VNHBC</v>
      </c>
      <c r="N167" s="42" t="s">
        <v>138</v>
      </c>
      <c r="O167" s="15">
        <f>-$K167*IFERROR(INDEX('[1]salary allocation'!$E$6:$J$22,MATCH($H167,'[1]salary allocation'!$D$6:$D$22,0),MATCH(O$3,'[1]salary allocation'!$E$3:$J$3,0)),0)</f>
        <v>0</v>
      </c>
      <c r="P167" s="15">
        <f>-$K167*IFERROR(INDEX('[1]salary allocation'!$E$6:$J$22,MATCH($H167,'[1]salary allocation'!$D$6:$D$22,0),MATCH(P$3,'[1]salary allocation'!$E$3:$J$3,0)),0)</f>
        <v>0</v>
      </c>
      <c r="Q167" s="15">
        <f>-$K167*IFERROR(INDEX('[1]salary allocation'!$E$6:$J$22,MATCH($H167,'[1]salary allocation'!$D$6:$D$22,0),MATCH(Q$3,'[1]salary allocation'!$E$3:$J$3,0)),0)</f>
        <v>0</v>
      </c>
      <c r="R167" s="15">
        <f>-$K167*IFERROR(INDEX('[1]salary allocation'!$E$6:$J$22,MATCH($H167,'[1]salary allocation'!$D$6:$D$22,0),MATCH(R$3,'[1]salary allocation'!$E$3:$J$3,0)),0)</f>
        <v>0</v>
      </c>
      <c r="S167" s="15">
        <f>-$K167*IFERROR(INDEX('[1]salary allocation'!$E$6:$J$22,MATCH($H167,'[1]salary allocation'!$D$6:$D$22,0),MATCH(S$3,'[1]salary allocation'!$E$3:$J$3,0)),0)</f>
        <v>3047914.8000000003</v>
      </c>
      <c r="T167" s="15">
        <f>-$K167*IFERROR(INDEX('[1]salary allocation'!$E$6:$J$22,MATCH($H167,'[1]salary allocation'!$D$6:$D$22,0),MATCH(T$3,'[1]salary allocation'!$E$3:$J$3,0)),0)</f>
        <v>3047914.8000000003</v>
      </c>
      <c r="U167" s="15">
        <f>-$K167*IFERROR(INDEX('[1]salary allocation'!$E$6:$J$22,MATCH($H167,'[1]salary allocation'!$D$6:$D$22,0),MATCH(U$3,'[1]salary allocation'!$E$3:$J$3,0)),0)</f>
        <v>3047914.8000000003</v>
      </c>
      <c r="V167" s="15">
        <f>-$K167*IFERROR(INDEX('[1]salary allocation'!$E$6:$J$22,MATCH($H167,'[1]salary allocation'!$D$6:$D$22,0),MATCH(V$3,'[1]salary allocation'!$E$3:$J$3,0)),0)</f>
        <v>0</v>
      </c>
      <c r="W167" s="15">
        <f>-$K167*IFERROR(INDEX('[1]salary allocation'!$E$6:$J$22,MATCH($H167,'[1]salary allocation'!$D$6:$D$22,0),MATCH(W$3,'[1]salary allocation'!$E$3:$J$3,0)),0)</f>
        <v>6095829.6000000006</v>
      </c>
      <c r="X167" s="15">
        <f>-$K167*IFERROR(INDEX('[1]salary allocation'!$E$6:$J$22,MATCH($H167,'[1]salary allocation'!$D$6:$D$22,0),MATCH(X$3,'[1]salary allocation'!$E$3:$J$3,0)),0)</f>
        <v>0</v>
      </c>
      <c r="Y167" s="15">
        <f>-$K167*IFERROR(INDEX('[1]salary allocation'!$E$6:$J$22,MATCH($H167,'[1]salary allocation'!$D$6:$D$22,0),MATCH(Y$3,'[1]salary allocation'!$E$3:$J$3,0)),0)</f>
        <v>0</v>
      </c>
      <c r="Z167" s="15">
        <f>-$K167*IFERROR(INDEX('[1]salary allocation'!$E$6:$J$22,MATCH($H167,'[1]salary allocation'!$D$6:$D$22,0),MATCH(Z$3,'[1]salary allocation'!$E$3:$J$3,0)),0)</f>
        <v>0</v>
      </c>
      <c r="AA167" s="15">
        <f>-$K167*IFERROR(INDEX('[1]salary allocation'!$E$6:$J$22,MATCH($H167,'[1]salary allocation'!$D$6:$D$22,0),MATCH(AA$3,'[1]salary allocation'!$E$3:$J$3,0)),0)</f>
        <v>0</v>
      </c>
      <c r="AB167" s="15">
        <f>-$K167*IFERROR(INDEX('[1]salary allocation'!$E$6:$J$22,MATCH($H167,'[1]salary allocation'!$D$6:$D$22,0),MATCH(AB$3,'[1]salary allocation'!$E$3:$J$3,0)),0)</f>
        <v>0</v>
      </c>
      <c r="AC167" s="18">
        <f>-$K167*IFERROR(INDEX('[1]salary allocation'!$E$6:$J$22,MATCH($H167,'[1]salary allocation'!$D$6:$D$22,0),MATCH(AC$3,'[1]salary allocation'!$E$3:$J$3,0)),0)</f>
        <v>0</v>
      </c>
      <c r="AD167" s="17"/>
      <c r="AE167" s="16"/>
      <c r="AF167" s="15">
        <f>-$K167</f>
        <v>15239574</v>
      </c>
      <c r="AG167" s="15"/>
      <c r="AH167" s="2">
        <f>K167+SUM(O167:AC167)</f>
        <v>0</v>
      </c>
      <c r="AI167" s="2">
        <f>K167+SUM(AF167:AG167)</f>
        <v>0</v>
      </c>
    </row>
    <row r="168" spans="1:35" x14ac:dyDescent="0.2">
      <c r="A168" s="1" t="s">
        <v>3</v>
      </c>
      <c r="B168" s="53" t="s">
        <v>684</v>
      </c>
      <c r="H168" s="1" t="s">
        <v>45</v>
      </c>
      <c r="I168" s="1" t="s">
        <v>703</v>
      </c>
      <c r="K168" s="2">
        <v>-6013447</v>
      </c>
      <c r="L168" s="46">
        <v>32025</v>
      </c>
      <c r="M168" s="42" t="str">
        <f>LEFT(I168,(LEN(LEFT(I168,FIND(";",I168)))-9))</f>
        <v>VNHBC</v>
      </c>
      <c r="N168" s="42" t="s">
        <v>138</v>
      </c>
      <c r="O168" s="15">
        <f>-$K168*IFERROR(INDEX('[1]salary allocation'!$E$6:$J$22,MATCH($H168,'[1]salary allocation'!$D$6:$D$22,0),MATCH(O$3,'[1]salary allocation'!$E$3:$J$3,0)),0)</f>
        <v>0</v>
      </c>
      <c r="P168" s="15">
        <f>-$K168*IFERROR(INDEX('[1]salary allocation'!$E$6:$J$22,MATCH($H168,'[1]salary allocation'!$D$6:$D$22,0),MATCH(P$3,'[1]salary allocation'!$E$3:$J$3,0)),0)</f>
        <v>0</v>
      </c>
      <c r="Q168" s="15">
        <f>-$K168*IFERROR(INDEX('[1]salary allocation'!$E$6:$J$22,MATCH($H168,'[1]salary allocation'!$D$6:$D$22,0),MATCH(Q$3,'[1]salary allocation'!$E$3:$J$3,0)),0)</f>
        <v>0</v>
      </c>
      <c r="R168" s="15">
        <f>-$K168*IFERROR(INDEX('[1]salary allocation'!$E$6:$J$22,MATCH($H168,'[1]salary allocation'!$D$6:$D$22,0),MATCH(R$3,'[1]salary allocation'!$E$3:$J$3,0)),0)</f>
        <v>0</v>
      </c>
      <c r="S168" s="15">
        <f>-$K168*IFERROR(INDEX('[1]salary allocation'!$E$6:$J$22,MATCH($H168,'[1]salary allocation'!$D$6:$D$22,0),MATCH(S$3,'[1]salary allocation'!$E$3:$J$3,0)),0)</f>
        <v>1202689.4000000001</v>
      </c>
      <c r="T168" s="15">
        <f>-$K168*IFERROR(INDEX('[1]salary allocation'!$E$6:$J$22,MATCH($H168,'[1]salary allocation'!$D$6:$D$22,0),MATCH(T$3,'[1]salary allocation'!$E$3:$J$3,0)),0)</f>
        <v>1202689.4000000001</v>
      </c>
      <c r="U168" s="15">
        <f>-$K168*IFERROR(INDEX('[1]salary allocation'!$E$6:$J$22,MATCH($H168,'[1]salary allocation'!$D$6:$D$22,0),MATCH(U$3,'[1]salary allocation'!$E$3:$J$3,0)),0)</f>
        <v>1202689.4000000001</v>
      </c>
      <c r="V168" s="15">
        <f>-$K168*IFERROR(INDEX('[1]salary allocation'!$E$6:$J$22,MATCH($H168,'[1]salary allocation'!$D$6:$D$22,0),MATCH(V$3,'[1]salary allocation'!$E$3:$J$3,0)),0)</f>
        <v>0</v>
      </c>
      <c r="W168" s="15">
        <f>-$K168*IFERROR(INDEX('[1]salary allocation'!$E$6:$J$22,MATCH($H168,'[1]salary allocation'!$D$6:$D$22,0),MATCH(W$3,'[1]salary allocation'!$E$3:$J$3,0)),0)</f>
        <v>2405378.8000000003</v>
      </c>
      <c r="X168" s="15">
        <f>-$K168*IFERROR(INDEX('[1]salary allocation'!$E$6:$J$22,MATCH($H168,'[1]salary allocation'!$D$6:$D$22,0),MATCH(X$3,'[1]salary allocation'!$E$3:$J$3,0)),0)</f>
        <v>0</v>
      </c>
      <c r="Y168" s="15">
        <f>-$K168*IFERROR(INDEX('[1]salary allocation'!$E$6:$J$22,MATCH($H168,'[1]salary allocation'!$D$6:$D$22,0),MATCH(Y$3,'[1]salary allocation'!$E$3:$J$3,0)),0)</f>
        <v>0</v>
      </c>
      <c r="Z168" s="15">
        <f>-$K168*IFERROR(INDEX('[1]salary allocation'!$E$6:$J$22,MATCH($H168,'[1]salary allocation'!$D$6:$D$22,0),MATCH(Z$3,'[1]salary allocation'!$E$3:$J$3,0)),0)</f>
        <v>0</v>
      </c>
      <c r="AA168" s="15">
        <f>-$K168*IFERROR(INDEX('[1]salary allocation'!$E$6:$J$22,MATCH($H168,'[1]salary allocation'!$D$6:$D$22,0),MATCH(AA$3,'[1]salary allocation'!$E$3:$J$3,0)),0)</f>
        <v>0</v>
      </c>
      <c r="AB168" s="15">
        <f>-$K168*IFERROR(INDEX('[1]salary allocation'!$E$6:$J$22,MATCH($H168,'[1]salary allocation'!$D$6:$D$22,0),MATCH(AB$3,'[1]salary allocation'!$E$3:$J$3,0)),0)</f>
        <v>0</v>
      </c>
      <c r="AC168" s="18">
        <f>-$K168*IFERROR(INDEX('[1]salary allocation'!$E$6:$J$22,MATCH($H168,'[1]salary allocation'!$D$6:$D$22,0),MATCH(AC$3,'[1]salary allocation'!$E$3:$J$3,0)),0)</f>
        <v>0</v>
      </c>
      <c r="AD168" s="17"/>
      <c r="AE168" s="16"/>
      <c r="AF168" s="15"/>
      <c r="AG168" s="15">
        <f>-K168</f>
        <v>6013447</v>
      </c>
      <c r="AH168" s="2">
        <f>K168+SUM(O168:AC168)</f>
        <v>0</v>
      </c>
      <c r="AI168" s="2">
        <f>K168+SUM(AF168:AG168)</f>
        <v>0</v>
      </c>
    </row>
    <row r="169" spans="1:35" x14ac:dyDescent="0.2">
      <c r="A169" s="1" t="s">
        <v>3</v>
      </c>
      <c r="B169" s="53" t="s">
        <v>684</v>
      </c>
      <c r="H169" s="1" t="s">
        <v>43</v>
      </c>
      <c r="I169" s="1" t="s">
        <v>702</v>
      </c>
      <c r="K169" s="2">
        <v>-15052628</v>
      </c>
      <c r="L169" s="46">
        <v>32025</v>
      </c>
      <c r="M169" s="42" t="str">
        <f>LEFT(I169,(LEN(LEFT(I169,FIND(";",I169)))-8))</f>
        <v>VNMOET</v>
      </c>
      <c r="N169" s="42" t="s">
        <v>138</v>
      </c>
      <c r="O169" s="15">
        <f>-$K169*IFERROR(INDEX('[1]salary allocation'!$E$6:$J$22,MATCH($H169,'[1]salary allocation'!$D$6:$D$22,0),MATCH(O$3,'[1]salary allocation'!$E$3:$J$3,0)),0)</f>
        <v>0</v>
      </c>
      <c r="P169" s="15">
        <f>-$K169*IFERROR(INDEX('[1]salary allocation'!$E$6:$J$22,MATCH($H169,'[1]salary allocation'!$D$6:$D$22,0),MATCH(P$3,'[1]salary allocation'!$E$3:$J$3,0)),0)</f>
        <v>0</v>
      </c>
      <c r="Q169" s="15">
        <f>-$K169*IFERROR(INDEX('[1]salary allocation'!$E$6:$J$22,MATCH($H169,'[1]salary allocation'!$D$6:$D$22,0),MATCH(Q$3,'[1]salary allocation'!$E$3:$J$3,0)),0)</f>
        <v>0</v>
      </c>
      <c r="R169" s="15">
        <f>-$K169*IFERROR(INDEX('[1]salary allocation'!$E$6:$J$22,MATCH($H169,'[1]salary allocation'!$D$6:$D$22,0),MATCH(R$3,'[1]salary allocation'!$E$3:$J$3,0)),0)</f>
        <v>0</v>
      </c>
      <c r="S169" s="15">
        <f>-$K169*IFERROR(INDEX('[1]salary allocation'!$E$6:$J$22,MATCH($H169,'[1]salary allocation'!$D$6:$D$22,0),MATCH(S$3,'[1]salary allocation'!$E$3:$J$3,0)),0)</f>
        <v>3010525.6</v>
      </c>
      <c r="T169" s="15">
        <f>-$K169*IFERROR(INDEX('[1]salary allocation'!$E$6:$J$22,MATCH($H169,'[1]salary allocation'!$D$6:$D$22,0),MATCH(T$3,'[1]salary allocation'!$E$3:$J$3,0)),0)</f>
        <v>3010525.6</v>
      </c>
      <c r="U169" s="15">
        <f>-$K169*IFERROR(INDEX('[1]salary allocation'!$E$6:$J$22,MATCH($H169,'[1]salary allocation'!$D$6:$D$22,0),MATCH(U$3,'[1]salary allocation'!$E$3:$J$3,0)),0)</f>
        <v>3010525.6</v>
      </c>
      <c r="V169" s="15">
        <f>-$K169*IFERROR(INDEX('[1]salary allocation'!$E$6:$J$22,MATCH($H169,'[1]salary allocation'!$D$6:$D$22,0),MATCH(V$3,'[1]salary allocation'!$E$3:$J$3,0)),0)</f>
        <v>0</v>
      </c>
      <c r="W169" s="15">
        <f>-$K169*IFERROR(INDEX('[1]salary allocation'!$E$6:$J$22,MATCH($H169,'[1]salary allocation'!$D$6:$D$22,0),MATCH(W$3,'[1]salary allocation'!$E$3:$J$3,0)),0)</f>
        <v>6021051.2000000002</v>
      </c>
      <c r="X169" s="15">
        <f>-$K169*IFERROR(INDEX('[1]salary allocation'!$E$6:$J$22,MATCH($H169,'[1]salary allocation'!$D$6:$D$22,0),MATCH(X$3,'[1]salary allocation'!$E$3:$J$3,0)),0)</f>
        <v>0</v>
      </c>
      <c r="Y169" s="15">
        <f>-$K169*IFERROR(INDEX('[1]salary allocation'!$E$6:$J$22,MATCH($H169,'[1]salary allocation'!$D$6:$D$22,0),MATCH(Y$3,'[1]salary allocation'!$E$3:$J$3,0)),0)</f>
        <v>0</v>
      </c>
      <c r="Z169" s="15">
        <f>-$K169*IFERROR(INDEX('[1]salary allocation'!$E$6:$J$22,MATCH($H169,'[1]salary allocation'!$D$6:$D$22,0),MATCH(Z$3,'[1]salary allocation'!$E$3:$J$3,0)),0)</f>
        <v>0</v>
      </c>
      <c r="AA169" s="15">
        <f>-$K169*IFERROR(INDEX('[1]salary allocation'!$E$6:$J$22,MATCH($H169,'[1]salary allocation'!$D$6:$D$22,0),MATCH(AA$3,'[1]salary allocation'!$E$3:$J$3,0)),0)</f>
        <v>0</v>
      </c>
      <c r="AB169" s="15">
        <f>-$K169*IFERROR(INDEX('[1]salary allocation'!$E$6:$J$22,MATCH($H169,'[1]salary allocation'!$D$6:$D$22,0),MATCH(AB$3,'[1]salary allocation'!$E$3:$J$3,0)),0)</f>
        <v>0</v>
      </c>
      <c r="AC169" s="18">
        <f>-$K169*IFERROR(INDEX('[1]salary allocation'!$E$6:$J$22,MATCH($H169,'[1]salary allocation'!$D$6:$D$22,0),MATCH(AC$3,'[1]salary allocation'!$E$3:$J$3,0)),0)</f>
        <v>0</v>
      </c>
      <c r="AD169" s="17"/>
      <c r="AE169" s="16"/>
      <c r="AF169" s="15">
        <f>-$K169</f>
        <v>15052628</v>
      </c>
      <c r="AG169" s="15"/>
      <c r="AH169" s="2">
        <f>K169+SUM(O169:AC169)</f>
        <v>0</v>
      </c>
      <c r="AI169" s="2">
        <f>K169+SUM(AF169:AG169)</f>
        <v>0</v>
      </c>
    </row>
    <row r="170" spans="1:35" x14ac:dyDescent="0.2">
      <c r="A170" s="1" t="s">
        <v>3</v>
      </c>
      <c r="B170" s="53" t="s">
        <v>684</v>
      </c>
      <c r="H170" s="1" t="s">
        <v>41</v>
      </c>
      <c r="I170" s="1" t="s">
        <v>701</v>
      </c>
      <c r="K170" s="2">
        <v>-15001996</v>
      </c>
      <c r="L170" s="46">
        <v>32025</v>
      </c>
      <c r="M170" s="42" t="str">
        <f>LEFT(I170,(LEN(LEFT(I170,FIND(";",I170)))-8))</f>
        <v>VNMOET</v>
      </c>
      <c r="N170" s="42" t="s">
        <v>138</v>
      </c>
      <c r="O170" s="15">
        <f>-$K170*IFERROR(INDEX('[1]salary allocation'!$E$6:$J$22,MATCH($H170,'[1]salary allocation'!$D$6:$D$22,0),MATCH(O$3,'[1]salary allocation'!$E$3:$J$3,0)),0)</f>
        <v>0</v>
      </c>
      <c r="P170" s="15">
        <f>-$K170*IFERROR(INDEX('[1]salary allocation'!$E$6:$J$22,MATCH($H170,'[1]salary allocation'!$D$6:$D$22,0),MATCH(P$3,'[1]salary allocation'!$E$3:$J$3,0)),0)</f>
        <v>0</v>
      </c>
      <c r="Q170" s="15">
        <f>-$K170*IFERROR(INDEX('[1]salary allocation'!$E$6:$J$22,MATCH($H170,'[1]salary allocation'!$D$6:$D$22,0),MATCH(Q$3,'[1]salary allocation'!$E$3:$J$3,0)),0)</f>
        <v>0</v>
      </c>
      <c r="R170" s="15">
        <f>-$K170*IFERROR(INDEX('[1]salary allocation'!$E$6:$J$22,MATCH($H170,'[1]salary allocation'!$D$6:$D$22,0),MATCH(R$3,'[1]salary allocation'!$E$3:$J$3,0)),0)</f>
        <v>0</v>
      </c>
      <c r="S170" s="15">
        <f>-$K170*IFERROR(INDEX('[1]salary allocation'!$E$6:$J$22,MATCH($H170,'[1]salary allocation'!$D$6:$D$22,0),MATCH(S$3,'[1]salary allocation'!$E$3:$J$3,0)),0)</f>
        <v>0</v>
      </c>
      <c r="T170" s="15">
        <f>-$K170*IFERROR(INDEX('[1]salary allocation'!$E$6:$J$22,MATCH($H170,'[1]salary allocation'!$D$6:$D$22,0),MATCH(T$3,'[1]salary allocation'!$E$3:$J$3,0)),0)</f>
        <v>0</v>
      </c>
      <c r="U170" s="15">
        <f>-$K170*IFERROR(INDEX('[1]salary allocation'!$E$6:$J$22,MATCH($H170,'[1]salary allocation'!$D$6:$D$22,0),MATCH(U$3,'[1]salary allocation'!$E$3:$J$3,0)),0)</f>
        <v>0</v>
      </c>
      <c r="V170" s="15">
        <f>-$K170*IFERROR(INDEX('[1]salary allocation'!$E$6:$J$22,MATCH($H170,'[1]salary allocation'!$D$6:$D$22,0),MATCH(V$3,'[1]salary allocation'!$E$3:$J$3,0)),0)</f>
        <v>0</v>
      </c>
      <c r="W170" s="15">
        <f>-$K170*IFERROR(INDEX('[1]salary allocation'!$E$6:$J$22,MATCH($H170,'[1]salary allocation'!$D$6:$D$22,0),MATCH(W$3,'[1]salary allocation'!$E$3:$J$3,0)),0)</f>
        <v>15001996</v>
      </c>
      <c r="X170" s="15">
        <f>-$K170*IFERROR(INDEX('[1]salary allocation'!$E$6:$J$22,MATCH($H170,'[1]salary allocation'!$D$6:$D$22,0),MATCH(X$3,'[1]salary allocation'!$E$3:$J$3,0)),0)</f>
        <v>0</v>
      </c>
      <c r="Y170" s="15">
        <f>-$K170*IFERROR(INDEX('[1]salary allocation'!$E$6:$J$22,MATCH($H170,'[1]salary allocation'!$D$6:$D$22,0),MATCH(Y$3,'[1]salary allocation'!$E$3:$J$3,0)),0)</f>
        <v>0</v>
      </c>
      <c r="Z170" s="15">
        <f>-$K170*IFERROR(INDEX('[1]salary allocation'!$E$6:$J$22,MATCH($H170,'[1]salary allocation'!$D$6:$D$22,0),MATCH(Z$3,'[1]salary allocation'!$E$3:$J$3,0)),0)</f>
        <v>0</v>
      </c>
      <c r="AA170" s="15">
        <f>-$K170*IFERROR(INDEX('[1]salary allocation'!$E$6:$J$22,MATCH($H170,'[1]salary allocation'!$D$6:$D$22,0),MATCH(AA$3,'[1]salary allocation'!$E$3:$J$3,0)),0)</f>
        <v>0</v>
      </c>
      <c r="AB170" s="15">
        <f>-$K170*IFERROR(INDEX('[1]salary allocation'!$E$6:$J$22,MATCH($H170,'[1]salary allocation'!$D$6:$D$22,0),MATCH(AB$3,'[1]salary allocation'!$E$3:$J$3,0)),0)</f>
        <v>0</v>
      </c>
      <c r="AC170" s="18">
        <f>-$K170*IFERROR(INDEX('[1]salary allocation'!$E$6:$J$22,MATCH($H170,'[1]salary allocation'!$D$6:$D$22,0),MATCH(AC$3,'[1]salary allocation'!$E$3:$J$3,0)),0)</f>
        <v>0</v>
      </c>
      <c r="AD170" s="17"/>
      <c r="AE170" s="16"/>
      <c r="AF170" s="15">
        <f>-$K170</f>
        <v>15001996</v>
      </c>
      <c r="AG170" s="15"/>
      <c r="AH170" s="2">
        <f>K170+SUM(O170:AC170)</f>
        <v>0</v>
      </c>
      <c r="AI170" s="2">
        <f>K170+SUM(AF170:AG170)</f>
        <v>0</v>
      </c>
    </row>
    <row r="171" spans="1:35" x14ac:dyDescent="0.2">
      <c r="A171" s="1" t="s">
        <v>3</v>
      </c>
      <c r="B171" s="53" t="s">
        <v>684</v>
      </c>
      <c r="H171" s="1" t="s">
        <v>39</v>
      </c>
      <c r="I171" s="1" t="s">
        <v>700</v>
      </c>
      <c r="K171" s="2">
        <v>-15052628</v>
      </c>
      <c r="L171" s="46">
        <v>32025</v>
      </c>
      <c r="M171" s="42" t="str">
        <f>LEFT(I171,(LEN(LEFT(I171,FIND(";",I171)))-8))</f>
        <v>VNMOET</v>
      </c>
      <c r="N171" s="42" t="s">
        <v>138</v>
      </c>
      <c r="O171" s="15">
        <f>-$K171*IFERROR(INDEX('[1]salary allocation'!$E$6:$J$22,MATCH($H171,'[1]salary allocation'!$D$6:$D$22,0),MATCH(O$3,'[1]salary allocation'!$E$3:$J$3,0)),0)</f>
        <v>0</v>
      </c>
      <c r="P171" s="15">
        <f>-$K171*IFERROR(INDEX('[1]salary allocation'!$E$6:$J$22,MATCH($H171,'[1]salary allocation'!$D$6:$D$22,0),MATCH(P$3,'[1]salary allocation'!$E$3:$J$3,0)),0)</f>
        <v>0</v>
      </c>
      <c r="Q171" s="15">
        <f>-$K171*IFERROR(INDEX('[1]salary allocation'!$E$6:$J$22,MATCH($H171,'[1]salary allocation'!$D$6:$D$22,0),MATCH(Q$3,'[1]salary allocation'!$E$3:$J$3,0)),0)</f>
        <v>0</v>
      </c>
      <c r="R171" s="15">
        <f>-$K171*IFERROR(INDEX('[1]salary allocation'!$E$6:$J$22,MATCH($H171,'[1]salary allocation'!$D$6:$D$22,0),MATCH(R$3,'[1]salary allocation'!$E$3:$J$3,0)),0)</f>
        <v>0</v>
      </c>
      <c r="S171" s="15">
        <f>-$K171*IFERROR(INDEX('[1]salary allocation'!$E$6:$J$22,MATCH($H171,'[1]salary allocation'!$D$6:$D$22,0),MATCH(S$3,'[1]salary allocation'!$E$3:$J$3,0)),0)</f>
        <v>0</v>
      </c>
      <c r="T171" s="15">
        <f>-$K171*IFERROR(INDEX('[1]salary allocation'!$E$6:$J$22,MATCH($H171,'[1]salary allocation'!$D$6:$D$22,0),MATCH(T$3,'[1]salary allocation'!$E$3:$J$3,0)),0)</f>
        <v>0</v>
      </c>
      <c r="U171" s="15">
        <f>-$K171*IFERROR(INDEX('[1]salary allocation'!$E$6:$J$22,MATCH($H171,'[1]salary allocation'!$D$6:$D$22,0),MATCH(U$3,'[1]salary allocation'!$E$3:$J$3,0)),0)</f>
        <v>0</v>
      </c>
      <c r="V171" s="15">
        <f>-$K171*IFERROR(INDEX('[1]salary allocation'!$E$6:$J$22,MATCH($H171,'[1]salary allocation'!$D$6:$D$22,0),MATCH(V$3,'[1]salary allocation'!$E$3:$J$3,0)),0)</f>
        <v>0</v>
      </c>
      <c r="W171" s="15">
        <f>-$K171*IFERROR(INDEX('[1]salary allocation'!$E$6:$J$22,MATCH($H171,'[1]salary allocation'!$D$6:$D$22,0),MATCH(W$3,'[1]salary allocation'!$E$3:$J$3,0)),0)</f>
        <v>15052628</v>
      </c>
      <c r="X171" s="15">
        <f>-$K171*IFERROR(INDEX('[1]salary allocation'!$E$6:$J$22,MATCH($H171,'[1]salary allocation'!$D$6:$D$22,0),MATCH(X$3,'[1]salary allocation'!$E$3:$J$3,0)),0)</f>
        <v>0</v>
      </c>
      <c r="Y171" s="15">
        <f>-$K171*IFERROR(INDEX('[1]salary allocation'!$E$6:$J$22,MATCH($H171,'[1]salary allocation'!$D$6:$D$22,0),MATCH(Y$3,'[1]salary allocation'!$E$3:$J$3,0)),0)</f>
        <v>0</v>
      </c>
      <c r="Z171" s="15">
        <f>-$K171*IFERROR(INDEX('[1]salary allocation'!$E$6:$J$22,MATCH($H171,'[1]salary allocation'!$D$6:$D$22,0),MATCH(Z$3,'[1]salary allocation'!$E$3:$J$3,0)),0)</f>
        <v>0</v>
      </c>
      <c r="AA171" s="15">
        <f>-$K171*IFERROR(INDEX('[1]salary allocation'!$E$6:$J$22,MATCH($H171,'[1]salary allocation'!$D$6:$D$22,0),MATCH(AA$3,'[1]salary allocation'!$E$3:$J$3,0)),0)</f>
        <v>0</v>
      </c>
      <c r="AB171" s="15">
        <f>-$K171*IFERROR(INDEX('[1]salary allocation'!$E$6:$J$22,MATCH($H171,'[1]salary allocation'!$D$6:$D$22,0),MATCH(AB$3,'[1]salary allocation'!$E$3:$J$3,0)),0)</f>
        <v>0</v>
      </c>
      <c r="AC171" s="18">
        <f>-$K171*IFERROR(INDEX('[1]salary allocation'!$E$6:$J$22,MATCH($H171,'[1]salary allocation'!$D$6:$D$22,0),MATCH(AC$3,'[1]salary allocation'!$E$3:$J$3,0)),0)</f>
        <v>0</v>
      </c>
      <c r="AD171" s="17"/>
      <c r="AE171" s="16"/>
      <c r="AF171" s="15">
        <f>-$K171</f>
        <v>15052628</v>
      </c>
      <c r="AG171" s="15"/>
      <c r="AH171" s="2">
        <f>K171+SUM(O171:AC171)</f>
        <v>0</v>
      </c>
      <c r="AI171" s="2">
        <f>K171+SUM(AF171:AG171)</f>
        <v>0</v>
      </c>
    </row>
    <row r="172" spans="1:35" x14ac:dyDescent="0.2">
      <c r="A172" s="1" t="s">
        <v>3</v>
      </c>
      <c r="B172" s="53" t="s">
        <v>684</v>
      </c>
      <c r="H172" s="1" t="s">
        <v>37</v>
      </c>
      <c r="I172" s="1" t="s">
        <v>699</v>
      </c>
      <c r="K172" s="2">
        <v>-13242048</v>
      </c>
      <c r="L172" s="46">
        <v>32025</v>
      </c>
      <c r="M172" s="42" t="str">
        <f>LEFT(I172,(LEN(LEFT(I172,FIND(";",I172)))-8))</f>
        <v>VNOther</v>
      </c>
      <c r="N172" s="42" t="s">
        <v>138</v>
      </c>
      <c r="O172" s="15">
        <f>-$K172*IFERROR(INDEX('[1]salary allocation'!$E$6:$J$22,MATCH($H172,'[1]salary allocation'!$D$6:$D$22,0),MATCH(O$3,'[1]salary allocation'!$E$3:$J$3,0)),0)</f>
        <v>0</v>
      </c>
      <c r="P172" s="15">
        <f>-$K172*IFERROR(INDEX('[1]salary allocation'!$E$6:$J$22,MATCH($H172,'[1]salary allocation'!$D$6:$D$22,0),MATCH(P$3,'[1]salary allocation'!$E$3:$J$3,0)),0)</f>
        <v>1986307.2</v>
      </c>
      <c r="Q172" s="15">
        <f>-$K172*IFERROR(INDEX('[1]salary allocation'!$E$6:$J$22,MATCH($H172,'[1]salary allocation'!$D$6:$D$22,0),MATCH(Q$3,'[1]salary allocation'!$E$3:$J$3,0)),0)</f>
        <v>0</v>
      </c>
      <c r="R172" s="15">
        <f>-$K172*IFERROR(INDEX('[1]salary allocation'!$E$6:$J$22,MATCH($H172,'[1]salary allocation'!$D$6:$D$22,0),MATCH(R$3,'[1]salary allocation'!$E$3:$J$3,0)),0)</f>
        <v>0</v>
      </c>
      <c r="S172" s="15">
        <f>-$K172*IFERROR(INDEX('[1]salary allocation'!$E$6:$J$22,MATCH($H172,'[1]salary allocation'!$D$6:$D$22,0),MATCH(S$3,'[1]salary allocation'!$E$3:$J$3,0)),0)</f>
        <v>2251148.1599999997</v>
      </c>
      <c r="T172" s="15">
        <f>-$K172*IFERROR(INDEX('[1]salary allocation'!$E$6:$J$22,MATCH($H172,'[1]salary allocation'!$D$6:$D$22,0),MATCH(T$3,'[1]salary allocation'!$E$3:$J$3,0)),0)</f>
        <v>2251148.1599999997</v>
      </c>
      <c r="U172" s="15">
        <f>-$K172*IFERROR(INDEX('[1]salary allocation'!$E$6:$J$22,MATCH($H172,'[1]salary allocation'!$D$6:$D$22,0),MATCH(U$3,'[1]salary allocation'!$E$3:$J$3,0)),0)</f>
        <v>2251148.1599999997</v>
      </c>
      <c r="V172" s="15">
        <f>-$K172*IFERROR(INDEX('[1]salary allocation'!$E$6:$J$22,MATCH($H172,'[1]salary allocation'!$D$6:$D$22,0),MATCH(V$3,'[1]salary allocation'!$E$3:$J$3,0)),0)</f>
        <v>0</v>
      </c>
      <c r="W172" s="15">
        <f>-$K172*IFERROR(INDEX('[1]salary allocation'!$E$6:$J$22,MATCH($H172,'[1]salary allocation'!$D$6:$D$22,0),MATCH(W$3,'[1]salary allocation'!$E$3:$J$3,0)),0)</f>
        <v>4502296.3199999994</v>
      </c>
      <c r="X172" s="15">
        <f>-$K172*IFERROR(INDEX('[1]salary allocation'!$E$6:$J$22,MATCH($H172,'[1]salary allocation'!$D$6:$D$22,0),MATCH(X$3,'[1]salary allocation'!$E$3:$J$3,0)),0)</f>
        <v>0</v>
      </c>
      <c r="Y172" s="15">
        <f>-$K172*IFERROR(INDEX('[1]salary allocation'!$E$6:$J$22,MATCH($H172,'[1]salary allocation'!$D$6:$D$22,0),MATCH(Y$3,'[1]salary allocation'!$E$3:$J$3,0)),0)</f>
        <v>0</v>
      </c>
      <c r="Z172" s="15">
        <f>-$K172*IFERROR(INDEX('[1]salary allocation'!$E$6:$J$22,MATCH($H172,'[1]salary allocation'!$D$6:$D$22,0),MATCH(Z$3,'[1]salary allocation'!$E$3:$J$3,0)),0)</f>
        <v>0</v>
      </c>
      <c r="AA172" s="15">
        <f>-$K172*IFERROR(INDEX('[1]salary allocation'!$E$6:$J$22,MATCH($H172,'[1]salary allocation'!$D$6:$D$22,0),MATCH(AA$3,'[1]salary allocation'!$E$3:$J$3,0)),0)</f>
        <v>0</v>
      </c>
      <c r="AB172" s="15">
        <f>-$K172*IFERROR(INDEX('[1]salary allocation'!$E$6:$J$22,MATCH($H172,'[1]salary allocation'!$D$6:$D$22,0),MATCH(AB$3,'[1]salary allocation'!$E$3:$J$3,0)),0)</f>
        <v>0</v>
      </c>
      <c r="AC172" s="18">
        <f>-$K172*IFERROR(INDEX('[1]salary allocation'!$E$6:$J$22,MATCH($H172,'[1]salary allocation'!$D$6:$D$22,0),MATCH(AC$3,'[1]salary allocation'!$E$3:$J$3,0)),0)</f>
        <v>0</v>
      </c>
      <c r="AD172" s="17"/>
      <c r="AE172" s="16"/>
      <c r="AF172" s="15">
        <f>-K172</f>
        <v>13242048</v>
      </c>
      <c r="AG172" s="15"/>
      <c r="AH172" s="2">
        <f>K172+SUM(O172:AC172)</f>
        <v>0</v>
      </c>
      <c r="AI172" s="2">
        <f>K172+SUM(AF172:AG172)</f>
        <v>0</v>
      </c>
    </row>
    <row r="173" spans="1:35" x14ac:dyDescent="0.2">
      <c r="A173" s="1" t="s">
        <v>3</v>
      </c>
      <c r="B173" s="53" t="s">
        <v>684</v>
      </c>
      <c r="H173" s="1" t="s">
        <v>35</v>
      </c>
      <c r="I173" s="1" t="s">
        <v>698</v>
      </c>
      <c r="K173" s="2">
        <v>-15444534</v>
      </c>
      <c r="L173" s="46">
        <v>32025</v>
      </c>
      <c r="M173" s="42" t="str">
        <f>LEFT(I173,(LEN(LEFT(I173,FIND(";",I173)))-8))</f>
        <v>VNOther</v>
      </c>
      <c r="N173" s="42" t="s">
        <v>138</v>
      </c>
      <c r="O173" s="15">
        <f>-$K173*IFERROR(INDEX('[1]salary allocation'!$E$6:$J$22,MATCH($H173,'[1]salary allocation'!$D$6:$D$22,0),MATCH(O$3,'[1]salary allocation'!$E$3:$J$3,0)),0)</f>
        <v>0</v>
      </c>
      <c r="P173" s="15">
        <f>-$K173*IFERROR(INDEX('[1]salary allocation'!$E$6:$J$22,MATCH($H173,'[1]salary allocation'!$D$6:$D$22,0),MATCH(P$3,'[1]salary allocation'!$E$3:$J$3,0)),0)</f>
        <v>2316680.1</v>
      </c>
      <c r="Q173" s="15">
        <f>-$K173*IFERROR(INDEX('[1]salary allocation'!$E$6:$J$22,MATCH($H173,'[1]salary allocation'!$D$6:$D$22,0),MATCH(Q$3,'[1]salary allocation'!$E$3:$J$3,0)),0)</f>
        <v>0</v>
      </c>
      <c r="R173" s="15">
        <f>-$K173*IFERROR(INDEX('[1]salary allocation'!$E$6:$J$22,MATCH($H173,'[1]salary allocation'!$D$6:$D$22,0),MATCH(R$3,'[1]salary allocation'!$E$3:$J$3,0)),0)</f>
        <v>0</v>
      </c>
      <c r="S173" s="15">
        <f>-$K173*IFERROR(INDEX('[1]salary allocation'!$E$6:$J$22,MATCH($H173,'[1]salary allocation'!$D$6:$D$22,0),MATCH(S$3,'[1]salary allocation'!$E$3:$J$3,0)),0)</f>
        <v>2625570.7799999998</v>
      </c>
      <c r="T173" s="15">
        <f>-$K173*IFERROR(INDEX('[1]salary allocation'!$E$6:$J$22,MATCH($H173,'[1]salary allocation'!$D$6:$D$22,0),MATCH(T$3,'[1]salary allocation'!$E$3:$J$3,0)),0)</f>
        <v>2625570.7799999998</v>
      </c>
      <c r="U173" s="15">
        <f>-$K173*IFERROR(INDEX('[1]salary allocation'!$E$6:$J$22,MATCH($H173,'[1]salary allocation'!$D$6:$D$22,0),MATCH(U$3,'[1]salary allocation'!$E$3:$J$3,0)),0)</f>
        <v>2625570.7799999998</v>
      </c>
      <c r="V173" s="15">
        <f>-$K173*IFERROR(INDEX('[1]salary allocation'!$E$6:$J$22,MATCH($H173,'[1]salary allocation'!$D$6:$D$22,0),MATCH(V$3,'[1]salary allocation'!$E$3:$J$3,0)),0)</f>
        <v>0</v>
      </c>
      <c r="W173" s="15">
        <f>-$K173*IFERROR(INDEX('[1]salary allocation'!$E$6:$J$22,MATCH($H173,'[1]salary allocation'!$D$6:$D$22,0),MATCH(W$3,'[1]salary allocation'!$E$3:$J$3,0)),0)</f>
        <v>5251141.5599999996</v>
      </c>
      <c r="X173" s="15">
        <f>-$K173*IFERROR(INDEX('[1]salary allocation'!$E$6:$J$22,MATCH($H173,'[1]salary allocation'!$D$6:$D$22,0),MATCH(X$3,'[1]salary allocation'!$E$3:$J$3,0)),0)</f>
        <v>0</v>
      </c>
      <c r="Y173" s="15">
        <f>-$K173*IFERROR(INDEX('[1]salary allocation'!$E$6:$J$22,MATCH($H173,'[1]salary allocation'!$D$6:$D$22,0),MATCH(Y$3,'[1]salary allocation'!$E$3:$J$3,0)),0)</f>
        <v>0</v>
      </c>
      <c r="Z173" s="15">
        <f>-$K173*IFERROR(INDEX('[1]salary allocation'!$E$6:$J$22,MATCH($H173,'[1]salary allocation'!$D$6:$D$22,0),MATCH(Z$3,'[1]salary allocation'!$E$3:$J$3,0)),0)</f>
        <v>0</v>
      </c>
      <c r="AA173" s="15">
        <f>-$K173*IFERROR(INDEX('[1]salary allocation'!$E$6:$J$22,MATCH($H173,'[1]salary allocation'!$D$6:$D$22,0),MATCH(AA$3,'[1]salary allocation'!$E$3:$J$3,0)),0)</f>
        <v>0</v>
      </c>
      <c r="AB173" s="15">
        <f>-$K173*IFERROR(INDEX('[1]salary allocation'!$E$6:$J$22,MATCH($H173,'[1]salary allocation'!$D$6:$D$22,0),MATCH(AB$3,'[1]salary allocation'!$E$3:$J$3,0)),0)</f>
        <v>0</v>
      </c>
      <c r="AC173" s="18">
        <f>-$K173*IFERROR(INDEX('[1]salary allocation'!$E$6:$J$22,MATCH($H173,'[1]salary allocation'!$D$6:$D$22,0),MATCH(AC$3,'[1]salary allocation'!$E$3:$J$3,0)),0)</f>
        <v>0</v>
      </c>
      <c r="AD173" s="17"/>
      <c r="AE173" s="16"/>
      <c r="AF173" s="15">
        <f>-$K173</f>
        <v>15444534</v>
      </c>
      <c r="AG173" s="15"/>
      <c r="AH173" s="2">
        <f>K173+SUM(O173:AC173)</f>
        <v>0</v>
      </c>
      <c r="AI173" s="2">
        <f>K173+SUM(AF173:AG173)</f>
        <v>0</v>
      </c>
    </row>
    <row r="174" spans="1:35" x14ac:dyDescent="0.2">
      <c r="A174" s="1" t="s">
        <v>3</v>
      </c>
      <c r="B174" s="53" t="s">
        <v>684</v>
      </c>
      <c r="H174" s="1" t="s">
        <v>121</v>
      </c>
      <c r="I174" s="1" t="s">
        <v>697</v>
      </c>
      <c r="K174" s="2">
        <v>-4308352</v>
      </c>
      <c r="L174" s="46">
        <v>32025</v>
      </c>
      <c r="M174" s="42" t="str">
        <f>LEFT(I174,(LEN(LEFT(I174,FIND(";",I174)))-8))</f>
        <v>VNLA</v>
      </c>
      <c r="N174" s="42" t="s">
        <v>138</v>
      </c>
      <c r="O174" s="2">
        <f>IF($M174=O$3,-$K174,0)</f>
        <v>0</v>
      </c>
      <c r="P174" s="2">
        <f>IF($M174=P$3,-$K174,0)</f>
        <v>0</v>
      </c>
      <c r="Q174" s="2">
        <f>IF($M174=Q$3,-$K174,0)</f>
        <v>0</v>
      </c>
      <c r="R174" s="2">
        <f>IF($M174=R$3,-$K174,0)</f>
        <v>0</v>
      </c>
      <c r="S174" s="2">
        <f>IF($M174=S$3,-$K174,0)</f>
        <v>0</v>
      </c>
      <c r="T174" s="2">
        <f>IF($M174=T$3,-$K174,0)</f>
        <v>0</v>
      </c>
      <c r="U174" s="2">
        <f>IF($M174=U$3,-$K174,0)</f>
        <v>0</v>
      </c>
      <c r="V174" s="2">
        <f>IF($M174=V$3,-$K174,0)</f>
        <v>0</v>
      </c>
      <c r="W174" s="2">
        <f>IF($M174=W$3,-$K174,0)</f>
        <v>0</v>
      </c>
      <c r="X174" s="2">
        <f>IF($M174=X$3,-$K174,0)</f>
        <v>4308352</v>
      </c>
      <c r="Y174" s="2">
        <f>IF($M174=Y$3,-$K174,0)</f>
        <v>0</v>
      </c>
      <c r="Z174" s="2">
        <f>IF($M174=Z$3,-$K174,0)</f>
        <v>0</v>
      </c>
      <c r="AA174" s="2">
        <f>IF($M174=AA$3,-$K174,0)</f>
        <v>0</v>
      </c>
      <c r="AB174" s="2">
        <f>IF($M174=AB$3,-$K174,0)</f>
        <v>0</v>
      </c>
      <c r="AC174" s="21">
        <f>IF($M174=AC$3,-$K174,0)</f>
        <v>0</v>
      </c>
      <c r="AD174" s="20"/>
      <c r="AE174" s="19"/>
      <c r="AF174" s="2"/>
      <c r="AG174" s="2">
        <f>-$K174</f>
        <v>4308352</v>
      </c>
      <c r="AH174" s="2">
        <f>K174+SUM(O174:AC174)</f>
        <v>0</v>
      </c>
      <c r="AI174" s="2">
        <f>K174+SUM(AF174:AG174)</f>
        <v>0</v>
      </c>
    </row>
    <row r="175" spans="1:35" x14ac:dyDescent="0.2">
      <c r="A175" s="1" t="s">
        <v>3</v>
      </c>
      <c r="B175" s="53" t="s">
        <v>684</v>
      </c>
      <c r="H175" s="1" t="s">
        <v>33</v>
      </c>
      <c r="I175" s="1" t="s">
        <v>696</v>
      </c>
      <c r="K175" s="2">
        <v>-3984832</v>
      </c>
      <c r="L175" s="46">
        <v>32025</v>
      </c>
      <c r="M175" s="42" t="str">
        <f>LEFT(I175,(LEN(LEFT(I175,FIND(";",I175)))-8))</f>
        <v>VNDN</v>
      </c>
      <c r="N175" s="42" t="s">
        <v>138</v>
      </c>
      <c r="O175" s="2">
        <f>IF($M175=O$3,-$K175,0)</f>
        <v>0</v>
      </c>
      <c r="P175" s="2">
        <f>IF($M175=P$3,-$K175,0)</f>
        <v>0</v>
      </c>
      <c r="Q175" s="2">
        <f>IF($M175=Q$3,-$K175,0)</f>
        <v>0</v>
      </c>
      <c r="R175" s="2">
        <f>IF($M175=R$3,-$K175,0)</f>
        <v>0</v>
      </c>
      <c r="S175" s="2">
        <f>IF($M175=S$3,-$K175,0)</f>
        <v>3984832</v>
      </c>
      <c r="T175" s="2">
        <f>IF($M175=T$3,-$K175,0)</f>
        <v>0</v>
      </c>
      <c r="U175" s="2">
        <f>IF($M175=U$3,-$K175,0)</f>
        <v>0</v>
      </c>
      <c r="V175" s="2">
        <f>IF($M175=V$3,-$K175,0)</f>
        <v>0</v>
      </c>
      <c r="W175" s="2">
        <f>IF($M175=W$3,-$K175,0)</f>
        <v>0</v>
      </c>
      <c r="X175" s="2">
        <f>IF($M175=X$3,-$K175,0)</f>
        <v>0</v>
      </c>
      <c r="Y175" s="2">
        <f>IF($M175=Y$3,-$K175,0)</f>
        <v>0</v>
      </c>
      <c r="Z175" s="2">
        <f>IF($M175=Z$3,-$K175,0)</f>
        <v>0</v>
      </c>
      <c r="AA175" s="2">
        <f>IF($M175=AA$3,-$K175,0)</f>
        <v>0</v>
      </c>
      <c r="AB175" s="2">
        <f>IF($M175=AB$3,-$K175,0)</f>
        <v>0</v>
      </c>
      <c r="AC175" s="21">
        <f>IF($M175=AC$3,-$K175,0)</f>
        <v>0</v>
      </c>
      <c r="AD175" s="20"/>
      <c r="AE175" s="19"/>
      <c r="AF175" s="2"/>
      <c r="AG175" s="2">
        <f>-$K175</f>
        <v>3984832</v>
      </c>
      <c r="AH175" s="2">
        <f>K175+SUM(O175:AC175)</f>
        <v>0</v>
      </c>
      <c r="AI175" s="2">
        <f>K175+SUM(AF175:AG175)</f>
        <v>0</v>
      </c>
    </row>
    <row r="176" spans="1:35" x14ac:dyDescent="0.2">
      <c r="A176" s="1" t="s">
        <v>3</v>
      </c>
      <c r="B176" s="53" t="s">
        <v>684</v>
      </c>
      <c r="H176" s="1" t="s">
        <v>31</v>
      </c>
      <c r="I176" s="1" t="s">
        <v>695</v>
      </c>
      <c r="K176" s="2">
        <v>-5064512</v>
      </c>
      <c r="L176" s="46">
        <v>32025</v>
      </c>
      <c r="M176" s="42" t="str">
        <f>LEFT(I176,(LEN(LEFT(I176,FIND(";",I176)))-8))</f>
        <v>VNDN</v>
      </c>
      <c r="N176" s="42" t="s">
        <v>138</v>
      </c>
      <c r="O176" s="2">
        <f>IF($M176=O$3,-$K176,0)</f>
        <v>0</v>
      </c>
      <c r="P176" s="2">
        <f>IF($M176=P$3,-$K176,0)</f>
        <v>0</v>
      </c>
      <c r="Q176" s="2">
        <f>IF($M176=Q$3,-$K176,0)</f>
        <v>0</v>
      </c>
      <c r="R176" s="2">
        <f>IF($M176=R$3,-$K176,0)</f>
        <v>0</v>
      </c>
      <c r="S176" s="2">
        <f>IF($M176=S$3,-$K176,0)</f>
        <v>5064512</v>
      </c>
      <c r="T176" s="2">
        <f>IF($M176=T$3,-$K176,0)</f>
        <v>0</v>
      </c>
      <c r="U176" s="2">
        <f>IF($M176=U$3,-$K176,0)</f>
        <v>0</v>
      </c>
      <c r="V176" s="2">
        <f>IF($M176=V$3,-$K176,0)</f>
        <v>0</v>
      </c>
      <c r="W176" s="2">
        <f>IF($M176=W$3,-$K176,0)</f>
        <v>0</v>
      </c>
      <c r="X176" s="2">
        <f>IF($M176=X$3,-$K176,0)</f>
        <v>0</v>
      </c>
      <c r="Y176" s="2">
        <f>IF($M176=Y$3,-$K176,0)</f>
        <v>0</v>
      </c>
      <c r="Z176" s="2">
        <f>IF($M176=Z$3,-$K176,0)</f>
        <v>0</v>
      </c>
      <c r="AA176" s="2">
        <f>IF($M176=AA$3,-$K176,0)</f>
        <v>0</v>
      </c>
      <c r="AB176" s="2">
        <f>IF($M176=AB$3,-$K176,0)</f>
        <v>0</v>
      </c>
      <c r="AC176" s="21">
        <f>IF($M176=AC$3,-$K176,0)</f>
        <v>0</v>
      </c>
      <c r="AD176" s="20"/>
      <c r="AE176" s="19"/>
      <c r="AF176" s="2"/>
      <c r="AG176" s="2">
        <f>-$K176</f>
        <v>5064512</v>
      </c>
      <c r="AH176" s="2">
        <f>K176+SUM(O176:AC176)</f>
        <v>0</v>
      </c>
      <c r="AI176" s="2">
        <f>K176+SUM(AF176:AG176)</f>
        <v>0</v>
      </c>
    </row>
    <row r="177" spans="1:35" x14ac:dyDescent="0.2">
      <c r="A177" s="1" t="s">
        <v>3</v>
      </c>
      <c r="B177" s="53" t="s">
        <v>684</v>
      </c>
      <c r="H177" s="1" t="s">
        <v>29</v>
      </c>
      <c r="I177" s="1" t="s">
        <v>694</v>
      </c>
      <c r="K177" s="2">
        <v>-6516352</v>
      </c>
      <c r="L177" s="46">
        <v>32025</v>
      </c>
      <c r="M177" s="42" t="str">
        <f>LEFT(I177,(LEN(LEFT(I177,FIND(";",I177)))-8))</f>
        <v>VNDN</v>
      </c>
      <c r="N177" s="42" t="s">
        <v>138</v>
      </c>
      <c r="O177" s="2">
        <f>IF($M177=O$3,-$K177,0)</f>
        <v>0</v>
      </c>
      <c r="P177" s="2">
        <f>IF($M177=P$3,-$K177,0)</f>
        <v>0</v>
      </c>
      <c r="Q177" s="2">
        <f>IF($M177=Q$3,-$K177,0)</f>
        <v>0</v>
      </c>
      <c r="R177" s="2">
        <f>IF($M177=R$3,-$K177,0)</f>
        <v>0</v>
      </c>
      <c r="S177" s="2">
        <f>IF($M177=S$3,-$K177,0)</f>
        <v>6516352</v>
      </c>
      <c r="T177" s="2">
        <f>IF($M177=T$3,-$K177,0)</f>
        <v>0</v>
      </c>
      <c r="U177" s="2">
        <f>IF($M177=U$3,-$K177,0)</f>
        <v>0</v>
      </c>
      <c r="V177" s="2">
        <f>IF($M177=V$3,-$K177,0)</f>
        <v>0</v>
      </c>
      <c r="W177" s="2">
        <f>IF($M177=W$3,-$K177,0)</f>
        <v>0</v>
      </c>
      <c r="X177" s="2">
        <f>IF($M177=X$3,-$K177,0)</f>
        <v>0</v>
      </c>
      <c r="Y177" s="2">
        <f>IF($M177=Y$3,-$K177,0)</f>
        <v>0</v>
      </c>
      <c r="Z177" s="2">
        <f>IF($M177=Z$3,-$K177,0)</f>
        <v>0</v>
      </c>
      <c r="AA177" s="2">
        <f>IF($M177=AA$3,-$K177,0)</f>
        <v>0</v>
      </c>
      <c r="AB177" s="2">
        <f>IF($M177=AB$3,-$K177,0)</f>
        <v>0</v>
      </c>
      <c r="AC177" s="21">
        <f>IF($M177=AC$3,-$K177,0)</f>
        <v>0</v>
      </c>
      <c r="AD177" s="20"/>
      <c r="AE177" s="19"/>
      <c r="AF177" s="2"/>
      <c r="AG177" s="2">
        <f>-$K177</f>
        <v>6516352</v>
      </c>
      <c r="AH177" s="2">
        <f>K177+SUM(O177:AC177)</f>
        <v>0</v>
      </c>
      <c r="AI177" s="2">
        <f>K177+SUM(AF177:AG177)</f>
        <v>0</v>
      </c>
    </row>
    <row r="178" spans="1:35" x14ac:dyDescent="0.2">
      <c r="A178" s="1" t="s">
        <v>3</v>
      </c>
      <c r="B178" s="53" t="s">
        <v>684</v>
      </c>
      <c r="H178" s="1" t="s">
        <v>27</v>
      </c>
      <c r="I178" s="1" t="s">
        <v>693</v>
      </c>
      <c r="K178" s="2">
        <v>-4564352</v>
      </c>
      <c r="L178" s="46">
        <v>32025</v>
      </c>
      <c r="M178" s="42" t="str">
        <f>LEFT(I178,(LEN(LEFT(I178,FIND(";",I178)))-8))</f>
        <v>VNDN</v>
      </c>
      <c r="N178" s="42" t="s">
        <v>138</v>
      </c>
      <c r="O178" s="2">
        <f>IF($M178=O$3,-$K178,0)</f>
        <v>0</v>
      </c>
      <c r="P178" s="2">
        <f>IF($M178=P$3,-$K178,0)</f>
        <v>0</v>
      </c>
      <c r="Q178" s="2">
        <f>IF($M178=Q$3,-$K178,0)</f>
        <v>0</v>
      </c>
      <c r="R178" s="2">
        <f>IF($M178=R$3,-$K178,0)</f>
        <v>0</v>
      </c>
      <c r="S178" s="2">
        <f>IF($M178=S$3,-$K178,0)</f>
        <v>4564352</v>
      </c>
      <c r="T178" s="2">
        <f>IF($M178=T$3,-$K178,0)</f>
        <v>0</v>
      </c>
      <c r="U178" s="2">
        <f>IF($M178=U$3,-$K178,0)</f>
        <v>0</v>
      </c>
      <c r="V178" s="2">
        <f>IF($M178=V$3,-$K178,0)</f>
        <v>0</v>
      </c>
      <c r="W178" s="2">
        <f>IF($M178=W$3,-$K178,0)</f>
        <v>0</v>
      </c>
      <c r="X178" s="2">
        <f>IF($M178=X$3,-$K178,0)</f>
        <v>0</v>
      </c>
      <c r="Y178" s="2">
        <f>IF($M178=Y$3,-$K178,0)</f>
        <v>0</v>
      </c>
      <c r="Z178" s="2">
        <f>IF($M178=Z$3,-$K178,0)</f>
        <v>0</v>
      </c>
      <c r="AA178" s="2">
        <f>IF($M178=AA$3,-$K178,0)</f>
        <v>0</v>
      </c>
      <c r="AB178" s="2">
        <f>IF($M178=AB$3,-$K178,0)</f>
        <v>0</v>
      </c>
      <c r="AC178" s="21">
        <f>IF($M178=AC$3,-$K178,0)</f>
        <v>0</v>
      </c>
      <c r="AD178" s="20"/>
      <c r="AE178" s="19"/>
      <c r="AF178" s="2"/>
      <c r="AG178" s="2">
        <f>-$K178</f>
        <v>4564352</v>
      </c>
      <c r="AH178" s="2">
        <f>K178+SUM(O178:AC178)</f>
        <v>0</v>
      </c>
      <c r="AI178" s="2">
        <f>K178+SUM(AF178:AG178)</f>
        <v>0</v>
      </c>
    </row>
    <row r="179" spans="1:35" x14ac:dyDescent="0.2">
      <c r="A179" s="1" t="s">
        <v>3</v>
      </c>
      <c r="B179" s="53" t="s">
        <v>684</v>
      </c>
      <c r="H179" s="1" t="s">
        <v>25</v>
      </c>
      <c r="I179" s="1" t="s">
        <v>692</v>
      </c>
      <c r="K179" s="2">
        <v>-5039552</v>
      </c>
      <c r="L179" s="46">
        <v>32025</v>
      </c>
      <c r="M179" s="42" t="str">
        <f>LEFT(I179,(LEN(LEFT(I179,FIND(";",I179)))-8))</f>
        <v>VNQN</v>
      </c>
      <c r="N179" s="42" t="s">
        <v>138</v>
      </c>
      <c r="O179" s="2">
        <f>IF($M179=O$3,-$K179,0)</f>
        <v>0</v>
      </c>
      <c r="P179" s="2">
        <f>IF($M179=P$3,-$K179,0)</f>
        <v>0</v>
      </c>
      <c r="Q179" s="2">
        <f>IF($M179=Q$3,-$K179,0)</f>
        <v>0</v>
      </c>
      <c r="R179" s="2">
        <f>IF($M179=R$3,-$K179,0)</f>
        <v>0</v>
      </c>
      <c r="S179" s="2">
        <f>IF($M179=S$3,-$K179,0)</f>
        <v>0</v>
      </c>
      <c r="T179" s="2">
        <f>IF($M179=T$3,-$K179,0)</f>
        <v>5039552</v>
      </c>
      <c r="U179" s="2">
        <f>IF($M179=U$3,-$K179,0)</f>
        <v>0</v>
      </c>
      <c r="V179" s="2">
        <f>IF($M179=V$3,-$K179,0)</f>
        <v>0</v>
      </c>
      <c r="W179" s="2">
        <f>IF($M179=W$3,-$K179,0)</f>
        <v>0</v>
      </c>
      <c r="X179" s="2">
        <f>IF($M179=X$3,-$K179,0)</f>
        <v>0</v>
      </c>
      <c r="Y179" s="2">
        <f>IF($M179=Y$3,-$K179,0)</f>
        <v>0</v>
      </c>
      <c r="Z179" s="2">
        <f>IF($M179=Z$3,-$K179,0)</f>
        <v>0</v>
      </c>
      <c r="AA179" s="2">
        <f>IF($M179=AA$3,-$K179,0)</f>
        <v>0</v>
      </c>
      <c r="AB179" s="2">
        <f>IF($M179=AB$3,-$K179,0)</f>
        <v>0</v>
      </c>
      <c r="AC179" s="21">
        <f>IF($M179=AC$3,-$K179,0)</f>
        <v>0</v>
      </c>
      <c r="AD179" s="20"/>
      <c r="AE179" s="19"/>
      <c r="AF179" s="2"/>
      <c r="AG179" s="2">
        <f>-$K179</f>
        <v>5039552</v>
      </c>
      <c r="AH179" s="2">
        <f>K179+SUM(O179:AC179)</f>
        <v>0</v>
      </c>
      <c r="AI179" s="2">
        <f>K179+SUM(AF179:AG179)</f>
        <v>0</v>
      </c>
    </row>
    <row r="180" spans="1:35" x14ac:dyDescent="0.2">
      <c r="A180" s="1" t="s">
        <v>3</v>
      </c>
      <c r="B180" s="53" t="s">
        <v>684</v>
      </c>
      <c r="H180" s="1" t="s">
        <v>81</v>
      </c>
      <c r="I180" s="1" t="s">
        <v>691</v>
      </c>
      <c r="K180" s="2">
        <v>-4069952</v>
      </c>
      <c r="L180" s="46">
        <v>32025</v>
      </c>
      <c r="M180" s="42" t="str">
        <f>LEFT(I180,(LEN(LEFT(I180,FIND(";",I180)))-8))</f>
        <v>VNQN</v>
      </c>
      <c r="N180" s="42" t="s">
        <v>138</v>
      </c>
      <c r="O180" s="2">
        <f>IF($M180=O$3,-$K180,0)</f>
        <v>0</v>
      </c>
      <c r="P180" s="2">
        <f>IF($M180=P$3,-$K180,0)</f>
        <v>0</v>
      </c>
      <c r="Q180" s="2">
        <f>IF($M180=Q$3,-$K180,0)</f>
        <v>0</v>
      </c>
      <c r="R180" s="2">
        <f>IF($M180=R$3,-$K180,0)</f>
        <v>0</v>
      </c>
      <c r="S180" s="2">
        <f>IF($M180=S$3,-$K180,0)</f>
        <v>0</v>
      </c>
      <c r="T180" s="2">
        <f>IF($M180=T$3,-$K180,0)</f>
        <v>4069952</v>
      </c>
      <c r="U180" s="2">
        <f>IF($M180=U$3,-$K180,0)</f>
        <v>0</v>
      </c>
      <c r="V180" s="2">
        <f>IF($M180=V$3,-$K180,0)</f>
        <v>0</v>
      </c>
      <c r="W180" s="2">
        <f>IF($M180=W$3,-$K180,0)</f>
        <v>0</v>
      </c>
      <c r="X180" s="2">
        <f>IF($M180=X$3,-$K180,0)</f>
        <v>0</v>
      </c>
      <c r="Y180" s="2">
        <f>IF($M180=Y$3,-$K180,0)</f>
        <v>0</v>
      </c>
      <c r="Z180" s="2">
        <f>IF($M180=Z$3,-$K180,0)</f>
        <v>0</v>
      </c>
      <c r="AA180" s="2">
        <f>IF($M180=AA$3,-$K180,0)</f>
        <v>0</v>
      </c>
      <c r="AB180" s="2">
        <f>IF($M180=AB$3,-$K180,0)</f>
        <v>0</v>
      </c>
      <c r="AC180" s="21">
        <f>IF($M180=AC$3,-$K180,0)</f>
        <v>0</v>
      </c>
      <c r="AD180" s="20"/>
      <c r="AE180" s="19"/>
      <c r="AF180" s="2"/>
      <c r="AG180" s="2">
        <f>-$K180</f>
        <v>4069952</v>
      </c>
      <c r="AH180" s="2">
        <f>K180+SUM(O180:AC180)</f>
        <v>0</v>
      </c>
      <c r="AI180" s="2">
        <f>K180+SUM(AF180:AG180)</f>
        <v>0</v>
      </c>
    </row>
    <row r="181" spans="1:35" x14ac:dyDescent="0.2">
      <c r="A181" s="1" t="s">
        <v>3</v>
      </c>
      <c r="B181" s="53" t="s">
        <v>684</v>
      </c>
      <c r="H181" s="1" t="s">
        <v>23</v>
      </c>
      <c r="I181" s="1" t="s">
        <v>690</v>
      </c>
      <c r="K181" s="2">
        <v>-4069952</v>
      </c>
      <c r="L181" s="46">
        <v>32025</v>
      </c>
      <c r="M181" s="42" t="str">
        <f>LEFT(I181,(LEN(LEFT(I181,FIND(";",I181)))-8))</f>
        <v>VNHD</v>
      </c>
      <c r="N181" s="42" t="s">
        <v>138</v>
      </c>
      <c r="O181" s="2">
        <f>IF($M181=O$3,-$K181,0)</f>
        <v>0</v>
      </c>
      <c r="P181" s="2">
        <f>IF($M181=P$3,-$K181,0)</f>
        <v>0</v>
      </c>
      <c r="Q181" s="2">
        <f>IF($M181=Q$3,-$K181,0)</f>
        <v>0</v>
      </c>
      <c r="R181" s="2">
        <f>IF($M181=R$3,-$K181,0)</f>
        <v>0</v>
      </c>
      <c r="S181" s="2">
        <f>IF($M181=S$3,-$K181,0)</f>
        <v>0</v>
      </c>
      <c r="T181" s="2">
        <f>IF($M181=T$3,-$K181,0)</f>
        <v>0</v>
      </c>
      <c r="U181" s="2">
        <f>IF($M181=U$3,-$K181,0)</f>
        <v>4069952</v>
      </c>
      <c r="V181" s="2">
        <f>IF($M181=V$3,-$K181,0)</f>
        <v>0</v>
      </c>
      <c r="W181" s="2">
        <f>IF($M181=W$3,-$K181,0)</f>
        <v>0</v>
      </c>
      <c r="X181" s="2">
        <f>IF($M181=X$3,-$K181,0)</f>
        <v>0</v>
      </c>
      <c r="Y181" s="2">
        <f>IF($M181=Y$3,-$K181,0)</f>
        <v>0</v>
      </c>
      <c r="Z181" s="2">
        <f>IF($M181=Z$3,-$K181,0)</f>
        <v>0</v>
      </c>
      <c r="AA181" s="2">
        <f>IF($M181=AA$3,-$K181,0)</f>
        <v>0</v>
      </c>
      <c r="AB181" s="2">
        <f>IF($M181=AB$3,-$K181,0)</f>
        <v>0</v>
      </c>
      <c r="AC181" s="21">
        <f>IF($M181=AC$3,-$K181,0)</f>
        <v>0</v>
      </c>
      <c r="AD181" s="20"/>
      <c r="AE181" s="19"/>
      <c r="AF181" s="2"/>
      <c r="AG181" s="2">
        <f>-$K181</f>
        <v>4069952</v>
      </c>
      <c r="AH181" s="2">
        <f>K181+SUM(O181:AC181)</f>
        <v>0</v>
      </c>
      <c r="AI181" s="2">
        <f>K181+SUM(AF181:AG181)</f>
        <v>0</v>
      </c>
    </row>
    <row r="182" spans="1:35" x14ac:dyDescent="0.2">
      <c r="A182" s="1" t="s">
        <v>3</v>
      </c>
      <c r="B182" s="53" t="s">
        <v>684</v>
      </c>
      <c r="H182" s="1" t="s">
        <v>21</v>
      </c>
      <c r="I182" s="1" t="s">
        <v>689</v>
      </c>
      <c r="K182" s="2">
        <v>-4564352</v>
      </c>
      <c r="L182" s="46">
        <v>32025</v>
      </c>
      <c r="M182" s="42" t="str">
        <f>LEFT(I182,(LEN(LEFT(I182,FIND(";",I182)))-8))</f>
        <v>VNHCM</v>
      </c>
      <c r="N182" s="42" t="s">
        <v>138</v>
      </c>
      <c r="O182" s="2">
        <f>IF($M182=O$3,-$K182,0)</f>
        <v>0</v>
      </c>
      <c r="P182" s="2">
        <f>IF($M182=P$3,-$K182,0)</f>
        <v>0</v>
      </c>
      <c r="Q182" s="2">
        <f>IF($M182=Q$3,-$K182,0)</f>
        <v>0</v>
      </c>
      <c r="R182" s="2">
        <f>IF($M182=R$3,-$K182,0)</f>
        <v>0</v>
      </c>
      <c r="S182" s="2">
        <f>IF($M182=S$3,-$K182,0)</f>
        <v>0</v>
      </c>
      <c r="T182" s="2">
        <f>IF($M182=T$3,-$K182,0)</f>
        <v>0</v>
      </c>
      <c r="U182" s="2">
        <f>IF($M182=U$3,-$K182,0)</f>
        <v>0</v>
      </c>
      <c r="V182" s="2">
        <f>IF($M182=V$3,-$K182,0)</f>
        <v>0</v>
      </c>
      <c r="W182" s="2">
        <f>IF($M182=W$3,-$K182,0)</f>
        <v>0</v>
      </c>
      <c r="X182" s="2">
        <f>IF($M182=X$3,-$K182,0)</f>
        <v>0</v>
      </c>
      <c r="Y182" s="2">
        <f>IF($M182=Y$3,-$K182,0)</f>
        <v>4564352</v>
      </c>
      <c r="Z182" s="2">
        <f>IF($M182=Z$3,-$K182,0)</f>
        <v>0</v>
      </c>
      <c r="AA182" s="2">
        <f>IF($M182=AA$3,-$K182,0)</f>
        <v>0</v>
      </c>
      <c r="AB182" s="2">
        <f>IF($M182=AB$3,-$K182,0)</f>
        <v>0</v>
      </c>
      <c r="AC182" s="21">
        <f>IF($M182=AC$3,-$K182,0)</f>
        <v>0</v>
      </c>
      <c r="AD182" s="20"/>
      <c r="AE182" s="19"/>
      <c r="AF182" s="2"/>
      <c r="AG182" s="2">
        <f>-$K182</f>
        <v>4564352</v>
      </c>
      <c r="AH182" s="2">
        <f>K182+SUM(O182:AC182)</f>
        <v>0</v>
      </c>
      <c r="AI182" s="2">
        <f>K182+SUM(AF182:AG182)</f>
        <v>0</v>
      </c>
    </row>
    <row r="183" spans="1:35" x14ac:dyDescent="0.2">
      <c r="A183" s="1" t="s">
        <v>3</v>
      </c>
      <c r="B183" s="53" t="s">
        <v>684</v>
      </c>
      <c r="H183" s="1" t="s">
        <v>19</v>
      </c>
      <c r="I183" s="1" t="s">
        <v>688</v>
      </c>
      <c r="K183" s="2">
        <v>-4564352</v>
      </c>
      <c r="L183" s="46">
        <v>32025</v>
      </c>
      <c r="M183" s="42" t="str">
        <f>LEFT(I183,(LEN(LEFT(I183,FIND(";",I183)))-8))</f>
        <v>VNQN</v>
      </c>
      <c r="N183" s="42" t="s">
        <v>138</v>
      </c>
      <c r="O183" s="2">
        <f>IF($M183=O$3,-$K183,0)</f>
        <v>0</v>
      </c>
      <c r="P183" s="2">
        <f>IF($M183=P$3,-$K183,0)</f>
        <v>0</v>
      </c>
      <c r="Q183" s="2">
        <f>IF($M183=Q$3,-$K183,0)</f>
        <v>0</v>
      </c>
      <c r="R183" s="2">
        <f>IF($M183=R$3,-$K183,0)</f>
        <v>0</v>
      </c>
      <c r="S183" s="2">
        <f>IF($M183=S$3,-$K183,0)</f>
        <v>0</v>
      </c>
      <c r="T183" s="2">
        <f>IF($M183=T$3,-$K183,0)</f>
        <v>4564352</v>
      </c>
      <c r="U183" s="2">
        <f>IF($M183=U$3,-$K183,0)</f>
        <v>0</v>
      </c>
      <c r="V183" s="2">
        <f>IF($M183=V$3,-$K183,0)</f>
        <v>0</v>
      </c>
      <c r="W183" s="2">
        <f>IF($M183=W$3,-$K183,0)</f>
        <v>0</v>
      </c>
      <c r="X183" s="2">
        <f>IF($M183=X$3,-$K183,0)</f>
        <v>0</v>
      </c>
      <c r="Y183" s="2">
        <f>IF($M183=Y$3,-$K183,0)</f>
        <v>0</v>
      </c>
      <c r="Z183" s="2">
        <f>IF($M183=Z$3,-$K183,0)</f>
        <v>0</v>
      </c>
      <c r="AA183" s="2">
        <f>IF($M183=AA$3,-$K183,0)</f>
        <v>0</v>
      </c>
      <c r="AB183" s="2">
        <f>IF($M183=AB$3,-$K183,0)</f>
        <v>0</v>
      </c>
      <c r="AC183" s="21">
        <f>IF($M183=AC$3,-$K183,0)</f>
        <v>0</v>
      </c>
      <c r="AD183" s="20"/>
      <c r="AE183" s="19"/>
      <c r="AF183" s="2"/>
      <c r="AG183" s="2">
        <f>-$K183</f>
        <v>4564352</v>
      </c>
      <c r="AH183" s="2">
        <f>K183+SUM(O183:AC183)</f>
        <v>0</v>
      </c>
      <c r="AI183" s="2">
        <f>K183+SUM(AF183:AG183)</f>
        <v>0</v>
      </c>
    </row>
    <row r="184" spans="1:35" x14ac:dyDescent="0.2">
      <c r="A184" s="1" t="s">
        <v>3</v>
      </c>
      <c r="B184" s="53" t="s">
        <v>684</v>
      </c>
      <c r="H184" s="1" t="s">
        <v>153</v>
      </c>
      <c r="I184" s="1" t="s">
        <v>687</v>
      </c>
      <c r="K184" s="2">
        <v>-4244352</v>
      </c>
      <c r="L184" s="46">
        <v>32025</v>
      </c>
      <c r="M184" s="42" t="str">
        <f>LEFT(I184,(LEN(LEFT(I184,FIND(";",I184)))-8))</f>
        <v>VNBN</v>
      </c>
      <c r="N184" s="42" t="s">
        <v>138</v>
      </c>
      <c r="O184" s="2">
        <f>IF($M184=O$3,-$K184,0)</f>
        <v>0</v>
      </c>
      <c r="P184" s="2">
        <f>IF($M184=P$3,-$K184,0)</f>
        <v>0</v>
      </c>
      <c r="Q184" s="2">
        <f>IF($M184=Q$3,-$K184,0)</f>
        <v>0</v>
      </c>
      <c r="R184" s="2">
        <f>IF($M184=R$3,-$K184,0)</f>
        <v>0</v>
      </c>
      <c r="S184" s="2">
        <f>IF($M184=S$3,-$K184,0)</f>
        <v>0</v>
      </c>
      <c r="T184" s="2">
        <f>IF($M184=T$3,-$K184,0)</f>
        <v>0</v>
      </c>
      <c r="U184" s="2">
        <f>IF($M184=U$3,-$K184,0)</f>
        <v>0</v>
      </c>
      <c r="V184" s="2">
        <f>IF($M184=V$3,-$K184,0)</f>
        <v>0</v>
      </c>
      <c r="W184" s="2">
        <f>IF($M184=W$3,-$K184,0)</f>
        <v>0</v>
      </c>
      <c r="X184" s="2">
        <f>IF($M184=X$3,-$K184,0)</f>
        <v>0</v>
      </c>
      <c r="Y184" s="2">
        <f>IF($M184=Y$3,-$K184,0)</f>
        <v>0</v>
      </c>
      <c r="Z184" s="2">
        <f>IF($M184=Z$3,-$K184,0)</f>
        <v>0</v>
      </c>
      <c r="AA184" s="2">
        <f>IF($M184=AA$3,-$K184,0)</f>
        <v>4244352</v>
      </c>
      <c r="AB184" s="2">
        <f>IF($M184=AB$3,-$K184,0)</f>
        <v>0</v>
      </c>
      <c r="AC184" s="21">
        <f>IF($M184=AC$3,-$K184,0)</f>
        <v>0</v>
      </c>
      <c r="AD184" s="20"/>
      <c r="AE184" s="19"/>
      <c r="AF184" s="2"/>
      <c r="AG184" s="2">
        <f>-K184</f>
        <v>4244352</v>
      </c>
      <c r="AH184" s="2">
        <f>K184+SUM(O184:AC184)</f>
        <v>0</v>
      </c>
      <c r="AI184" s="2">
        <f>K184+SUM(AF184:AG184)</f>
        <v>0</v>
      </c>
    </row>
    <row r="185" spans="1:35" x14ac:dyDescent="0.2">
      <c r="A185" s="1" t="s">
        <v>3</v>
      </c>
      <c r="B185" s="53" t="s">
        <v>684</v>
      </c>
      <c r="H185" s="1" t="s">
        <v>151</v>
      </c>
      <c r="I185" s="1" t="s">
        <v>686</v>
      </c>
      <c r="K185" s="2">
        <v>-3924352</v>
      </c>
      <c r="L185" s="46">
        <v>32025</v>
      </c>
      <c r="M185" s="42" t="str">
        <f>LEFT(I185,(LEN(LEFT(I185,FIND(";",I185)))-8))</f>
        <v>VNQN</v>
      </c>
      <c r="N185" s="42" t="s">
        <v>138</v>
      </c>
      <c r="O185" s="2">
        <f>IF($M185=O$3,-$K185,0)</f>
        <v>0</v>
      </c>
      <c r="P185" s="2">
        <f>IF($M185=P$3,-$K185,0)</f>
        <v>0</v>
      </c>
      <c r="Q185" s="2">
        <f>IF($M185=Q$3,-$K185,0)</f>
        <v>0</v>
      </c>
      <c r="R185" s="2">
        <f>IF($M185=R$3,-$K185,0)</f>
        <v>0</v>
      </c>
      <c r="S185" s="2">
        <f>IF($M185=S$3,-$K185,0)</f>
        <v>0</v>
      </c>
      <c r="T185" s="2">
        <f>IF($M185=T$3,-$K185,0)</f>
        <v>3924352</v>
      </c>
      <c r="U185" s="2">
        <f>IF($M185=U$3,-$K185,0)</f>
        <v>0</v>
      </c>
      <c r="V185" s="2">
        <f>IF($M185=V$3,-$K185,0)</f>
        <v>0</v>
      </c>
      <c r="W185" s="2">
        <f>IF($M185=W$3,-$K185,0)</f>
        <v>0</v>
      </c>
      <c r="X185" s="2">
        <f>IF($M185=X$3,-$K185,0)</f>
        <v>0</v>
      </c>
      <c r="Y185" s="2">
        <f>IF($M185=Y$3,-$K185,0)</f>
        <v>0</v>
      </c>
      <c r="Z185" s="2">
        <f>IF($M185=Z$3,-$K185,0)</f>
        <v>0</v>
      </c>
      <c r="AA185" s="2">
        <f>IF($M185=AA$3,-$K185,0)</f>
        <v>0</v>
      </c>
      <c r="AB185" s="2">
        <f>IF($M185=AB$3,-$K185,0)</f>
        <v>0</v>
      </c>
      <c r="AC185" s="21">
        <f>IF($M185=AC$3,-$K185,0)</f>
        <v>0</v>
      </c>
      <c r="AD185" s="20"/>
      <c r="AE185" s="19"/>
      <c r="AF185" s="2"/>
      <c r="AG185" s="2">
        <f>-$K185</f>
        <v>3924352</v>
      </c>
      <c r="AH185" s="2">
        <f>K185+SUM(O185:AC185)</f>
        <v>0</v>
      </c>
      <c r="AI185" s="2">
        <f>K185+SUM(AF185:AG185)</f>
        <v>0</v>
      </c>
    </row>
    <row r="186" spans="1:35" x14ac:dyDescent="0.2">
      <c r="A186" s="1" t="s">
        <v>3</v>
      </c>
      <c r="B186" s="53" t="s">
        <v>684</v>
      </c>
      <c r="H186" s="1" t="s">
        <v>76</v>
      </c>
      <c r="I186" s="1" t="s">
        <v>685</v>
      </c>
      <c r="K186" s="2">
        <v>0</v>
      </c>
      <c r="L186" s="46">
        <v>32025</v>
      </c>
      <c r="M186" s="42" t="str">
        <f>LEFT(I186,(LEN(LEFT(I186,FIND(";",I186)))-8))</f>
        <v>VNMOET</v>
      </c>
      <c r="N186" s="42" t="s">
        <v>138</v>
      </c>
      <c r="O186" s="2">
        <f>IF($M186=O$3,-$K186,0)</f>
        <v>0</v>
      </c>
      <c r="P186" s="2">
        <f>IF($M186=P$3,-$K186,0)</f>
        <v>0</v>
      </c>
      <c r="Q186" s="2">
        <f>IF($M186=Q$3,-$K186,0)</f>
        <v>0</v>
      </c>
      <c r="R186" s="2">
        <f>IF($M186=R$3,-$K186,0)</f>
        <v>0</v>
      </c>
      <c r="S186" s="2">
        <f>IF($M186=S$3,-$K186,0)</f>
        <v>0</v>
      </c>
      <c r="T186" s="2">
        <f>IF($M186=T$3,-$K186,0)</f>
        <v>0</v>
      </c>
      <c r="U186" s="2">
        <f>IF($M186=U$3,-$K186,0)</f>
        <v>0</v>
      </c>
      <c r="V186" s="2">
        <f>IF($M186=V$3,-$K186,0)</f>
        <v>0</v>
      </c>
      <c r="W186" s="2">
        <f>IF($M186=W$3,-$K186,0)</f>
        <v>0</v>
      </c>
      <c r="X186" s="2">
        <f>IF($M186=X$3,-$K186,0)</f>
        <v>0</v>
      </c>
      <c r="Y186" s="2">
        <f>IF($M186=Y$3,-$K186,0)</f>
        <v>0</v>
      </c>
      <c r="Z186" s="2">
        <f>IF($M186=Z$3,-$K186,0)</f>
        <v>0</v>
      </c>
      <c r="AA186" s="2">
        <f>IF($M186=AA$3,-$K186,0)</f>
        <v>0</v>
      </c>
      <c r="AB186" s="2">
        <f>IF($M186=AB$3,-$K186,0)</f>
        <v>0</v>
      </c>
      <c r="AC186" s="21">
        <f>IF($M186=AC$3,-$K186,0)</f>
        <v>0</v>
      </c>
      <c r="AD186" s="20"/>
      <c r="AE186" s="19"/>
      <c r="AF186" s="2">
        <f>-$K186</f>
        <v>0</v>
      </c>
      <c r="AG186" s="2"/>
      <c r="AH186" s="2">
        <f>K186+SUM(O186:AC186)</f>
        <v>0</v>
      </c>
      <c r="AI186" s="2">
        <f>K186+SUM(AF186:AG186)</f>
        <v>0</v>
      </c>
    </row>
    <row r="187" spans="1:35" x14ac:dyDescent="0.2">
      <c r="A187" s="1" t="s">
        <v>3</v>
      </c>
      <c r="B187" s="53" t="s">
        <v>684</v>
      </c>
      <c r="H187" s="1" t="s">
        <v>17</v>
      </c>
      <c r="I187" s="1" t="s">
        <v>683</v>
      </c>
      <c r="K187" s="2">
        <v>-3604352</v>
      </c>
      <c r="L187" s="46">
        <v>32025</v>
      </c>
      <c r="M187" s="42" t="s">
        <v>591</v>
      </c>
      <c r="N187" s="42" t="s">
        <v>138</v>
      </c>
      <c r="O187" s="2">
        <f>IF($M187=O$3,-$K187,0)</f>
        <v>0</v>
      </c>
      <c r="P187" s="2">
        <f>IF($M187=P$3,-$K187,0)</f>
        <v>0</v>
      </c>
      <c r="Q187" s="2">
        <f>IF($M187=Q$3,-$K187,0)</f>
        <v>0</v>
      </c>
      <c r="R187" s="2">
        <f>IF($M187=R$3,-$K187,0)</f>
        <v>0</v>
      </c>
      <c r="S187" s="2">
        <f>IF($M187=S$3,-$K187,0)</f>
        <v>0</v>
      </c>
      <c r="T187" s="2">
        <f>IF($M187=T$3,-$K187,0)</f>
        <v>3604352</v>
      </c>
      <c r="U187" s="2">
        <f>IF($M187=U$3,-$K187,0)</f>
        <v>0</v>
      </c>
      <c r="V187" s="2">
        <f>IF($M187=V$3,-$K187,0)</f>
        <v>0</v>
      </c>
      <c r="W187" s="2">
        <f>IF($M187=W$3,-$K187,0)</f>
        <v>0</v>
      </c>
      <c r="X187" s="2">
        <f>IF($M187=X$3,-$K187,0)</f>
        <v>0</v>
      </c>
      <c r="Y187" s="2">
        <f>IF($M187=Y$3,-$K187,0)</f>
        <v>0</v>
      </c>
      <c r="Z187" s="2">
        <f>IF($M187=Z$3,-$K187,0)</f>
        <v>0</v>
      </c>
      <c r="AA187" s="2">
        <f>IF($M187=AA$3,-$K187,0)</f>
        <v>0</v>
      </c>
      <c r="AB187" s="2">
        <f>IF($M187=AB$3,-$K187,0)</f>
        <v>0</v>
      </c>
      <c r="AC187" s="21">
        <f>IF($M187=AC$3,-$K187,0)</f>
        <v>0</v>
      </c>
      <c r="AD187" s="20"/>
      <c r="AE187" s="19"/>
      <c r="AF187" s="2"/>
      <c r="AG187" s="2">
        <f>-$K187</f>
        <v>3604352</v>
      </c>
      <c r="AH187" s="2">
        <f>K187+SUM(O187:AC187)</f>
        <v>0</v>
      </c>
      <c r="AI187" s="2">
        <f>K187+SUM(AF187:AG187)</f>
        <v>0</v>
      </c>
    </row>
    <row r="188" spans="1:35" x14ac:dyDescent="0.2">
      <c r="A188" s="1" t="s">
        <v>3</v>
      </c>
      <c r="B188" s="68">
        <v>45775</v>
      </c>
      <c r="H188" s="1" t="s">
        <v>57</v>
      </c>
      <c r="I188" s="1" t="s">
        <v>682</v>
      </c>
      <c r="K188" s="2">
        <v>-15255640</v>
      </c>
      <c r="L188" s="46">
        <v>42025</v>
      </c>
      <c r="M188" s="42" t="str">
        <f>LEFT(I188,(LEN(LEFT(I188,FIND(";",I188)))-8))</f>
        <v>VNOther</v>
      </c>
      <c r="N188" s="42" t="s">
        <v>138</v>
      </c>
      <c r="O188" s="15">
        <f>-$K188*IFERROR(INDEX('[1]salary allocation'!$E$6:$J$22,MATCH($H188,'[1]salary allocation'!$D$6:$D$22,0),MATCH(O$3,'[1]salary allocation'!$E$3:$J$3,0)),0)</f>
        <v>0</v>
      </c>
      <c r="P188" s="15">
        <f>-$K188*IFERROR(INDEX('[1]salary allocation'!$E$6:$J$22,MATCH($H188,'[1]salary allocation'!$D$6:$D$22,0),MATCH(P$3,'[1]salary allocation'!$E$3:$J$3,0)),0)</f>
        <v>7627820</v>
      </c>
      <c r="Q188" s="15">
        <f>-$K188*IFERROR(INDEX('[1]salary allocation'!$E$6:$J$22,MATCH($H188,'[1]salary allocation'!$D$6:$D$22,0),MATCH(Q$3,'[1]salary allocation'!$E$3:$J$3,0)),0)</f>
        <v>0</v>
      </c>
      <c r="R188" s="15">
        <f>-$K188*IFERROR(INDEX('[1]salary allocation'!$E$6:$J$22,MATCH($H188,'[1]salary allocation'!$D$6:$D$22,0),MATCH(R$3,'[1]salary allocation'!$E$3:$J$3,0)),0)</f>
        <v>0</v>
      </c>
      <c r="S188" s="15">
        <f>-$K188*IFERROR(INDEX('[1]salary allocation'!$E$6:$J$22,MATCH($H188,'[1]salary allocation'!$D$6:$D$22,0),MATCH(S$3,'[1]salary allocation'!$E$3:$J$3,0)),0)</f>
        <v>1525564</v>
      </c>
      <c r="T188" s="15">
        <f>-$K188*IFERROR(INDEX('[1]salary allocation'!$E$6:$J$22,MATCH($H188,'[1]salary allocation'!$D$6:$D$22,0),MATCH(T$3,'[1]salary allocation'!$E$3:$J$3,0)),0)</f>
        <v>1525564</v>
      </c>
      <c r="U188" s="15">
        <f>-$K188*IFERROR(INDEX('[1]salary allocation'!$E$6:$J$22,MATCH($H188,'[1]salary allocation'!$D$6:$D$22,0),MATCH(U$3,'[1]salary allocation'!$E$3:$J$3,0)),0)</f>
        <v>1525564</v>
      </c>
      <c r="V188" s="15">
        <f>-$K188*IFERROR(INDEX('[1]salary allocation'!$E$6:$J$22,MATCH($H188,'[1]salary allocation'!$D$6:$D$22,0),MATCH(V$3,'[1]salary allocation'!$E$3:$J$3,0)),0)</f>
        <v>0</v>
      </c>
      <c r="W188" s="15">
        <f>-$K188*IFERROR(INDEX('[1]salary allocation'!$E$6:$J$22,MATCH($H188,'[1]salary allocation'!$D$6:$D$22,0),MATCH(W$3,'[1]salary allocation'!$E$3:$J$3,0)),0)</f>
        <v>3051128</v>
      </c>
      <c r="X188" s="15">
        <f>-$K188*IFERROR(INDEX('[1]salary allocation'!$E$6:$J$22,MATCH($H188,'[1]salary allocation'!$D$6:$D$22,0),MATCH(X$3,'[1]salary allocation'!$E$3:$J$3,0)),0)</f>
        <v>0</v>
      </c>
      <c r="Y188" s="15">
        <f>-$K188*IFERROR(INDEX('[1]salary allocation'!$E$6:$J$22,MATCH($H188,'[1]salary allocation'!$D$6:$D$22,0),MATCH(Y$3,'[1]salary allocation'!$E$3:$J$3,0)),0)</f>
        <v>0</v>
      </c>
      <c r="Z188" s="15">
        <f>-$K188*IFERROR(INDEX('[1]salary allocation'!$E$6:$J$22,MATCH($H188,'[1]salary allocation'!$D$6:$D$22,0),MATCH(Z$3,'[1]salary allocation'!$E$3:$J$3,0)),0)</f>
        <v>0</v>
      </c>
      <c r="AA188" s="15">
        <f>-$K188*IFERROR(INDEX('[1]salary allocation'!$E$6:$J$22,MATCH($H188,'[1]salary allocation'!$D$6:$D$22,0),MATCH(AA$3,'[1]salary allocation'!$E$3:$J$3,0)),0)</f>
        <v>0</v>
      </c>
      <c r="AB188" s="15">
        <f>-$K188*IFERROR(INDEX('[1]salary allocation'!$E$6:$J$22,MATCH($H188,'[1]salary allocation'!$D$6:$D$22,0),MATCH(AB$3,'[1]salary allocation'!$E$3:$J$3,0)),0)</f>
        <v>0</v>
      </c>
      <c r="AC188" s="18">
        <f>-$K188*IFERROR(INDEX('[1]salary allocation'!$E$6:$J$22,MATCH($H188,'[1]salary allocation'!$D$6:$D$22,0),MATCH(AC$3,'[1]salary allocation'!$E$3:$J$3,0)),0)</f>
        <v>0</v>
      </c>
      <c r="AD188" s="17"/>
      <c r="AE188" s="16"/>
      <c r="AF188" s="15">
        <f>-$K188</f>
        <v>15255640</v>
      </c>
      <c r="AG188" s="15"/>
      <c r="AH188" s="2">
        <f>K188+SUM(O188:AC188)</f>
        <v>0</v>
      </c>
      <c r="AI188" s="2">
        <f>K188+SUM(AF188:AG188)</f>
        <v>0</v>
      </c>
    </row>
    <row r="189" spans="1:35" x14ac:dyDescent="0.2">
      <c r="A189" s="1" t="s">
        <v>3</v>
      </c>
      <c r="B189" s="68">
        <v>45775</v>
      </c>
      <c r="H189" s="1" t="s">
        <v>55</v>
      </c>
      <c r="I189" s="1" t="s">
        <v>681</v>
      </c>
      <c r="K189" s="2">
        <v>-15395850</v>
      </c>
      <c r="L189" s="46">
        <v>42025</v>
      </c>
      <c r="M189" s="42" t="str">
        <f>LEFT(I189,(LEN(LEFT(I189,FIND(";",I189)))-8))</f>
        <v>VNHBC</v>
      </c>
      <c r="N189" s="42" t="s">
        <v>138</v>
      </c>
      <c r="O189" s="15">
        <f>-$K189*IFERROR(INDEX('[1]salary allocation'!$E$6:$J$22,MATCH($H189,'[1]salary allocation'!$D$6:$D$22,0),MATCH(O$3,'[1]salary allocation'!$E$3:$J$3,0)),0)</f>
        <v>0</v>
      </c>
      <c r="P189" s="15">
        <f>-$K189*IFERROR(INDEX('[1]salary allocation'!$E$6:$J$22,MATCH($H189,'[1]salary allocation'!$D$6:$D$22,0),MATCH(P$3,'[1]salary allocation'!$E$3:$J$3,0)),0)</f>
        <v>0</v>
      </c>
      <c r="Q189" s="15">
        <f>-$K189*IFERROR(INDEX('[1]salary allocation'!$E$6:$J$22,MATCH($H189,'[1]salary allocation'!$D$6:$D$22,0),MATCH(Q$3,'[1]salary allocation'!$E$3:$J$3,0)),0)</f>
        <v>0</v>
      </c>
      <c r="R189" s="15">
        <f>-$K189*IFERROR(INDEX('[1]salary allocation'!$E$6:$J$22,MATCH($H189,'[1]salary allocation'!$D$6:$D$22,0),MATCH(R$3,'[1]salary allocation'!$E$3:$J$3,0)),0)</f>
        <v>0</v>
      </c>
      <c r="S189" s="15">
        <f>-$K189*IFERROR(INDEX('[1]salary allocation'!$E$6:$J$22,MATCH($H189,'[1]salary allocation'!$D$6:$D$22,0),MATCH(S$3,'[1]salary allocation'!$E$3:$J$3,0)),0)</f>
        <v>3079170</v>
      </c>
      <c r="T189" s="15">
        <f>-$K189*IFERROR(INDEX('[1]salary allocation'!$E$6:$J$22,MATCH($H189,'[1]salary allocation'!$D$6:$D$22,0),MATCH(T$3,'[1]salary allocation'!$E$3:$J$3,0)),0)</f>
        <v>3079170</v>
      </c>
      <c r="U189" s="15">
        <f>-$K189*IFERROR(INDEX('[1]salary allocation'!$E$6:$J$22,MATCH($H189,'[1]salary allocation'!$D$6:$D$22,0),MATCH(U$3,'[1]salary allocation'!$E$3:$J$3,0)),0)</f>
        <v>3079170</v>
      </c>
      <c r="V189" s="15">
        <f>-$K189*IFERROR(INDEX('[1]salary allocation'!$E$6:$J$22,MATCH($H189,'[1]salary allocation'!$D$6:$D$22,0),MATCH(V$3,'[1]salary allocation'!$E$3:$J$3,0)),0)</f>
        <v>0</v>
      </c>
      <c r="W189" s="15">
        <f>-$K189*IFERROR(INDEX('[1]salary allocation'!$E$6:$J$22,MATCH($H189,'[1]salary allocation'!$D$6:$D$22,0),MATCH(W$3,'[1]salary allocation'!$E$3:$J$3,0)),0)</f>
        <v>6158340</v>
      </c>
      <c r="X189" s="15">
        <f>-$K189*IFERROR(INDEX('[1]salary allocation'!$E$6:$J$22,MATCH($H189,'[1]salary allocation'!$D$6:$D$22,0),MATCH(X$3,'[1]salary allocation'!$E$3:$J$3,0)),0)</f>
        <v>0</v>
      </c>
      <c r="Y189" s="15">
        <f>-$K189*IFERROR(INDEX('[1]salary allocation'!$E$6:$J$22,MATCH($H189,'[1]salary allocation'!$D$6:$D$22,0),MATCH(Y$3,'[1]salary allocation'!$E$3:$J$3,0)),0)</f>
        <v>0</v>
      </c>
      <c r="Z189" s="15">
        <f>-$K189*IFERROR(INDEX('[1]salary allocation'!$E$6:$J$22,MATCH($H189,'[1]salary allocation'!$D$6:$D$22,0),MATCH(Z$3,'[1]salary allocation'!$E$3:$J$3,0)),0)</f>
        <v>0</v>
      </c>
      <c r="AA189" s="15">
        <f>-$K189*IFERROR(INDEX('[1]salary allocation'!$E$6:$J$22,MATCH($H189,'[1]salary allocation'!$D$6:$D$22,0),MATCH(AA$3,'[1]salary allocation'!$E$3:$J$3,0)),0)</f>
        <v>0</v>
      </c>
      <c r="AB189" s="15">
        <f>-$K189*IFERROR(INDEX('[1]salary allocation'!$E$6:$J$22,MATCH($H189,'[1]salary allocation'!$D$6:$D$22,0),MATCH(AB$3,'[1]salary allocation'!$E$3:$J$3,0)),0)</f>
        <v>0</v>
      </c>
      <c r="AC189" s="18">
        <f>-$K189*IFERROR(INDEX('[1]salary allocation'!$E$6:$J$22,MATCH($H189,'[1]salary allocation'!$D$6:$D$22,0),MATCH(AC$3,'[1]salary allocation'!$E$3:$J$3,0)),0)</f>
        <v>0</v>
      </c>
      <c r="AD189" s="17"/>
      <c r="AE189" s="16"/>
      <c r="AF189" s="15"/>
      <c r="AG189" s="15">
        <f>-$K189</f>
        <v>15395850</v>
      </c>
      <c r="AH189" s="2">
        <f>K189+SUM(O189:AC189)</f>
        <v>0</v>
      </c>
      <c r="AI189" s="2">
        <f>K189+SUM(AF189:AG189)</f>
        <v>0</v>
      </c>
    </row>
    <row r="190" spans="1:35" x14ac:dyDescent="0.2">
      <c r="A190" s="1" t="s">
        <v>3</v>
      </c>
      <c r="B190" s="68">
        <v>45775</v>
      </c>
      <c r="H190" s="1" t="s">
        <v>53</v>
      </c>
      <c r="I190" s="1" t="s">
        <v>680</v>
      </c>
      <c r="K190" s="2">
        <v>-15135390</v>
      </c>
      <c r="L190" s="46">
        <v>42025</v>
      </c>
      <c r="M190" s="42" t="str">
        <f>LEFT(I190,(LEN(LEFT(I190,FIND(";",I190)))-8))</f>
        <v>VNOther</v>
      </c>
      <c r="N190" s="42" t="s">
        <v>138</v>
      </c>
      <c r="O190" s="15">
        <f>-$K190*IFERROR(INDEX('[1]salary allocation'!$E$6:$J$22,MATCH($H190,'[1]salary allocation'!$D$6:$D$22,0),MATCH(O$3,'[1]salary allocation'!$E$3:$J$3,0)),0)</f>
        <v>0</v>
      </c>
      <c r="P190" s="15">
        <f>-$K190*IFERROR(INDEX('[1]salary allocation'!$E$6:$J$22,MATCH($H190,'[1]salary allocation'!$D$6:$D$22,0),MATCH(P$3,'[1]salary allocation'!$E$3:$J$3,0)),0)</f>
        <v>2270308.5</v>
      </c>
      <c r="Q190" s="15">
        <f>-$K190*IFERROR(INDEX('[1]salary allocation'!$E$6:$J$22,MATCH($H190,'[1]salary allocation'!$D$6:$D$22,0),MATCH(Q$3,'[1]salary allocation'!$E$3:$J$3,0)),0)</f>
        <v>0</v>
      </c>
      <c r="R190" s="15">
        <f>-$K190*IFERROR(INDEX('[1]salary allocation'!$E$6:$J$22,MATCH($H190,'[1]salary allocation'!$D$6:$D$22,0),MATCH(R$3,'[1]salary allocation'!$E$3:$J$3,0)),0)</f>
        <v>0</v>
      </c>
      <c r="S190" s="15">
        <f>-$K190*IFERROR(INDEX('[1]salary allocation'!$E$6:$J$22,MATCH($H190,'[1]salary allocation'!$D$6:$D$22,0),MATCH(S$3,'[1]salary allocation'!$E$3:$J$3,0)),0)</f>
        <v>2573016.2999999998</v>
      </c>
      <c r="T190" s="15">
        <f>-$K190*IFERROR(INDEX('[1]salary allocation'!$E$6:$J$22,MATCH($H190,'[1]salary allocation'!$D$6:$D$22,0),MATCH(T$3,'[1]salary allocation'!$E$3:$J$3,0)),0)</f>
        <v>2573016.2999999998</v>
      </c>
      <c r="U190" s="15">
        <f>-$K190*IFERROR(INDEX('[1]salary allocation'!$E$6:$J$22,MATCH($H190,'[1]salary allocation'!$D$6:$D$22,0),MATCH(U$3,'[1]salary allocation'!$E$3:$J$3,0)),0)</f>
        <v>2573016.2999999998</v>
      </c>
      <c r="V190" s="15">
        <f>-$K190*IFERROR(INDEX('[1]salary allocation'!$E$6:$J$22,MATCH($H190,'[1]salary allocation'!$D$6:$D$22,0),MATCH(V$3,'[1]salary allocation'!$E$3:$J$3,0)),0)</f>
        <v>0</v>
      </c>
      <c r="W190" s="15">
        <f>-$K190*IFERROR(INDEX('[1]salary allocation'!$E$6:$J$22,MATCH($H190,'[1]salary allocation'!$D$6:$D$22,0),MATCH(W$3,'[1]salary allocation'!$E$3:$J$3,0)),0)</f>
        <v>5146032.5999999996</v>
      </c>
      <c r="X190" s="15">
        <f>-$K190*IFERROR(INDEX('[1]salary allocation'!$E$6:$J$22,MATCH($H190,'[1]salary allocation'!$D$6:$D$22,0),MATCH(X$3,'[1]salary allocation'!$E$3:$J$3,0)),0)</f>
        <v>0</v>
      </c>
      <c r="Y190" s="15">
        <f>-$K190*IFERROR(INDEX('[1]salary allocation'!$E$6:$J$22,MATCH($H190,'[1]salary allocation'!$D$6:$D$22,0),MATCH(Y$3,'[1]salary allocation'!$E$3:$J$3,0)),0)</f>
        <v>0</v>
      </c>
      <c r="Z190" s="15">
        <f>-$K190*IFERROR(INDEX('[1]salary allocation'!$E$6:$J$22,MATCH($H190,'[1]salary allocation'!$D$6:$D$22,0),MATCH(Z$3,'[1]salary allocation'!$E$3:$J$3,0)),0)</f>
        <v>0</v>
      </c>
      <c r="AA190" s="15">
        <f>-$K190*IFERROR(INDEX('[1]salary allocation'!$E$6:$J$22,MATCH($H190,'[1]salary allocation'!$D$6:$D$22,0),MATCH(AA$3,'[1]salary allocation'!$E$3:$J$3,0)),0)</f>
        <v>0</v>
      </c>
      <c r="AB190" s="15">
        <f>-$K190*IFERROR(INDEX('[1]salary allocation'!$E$6:$J$22,MATCH($H190,'[1]salary allocation'!$D$6:$D$22,0),MATCH(AB$3,'[1]salary allocation'!$E$3:$J$3,0)),0)</f>
        <v>0</v>
      </c>
      <c r="AC190" s="18">
        <f>-$K190*IFERROR(INDEX('[1]salary allocation'!$E$6:$J$22,MATCH($H190,'[1]salary allocation'!$D$6:$D$22,0),MATCH(AC$3,'[1]salary allocation'!$E$3:$J$3,0)),0)</f>
        <v>0</v>
      </c>
      <c r="AD190" s="17"/>
      <c r="AE190" s="16"/>
      <c r="AF190" s="15">
        <f>-$K190</f>
        <v>15135390</v>
      </c>
      <c r="AG190" s="15"/>
      <c r="AH190" s="2">
        <f>K190+SUM(O190:AC190)</f>
        <v>0</v>
      </c>
      <c r="AI190" s="2">
        <f>K190+SUM(AF190:AG190)</f>
        <v>0</v>
      </c>
    </row>
    <row r="191" spans="1:35" x14ac:dyDescent="0.2">
      <c r="A191" s="1" t="s">
        <v>3</v>
      </c>
      <c r="B191" s="68">
        <v>45775</v>
      </c>
      <c r="H191" s="1" t="s">
        <v>51</v>
      </c>
      <c r="I191" s="1" t="s">
        <v>679</v>
      </c>
      <c r="K191" s="2">
        <v>-13125207</v>
      </c>
      <c r="L191" s="46">
        <v>42025</v>
      </c>
      <c r="M191" s="42" t="str">
        <f>LEFT(I191,(LEN(LEFT(I191,FIND(";",I191)))-8))</f>
        <v>VNOther</v>
      </c>
      <c r="N191" s="42" t="s">
        <v>138</v>
      </c>
      <c r="O191" s="15">
        <f>-$K191*IFERROR(INDEX('[1]salary allocation'!$E$6:$J$22,MATCH($H191,'[1]salary allocation'!$D$6:$D$22,0),MATCH(O$3,'[1]salary allocation'!$E$3:$J$3,0)),0)</f>
        <v>0</v>
      </c>
      <c r="P191" s="15">
        <f>-$K191*IFERROR(INDEX('[1]salary allocation'!$E$6:$J$22,MATCH($H191,'[1]salary allocation'!$D$6:$D$22,0),MATCH(P$3,'[1]salary allocation'!$E$3:$J$3,0)),0)</f>
        <v>6562603.5</v>
      </c>
      <c r="Q191" s="15">
        <f>-$K191*IFERROR(INDEX('[1]salary allocation'!$E$6:$J$22,MATCH($H191,'[1]salary allocation'!$D$6:$D$22,0),MATCH(Q$3,'[1]salary allocation'!$E$3:$J$3,0)),0)</f>
        <v>0</v>
      </c>
      <c r="R191" s="15">
        <f>-$K191*IFERROR(INDEX('[1]salary allocation'!$E$6:$J$22,MATCH($H191,'[1]salary allocation'!$D$6:$D$22,0),MATCH(R$3,'[1]salary allocation'!$E$3:$J$3,0)),0)</f>
        <v>0</v>
      </c>
      <c r="S191" s="15">
        <f>-$K191*IFERROR(INDEX('[1]salary allocation'!$E$6:$J$22,MATCH($H191,'[1]salary allocation'!$D$6:$D$22,0),MATCH(S$3,'[1]salary allocation'!$E$3:$J$3,0)),0)</f>
        <v>1312520.7000000002</v>
      </c>
      <c r="T191" s="15">
        <f>-$K191*IFERROR(INDEX('[1]salary allocation'!$E$6:$J$22,MATCH($H191,'[1]salary allocation'!$D$6:$D$22,0),MATCH(T$3,'[1]salary allocation'!$E$3:$J$3,0)),0)</f>
        <v>1312520.7000000002</v>
      </c>
      <c r="U191" s="15">
        <f>-$K191*IFERROR(INDEX('[1]salary allocation'!$E$6:$J$22,MATCH($H191,'[1]salary allocation'!$D$6:$D$22,0),MATCH(U$3,'[1]salary allocation'!$E$3:$J$3,0)),0)</f>
        <v>1312520.7000000002</v>
      </c>
      <c r="V191" s="15">
        <f>-$K191*IFERROR(INDEX('[1]salary allocation'!$E$6:$J$22,MATCH($H191,'[1]salary allocation'!$D$6:$D$22,0),MATCH(V$3,'[1]salary allocation'!$E$3:$J$3,0)),0)</f>
        <v>0</v>
      </c>
      <c r="W191" s="15">
        <f>-$K191*IFERROR(INDEX('[1]salary allocation'!$E$6:$J$22,MATCH($H191,'[1]salary allocation'!$D$6:$D$22,0),MATCH(W$3,'[1]salary allocation'!$E$3:$J$3,0)),0)</f>
        <v>2625041.4000000004</v>
      </c>
      <c r="X191" s="15">
        <f>-$K191*IFERROR(INDEX('[1]salary allocation'!$E$6:$J$22,MATCH($H191,'[1]salary allocation'!$D$6:$D$22,0),MATCH(X$3,'[1]salary allocation'!$E$3:$J$3,0)),0)</f>
        <v>0</v>
      </c>
      <c r="Y191" s="15">
        <f>-$K191*IFERROR(INDEX('[1]salary allocation'!$E$6:$J$22,MATCH($H191,'[1]salary allocation'!$D$6:$D$22,0),MATCH(Y$3,'[1]salary allocation'!$E$3:$J$3,0)),0)</f>
        <v>0</v>
      </c>
      <c r="Z191" s="15">
        <f>-$K191*IFERROR(INDEX('[1]salary allocation'!$E$6:$J$22,MATCH($H191,'[1]salary allocation'!$D$6:$D$22,0),MATCH(Z$3,'[1]salary allocation'!$E$3:$J$3,0)),0)</f>
        <v>0</v>
      </c>
      <c r="AA191" s="15">
        <f>-$K191*IFERROR(INDEX('[1]salary allocation'!$E$6:$J$22,MATCH($H191,'[1]salary allocation'!$D$6:$D$22,0),MATCH(AA$3,'[1]salary allocation'!$E$3:$J$3,0)),0)</f>
        <v>0</v>
      </c>
      <c r="AB191" s="15">
        <f>-$K191*IFERROR(INDEX('[1]salary allocation'!$E$6:$J$22,MATCH($H191,'[1]salary allocation'!$D$6:$D$22,0),MATCH(AB$3,'[1]salary allocation'!$E$3:$J$3,0)),0)</f>
        <v>0</v>
      </c>
      <c r="AC191" s="18">
        <f>-$K191*IFERROR(INDEX('[1]salary allocation'!$E$6:$J$22,MATCH($H191,'[1]salary allocation'!$D$6:$D$22,0),MATCH(AC$3,'[1]salary allocation'!$E$3:$J$3,0)),0)</f>
        <v>0</v>
      </c>
      <c r="AD191" s="17"/>
      <c r="AE191" s="16"/>
      <c r="AF191" s="15">
        <f>-$K191</f>
        <v>13125207</v>
      </c>
      <c r="AG191" s="15"/>
      <c r="AH191" s="2">
        <f>K191+SUM(O191:AC191)</f>
        <v>0</v>
      </c>
      <c r="AI191" s="2">
        <f>K191+SUM(AF191:AG191)</f>
        <v>0</v>
      </c>
    </row>
    <row r="192" spans="1:35" x14ac:dyDescent="0.2">
      <c r="A192" s="1" t="s">
        <v>3</v>
      </c>
      <c r="B192" s="68">
        <v>45775</v>
      </c>
      <c r="H192" s="1" t="s">
        <v>49</v>
      </c>
      <c r="I192" s="1" t="s">
        <v>678</v>
      </c>
      <c r="K192" s="2">
        <v>-8342490</v>
      </c>
      <c r="L192" s="46">
        <v>42025</v>
      </c>
      <c r="M192" s="42" t="str">
        <f>LEFT(I192,(LEN(LEFT(I192,FIND(";",I192)))-8))</f>
        <v>VNMOET</v>
      </c>
      <c r="N192" s="42" t="s">
        <v>138</v>
      </c>
      <c r="O192" s="15">
        <f>-$K192*IFERROR(INDEX('[1]salary allocation'!$E$6:$J$22,MATCH($H192,'[1]salary allocation'!$D$6:$D$22,0),MATCH(O$3,'[1]salary allocation'!$E$3:$J$3,0)),0)</f>
        <v>0</v>
      </c>
      <c r="P192" s="15">
        <f>-$K192*IFERROR(INDEX('[1]salary allocation'!$E$6:$J$22,MATCH($H192,'[1]salary allocation'!$D$6:$D$22,0),MATCH(P$3,'[1]salary allocation'!$E$3:$J$3,0)),0)</f>
        <v>0</v>
      </c>
      <c r="Q192" s="15">
        <f>-$K192*IFERROR(INDEX('[1]salary allocation'!$E$6:$J$22,MATCH($H192,'[1]salary allocation'!$D$6:$D$22,0),MATCH(Q$3,'[1]salary allocation'!$E$3:$J$3,0)),0)</f>
        <v>0</v>
      </c>
      <c r="R192" s="15">
        <f>-$K192*IFERROR(INDEX('[1]salary allocation'!$E$6:$J$22,MATCH($H192,'[1]salary allocation'!$D$6:$D$22,0),MATCH(R$3,'[1]salary allocation'!$E$3:$J$3,0)),0)</f>
        <v>0</v>
      </c>
      <c r="S192" s="15">
        <f>-$K192*IFERROR(INDEX('[1]salary allocation'!$E$6:$J$22,MATCH($H192,'[1]salary allocation'!$D$6:$D$22,0),MATCH(S$3,'[1]salary allocation'!$E$3:$J$3,0)),0)</f>
        <v>1668498</v>
      </c>
      <c r="T192" s="15">
        <f>-$K192*IFERROR(INDEX('[1]salary allocation'!$E$6:$J$22,MATCH($H192,'[1]salary allocation'!$D$6:$D$22,0),MATCH(T$3,'[1]salary allocation'!$E$3:$J$3,0)),0)</f>
        <v>1668498</v>
      </c>
      <c r="U192" s="15">
        <f>-$K192*IFERROR(INDEX('[1]salary allocation'!$E$6:$J$22,MATCH($H192,'[1]salary allocation'!$D$6:$D$22,0),MATCH(U$3,'[1]salary allocation'!$E$3:$J$3,0)),0)</f>
        <v>1668498</v>
      </c>
      <c r="V192" s="15">
        <f>-$K192*IFERROR(INDEX('[1]salary allocation'!$E$6:$J$22,MATCH($H192,'[1]salary allocation'!$D$6:$D$22,0),MATCH(V$3,'[1]salary allocation'!$E$3:$J$3,0)),0)</f>
        <v>0</v>
      </c>
      <c r="W192" s="15">
        <f>-$K192*IFERROR(INDEX('[1]salary allocation'!$E$6:$J$22,MATCH($H192,'[1]salary allocation'!$D$6:$D$22,0),MATCH(W$3,'[1]salary allocation'!$E$3:$J$3,0)),0)</f>
        <v>3336996</v>
      </c>
      <c r="X192" s="15">
        <f>-$K192*IFERROR(INDEX('[1]salary allocation'!$E$6:$J$22,MATCH($H192,'[1]salary allocation'!$D$6:$D$22,0),MATCH(X$3,'[1]salary allocation'!$E$3:$J$3,0)),0)</f>
        <v>0</v>
      </c>
      <c r="Y192" s="15">
        <f>-$K192*IFERROR(INDEX('[1]salary allocation'!$E$6:$J$22,MATCH($H192,'[1]salary allocation'!$D$6:$D$22,0),MATCH(Y$3,'[1]salary allocation'!$E$3:$J$3,0)),0)</f>
        <v>0</v>
      </c>
      <c r="Z192" s="15">
        <f>-$K192*IFERROR(INDEX('[1]salary allocation'!$E$6:$J$22,MATCH($H192,'[1]salary allocation'!$D$6:$D$22,0),MATCH(Z$3,'[1]salary allocation'!$E$3:$J$3,0)),0)</f>
        <v>0</v>
      </c>
      <c r="AA192" s="15">
        <f>-$K192*IFERROR(INDEX('[1]salary allocation'!$E$6:$J$22,MATCH($H192,'[1]salary allocation'!$D$6:$D$22,0),MATCH(AA$3,'[1]salary allocation'!$E$3:$J$3,0)),0)</f>
        <v>0</v>
      </c>
      <c r="AB192" s="15">
        <f>-$K192*IFERROR(INDEX('[1]salary allocation'!$E$6:$J$22,MATCH($H192,'[1]salary allocation'!$D$6:$D$22,0),MATCH(AB$3,'[1]salary allocation'!$E$3:$J$3,0)),0)</f>
        <v>0</v>
      </c>
      <c r="AC192" s="18">
        <f>-$K192*IFERROR(INDEX('[1]salary allocation'!$E$6:$J$22,MATCH($H192,'[1]salary allocation'!$D$6:$D$22,0),MATCH(AC$3,'[1]salary allocation'!$E$3:$J$3,0)),0)</f>
        <v>0</v>
      </c>
      <c r="AD192" s="17"/>
      <c r="AE192" s="16"/>
      <c r="AF192" s="15"/>
      <c r="AG192" s="15">
        <f>-K192</f>
        <v>8342490</v>
      </c>
      <c r="AH192" s="2">
        <f>K192+SUM(O192:AC192)</f>
        <v>0</v>
      </c>
      <c r="AI192" s="2">
        <f>K192+SUM(AF192:AG192)</f>
        <v>0</v>
      </c>
    </row>
    <row r="193" spans="1:35" x14ac:dyDescent="0.2">
      <c r="A193" s="1" t="s">
        <v>3</v>
      </c>
      <c r="B193" s="68">
        <v>45775</v>
      </c>
      <c r="H193" s="1" t="s">
        <v>47</v>
      </c>
      <c r="I193" s="1" t="s">
        <v>677</v>
      </c>
      <c r="K193" s="2">
        <v>-15239574</v>
      </c>
      <c r="L193" s="46">
        <v>42025</v>
      </c>
      <c r="M193" s="42" t="str">
        <f>LEFT(I193,(LEN(LEFT(I193,FIND(";",I193)))-8))</f>
        <v>VNHBC</v>
      </c>
      <c r="N193" s="42" t="s">
        <v>138</v>
      </c>
      <c r="O193" s="15">
        <f>-$K193*IFERROR(INDEX('[1]salary allocation'!$E$6:$J$22,MATCH($H193,'[1]salary allocation'!$D$6:$D$22,0),MATCH(O$3,'[1]salary allocation'!$E$3:$J$3,0)),0)</f>
        <v>0</v>
      </c>
      <c r="P193" s="15">
        <f>-$K193*IFERROR(INDEX('[1]salary allocation'!$E$6:$J$22,MATCH($H193,'[1]salary allocation'!$D$6:$D$22,0),MATCH(P$3,'[1]salary allocation'!$E$3:$J$3,0)),0)</f>
        <v>0</v>
      </c>
      <c r="Q193" s="15">
        <f>-$K193*IFERROR(INDEX('[1]salary allocation'!$E$6:$J$22,MATCH($H193,'[1]salary allocation'!$D$6:$D$22,0),MATCH(Q$3,'[1]salary allocation'!$E$3:$J$3,0)),0)</f>
        <v>0</v>
      </c>
      <c r="R193" s="15">
        <f>-$K193*IFERROR(INDEX('[1]salary allocation'!$E$6:$J$22,MATCH($H193,'[1]salary allocation'!$D$6:$D$22,0),MATCH(R$3,'[1]salary allocation'!$E$3:$J$3,0)),0)</f>
        <v>0</v>
      </c>
      <c r="S193" s="15">
        <f>-$K193*IFERROR(INDEX('[1]salary allocation'!$E$6:$J$22,MATCH($H193,'[1]salary allocation'!$D$6:$D$22,0),MATCH(S$3,'[1]salary allocation'!$E$3:$J$3,0)),0)</f>
        <v>3047914.8000000003</v>
      </c>
      <c r="T193" s="15">
        <f>-$K193*IFERROR(INDEX('[1]salary allocation'!$E$6:$J$22,MATCH($H193,'[1]salary allocation'!$D$6:$D$22,0),MATCH(T$3,'[1]salary allocation'!$E$3:$J$3,0)),0)</f>
        <v>3047914.8000000003</v>
      </c>
      <c r="U193" s="15">
        <f>-$K193*IFERROR(INDEX('[1]salary allocation'!$E$6:$J$22,MATCH($H193,'[1]salary allocation'!$D$6:$D$22,0),MATCH(U$3,'[1]salary allocation'!$E$3:$J$3,0)),0)</f>
        <v>3047914.8000000003</v>
      </c>
      <c r="V193" s="15">
        <f>-$K193*IFERROR(INDEX('[1]salary allocation'!$E$6:$J$22,MATCH($H193,'[1]salary allocation'!$D$6:$D$22,0),MATCH(V$3,'[1]salary allocation'!$E$3:$J$3,0)),0)</f>
        <v>0</v>
      </c>
      <c r="W193" s="15">
        <f>-$K193*IFERROR(INDEX('[1]salary allocation'!$E$6:$J$22,MATCH($H193,'[1]salary allocation'!$D$6:$D$22,0),MATCH(W$3,'[1]salary allocation'!$E$3:$J$3,0)),0)</f>
        <v>6095829.6000000006</v>
      </c>
      <c r="X193" s="15">
        <f>-$K193*IFERROR(INDEX('[1]salary allocation'!$E$6:$J$22,MATCH($H193,'[1]salary allocation'!$D$6:$D$22,0),MATCH(X$3,'[1]salary allocation'!$E$3:$J$3,0)),0)</f>
        <v>0</v>
      </c>
      <c r="Y193" s="15">
        <f>-$K193*IFERROR(INDEX('[1]salary allocation'!$E$6:$J$22,MATCH($H193,'[1]salary allocation'!$D$6:$D$22,0),MATCH(Y$3,'[1]salary allocation'!$E$3:$J$3,0)),0)</f>
        <v>0</v>
      </c>
      <c r="Z193" s="15">
        <f>-$K193*IFERROR(INDEX('[1]salary allocation'!$E$6:$J$22,MATCH($H193,'[1]salary allocation'!$D$6:$D$22,0),MATCH(Z$3,'[1]salary allocation'!$E$3:$J$3,0)),0)</f>
        <v>0</v>
      </c>
      <c r="AA193" s="15">
        <f>-$K193*IFERROR(INDEX('[1]salary allocation'!$E$6:$J$22,MATCH($H193,'[1]salary allocation'!$D$6:$D$22,0),MATCH(AA$3,'[1]salary allocation'!$E$3:$J$3,0)),0)</f>
        <v>0</v>
      </c>
      <c r="AB193" s="15">
        <f>-$K193*IFERROR(INDEX('[1]salary allocation'!$E$6:$J$22,MATCH($H193,'[1]salary allocation'!$D$6:$D$22,0),MATCH(AB$3,'[1]salary allocation'!$E$3:$J$3,0)),0)</f>
        <v>0</v>
      </c>
      <c r="AC193" s="18">
        <f>-$K193*IFERROR(INDEX('[1]salary allocation'!$E$6:$J$22,MATCH($H193,'[1]salary allocation'!$D$6:$D$22,0),MATCH(AC$3,'[1]salary allocation'!$E$3:$J$3,0)),0)</f>
        <v>0</v>
      </c>
      <c r="AD193" s="17"/>
      <c r="AE193" s="16"/>
      <c r="AF193" s="15">
        <f>-$K193</f>
        <v>15239574</v>
      </c>
      <c r="AG193" s="15"/>
      <c r="AH193" s="2">
        <f>K193+SUM(O193:AC193)</f>
        <v>0</v>
      </c>
      <c r="AI193" s="2">
        <f>K193+SUM(AF193:AG193)</f>
        <v>0</v>
      </c>
    </row>
    <row r="194" spans="1:35" x14ac:dyDescent="0.2">
      <c r="A194" s="1" t="s">
        <v>3</v>
      </c>
      <c r="B194" s="68">
        <v>45775</v>
      </c>
      <c r="H194" s="1" t="s">
        <v>45</v>
      </c>
      <c r="I194" s="1" t="s">
        <v>676</v>
      </c>
      <c r="K194" s="2">
        <v>-6013447</v>
      </c>
      <c r="L194" s="46">
        <v>42025</v>
      </c>
      <c r="M194" s="42" t="str">
        <f>LEFT(I194,(LEN(LEFT(I194,FIND(";",I194)))-9))</f>
        <v>VNHBC</v>
      </c>
      <c r="N194" s="42" t="s">
        <v>138</v>
      </c>
      <c r="O194" s="15">
        <f>-$K194*IFERROR(INDEX('[1]salary allocation'!$E$6:$J$22,MATCH($H194,'[1]salary allocation'!$D$6:$D$22,0),MATCH(O$3,'[1]salary allocation'!$E$3:$J$3,0)),0)</f>
        <v>0</v>
      </c>
      <c r="P194" s="15">
        <f>-$K194*IFERROR(INDEX('[1]salary allocation'!$E$6:$J$22,MATCH($H194,'[1]salary allocation'!$D$6:$D$22,0),MATCH(P$3,'[1]salary allocation'!$E$3:$J$3,0)),0)</f>
        <v>0</v>
      </c>
      <c r="Q194" s="15">
        <f>-$K194*IFERROR(INDEX('[1]salary allocation'!$E$6:$J$22,MATCH($H194,'[1]salary allocation'!$D$6:$D$22,0),MATCH(Q$3,'[1]salary allocation'!$E$3:$J$3,0)),0)</f>
        <v>0</v>
      </c>
      <c r="R194" s="15">
        <f>-$K194*IFERROR(INDEX('[1]salary allocation'!$E$6:$J$22,MATCH($H194,'[1]salary allocation'!$D$6:$D$22,0),MATCH(R$3,'[1]salary allocation'!$E$3:$J$3,0)),0)</f>
        <v>0</v>
      </c>
      <c r="S194" s="15">
        <f>-$K194*IFERROR(INDEX('[1]salary allocation'!$E$6:$J$22,MATCH($H194,'[1]salary allocation'!$D$6:$D$22,0),MATCH(S$3,'[1]salary allocation'!$E$3:$J$3,0)),0)</f>
        <v>1202689.4000000001</v>
      </c>
      <c r="T194" s="15">
        <f>-$K194*IFERROR(INDEX('[1]salary allocation'!$E$6:$J$22,MATCH($H194,'[1]salary allocation'!$D$6:$D$22,0),MATCH(T$3,'[1]salary allocation'!$E$3:$J$3,0)),0)</f>
        <v>1202689.4000000001</v>
      </c>
      <c r="U194" s="15">
        <f>-$K194*IFERROR(INDEX('[1]salary allocation'!$E$6:$J$22,MATCH($H194,'[1]salary allocation'!$D$6:$D$22,0),MATCH(U$3,'[1]salary allocation'!$E$3:$J$3,0)),0)</f>
        <v>1202689.4000000001</v>
      </c>
      <c r="V194" s="15">
        <f>-$K194*IFERROR(INDEX('[1]salary allocation'!$E$6:$J$22,MATCH($H194,'[1]salary allocation'!$D$6:$D$22,0),MATCH(V$3,'[1]salary allocation'!$E$3:$J$3,0)),0)</f>
        <v>0</v>
      </c>
      <c r="W194" s="15">
        <f>-$K194*IFERROR(INDEX('[1]salary allocation'!$E$6:$J$22,MATCH($H194,'[1]salary allocation'!$D$6:$D$22,0),MATCH(W$3,'[1]salary allocation'!$E$3:$J$3,0)),0)</f>
        <v>2405378.8000000003</v>
      </c>
      <c r="X194" s="15">
        <f>-$K194*IFERROR(INDEX('[1]salary allocation'!$E$6:$J$22,MATCH($H194,'[1]salary allocation'!$D$6:$D$22,0),MATCH(X$3,'[1]salary allocation'!$E$3:$J$3,0)),0)</f>
        <v>0</v>
      </c>
      <c r="Y194" s="15">
        <f>-$K194*IFERROR(INDEX('[1]salary allocation'!$E$6:$J$22,MATCH($H194,'[1]salary allocation'!$D$6:$D$22,0),MATCH(Y$3,'[1]salary allocation'!$E$3:$J$3,0)),0)</f>
        <v>0</v>
      </c>
      <c r="Z194" s="15">
        <f>-$K194*IFERROR(INDEX('[1]salary allocation'!$E$6:$J$22,MATCH($H194,'[1]salary allocation'!$D$6:$D$22,0),MATCH(Z$3,'[1]salary allocation'!$E$3:$J$3,0)),0)</f>
        <v>0</v>
      </c>
      <c r="AA194" s="15">
        <f>-$K194*IFERROR(INDEX('[1]salary allocation'!$E$6:$J$22,MATCH($H194,'[1]salary allocation'!$D$6:$D$22,0),MATCH(AA$3,'[1]salary allocation'!$E$3:$J$3,0)),0)</f>
        <v>0</v>
      </c>
      <c r="AB194" s="15">
        <f>-$K194*IFERROR(INDEX('[1]salary allocation'!$E$6:$J$22,MATCH($H194,'[1]salary allocation'!$D$6:$D$22,0),MATCH(AB$3,'[1]salary allocation'!$E$3:$J$3,0)),0)</f>
        <v>0</v>
      </c>
      <c r="AC194" s="18">
        <f>-$K194*IFERROR(INDEX('[1]salary allocation'!$E$6:$J$22,MATCH($H194,'[1]salary allocation'!$D$6:$D$22,0),MATCH(AC$3,'[1]salary allocation'!$E$3:$J$3,0)),0)</f>
        <v>0</v>
      </c>
      <c r="AD194" s="17"/>
      <c r="AE194" s="16"/>
      <c r="AF194" s="15"/>
      <c r="AG194" s="15">
        <f>-K194</f>
        <v>6013447</v>
      </c>
      <c r="AH194" s="2">
        <f>K194+SUM(O194:AC194)</f>
        <v>0</v>
      </c>
      <c r="AI194" s="2">
        <f>K194+SUM(AF194:AG194)</f>
        <v>0</v>
      </c>
    </row>
    <row r="195" spans="1:35" x14ac:dyDescent="0.2">
      <c r="A195" s="1" t="s">
        <v>3</v>
      </c>
      <c r="B195" s="68">
        <v>45775</v>
      </c>
      <c r="H195" s="1" t="s">
        <v>43</v>
      </c>
      <c r="I195" s="1" t="s">
        <v>675</v>
      </c>
      <c r="K195" s="2">
        <v>-15052628</v>
      </c>
      <c r="L195" s="46">
        <v>42025</v>
      </c>
      <c r="M195" s="42" t="str">
        <f>LEFT(I195,(LEN(LEFT(I195,FIND(";",I195)))-8))</f>
        <v>VNMOET</v>
      </c>
      <c r="N195" s="42" t="s">
        <v>138</v>
      </c>
      <c r="O195" s="15">
        <f>-$K195*IFERROR(INDEX('[1]salary allocation'!$E$6:$J$22,MATCH($H195,'[1]salary allocation'!$D$6:$D$22,0),MATCH(O$3,'[1]salary allocation'!$E$3:$J$3,0)),0)</f>
        <v>0</v>
      </c>
      <c r="P195" s="15">
        <f>-$K195*IFERROR(INDEX('[1]salary allocation'!$E$6:$J$22,MATCH($H195,'[1]salary allocation'!$D$6:$D$22,0),MATCH(P$3,'[1]salary allocation'!$E$3:$J$3,0)),0)</f>
        <v>0</v>
      </c>
      <c r="Q195" s="15">
        <f>-$K195*IFERROR(INDEX('[1]salary allocation'!$E$6:$J$22,MATCH($H195,'[1]salary allocation'!$D$6:$D$22,0),MATCH(Q$3,'[1]salary allocation'!$E$3:$J$3,0)),0)</f>
        <v>0</v>
      </c>
      <c r="R195" s="15">
        <f>-$K195*IFERROR(INDEX('[1]salary allocation'!$E$6:$J$22,MATCH($H195,'[1]salary allocation'!$D$6:$D$22,0),MATCH(R$3,'[1]salary allocation'!$E$3:$J$3,0)),0)</f>
        <v>0</v>
      </c>
      <c r="S195" s="15">
        <f>-$K195*IFERROR(INDEX('[1]salary allocation'!$E$6:$J$22,MATCH($H195,'[1]salary allocation'!$D$6:$D$22,0),MATCH(S$3,'[1]salary allocation'!$E$3:$J$3,0)),0)</f>
        <v>3010525.6</v>
      </c>
      <c r="T195" s="15">
        <f>-$K195*IFERROR(INDEX('[1]salary allocation'!$E$6:$J$22,MATCH($H195,'[1]salary allocation'!$D$6:$D$22,0),MATCH(T$3,'[1]salary allocation'!$E$3:$J$3,0)),0)</f>
        <v>3010525.6</v>
      </c>
      <c r="U195" s="15">
        <f>-$K195*IFERROR(INDEX('[1]salary allocation'!$E$6:$J$22,MATCH($H195,'[1]salary allocation'!$D$6:$D$22,0),MATCH(U$3,'[1]salary allocation'!$E$3:$J$3,0)),0)</f>
        <v>3010525.6</v>
      </c>
      <c r="V195" s="15">
        <f>-$K195*IFERROR(INDEX('[1]salary allocation'!$E$6:$J$22,MATCH($H195,'[1]salary allocation'!$D$6:$D$22,0),MATCH(V$3,'[1]salary allocation'!$E$3:$J$3,0)),0)</f>
        <v>0</v>
      </c>
      <c r="W195" s="15">
        <f>-$K195*IFERROR(INDEX('[1]salary allocation'!$E$6:$J$22,MATCH($H195,'[1]salary allocation'!$D$6:$D$22,0),MATCH(W$3,'[1]salary allocation'!$E$3:$J$3,0)),0)</f>
        <v>6021051.2000000002</v>
      </c>
      <c r="X195" s="15">
        <f>-$K195*IFERROR(INDEX('[1]salary allocation'!$E$6:$J$22,MATCH($H195,'[1]salary allocation'!$D$6:$D$22,0),MATCH(X$3,'[1]salary allocation'!$E$3:$J$3,0)),0)</f>
        <v>0</v>
      </c>
      <c r="Y195" s="15">
        <f>-$K195*IFERROR(INDEX('[1]salary allocation'!$E$6:$J$22,MATCH($H195,'[1]salary allocation'!$D$6:$D$22,0),MATCH(Y$3,'[1]salary allocation'!$E$3:$J$3,0)),0)</f>
        <v>0</v>
      </c>
      <c r="Z195" s="15">
        <f>-$K195*IFERROR(INDEX('[1]salary allocation'!$E$6:$J$22,MATCH($H195,'[1]salary allocation'!$D$6:$D$22,0),MATCH(Z$3,'[1]salary allocation'!$E$3:$J$3,0)),0)</f>
        <v>0</v>
      </c>
      <c r="AA195" s="15">
        <f>-$K195*IFERROR(INDEX('[1]salary allocation'!$E$6:$J$22,MATCH($H195,'[1]salary allocation'!$D$6:$D$22,0),MATCH(AA$3,'[1]salary allocation'!$E$3:$J$3,0)),0)</f>
        <v>0</v>
      </c>
      <c r="AB195" s="15">
        <f>-$K195*IFERROR(INDEX('[1]salary allocation'!$E$6:$J$22,MATCH($H195,'[1]salary allocation'!$D$6:$D$22,0),MATCH(AB$3,'[1]salary allocation'!$E$3:$J$3,0)),0)</f>
        <v>0</v>
      </c>
      <c r="AC195" s="18">
        <f>-$K195*IFERROR(INDEX('[1]salary allocation'!$E$6:$J$22,MATCH($H195,'[1]salary allocation'!$D$6:$D$22,0),MATCH(AC$3,'[1]salary allocation'!$E$3:$J$3,0)),0)</f>
        <v>0</v>
      </c>
      <c r="AD195" s="17"/>
      <c r="AE195" s="16"/>
      <c r="AF195" s="15">
        <f>-$K195</f>
        <v>15052628</v>
      </c>
      <c r="AG195" s="15"/>
      <c r="AH195" s="2">
        <f>K195+SUM(O195:AC195)</f>
        <v>0</v>
      </c>
      <c r="AI195" s="2">
        <f>K195+SUM(AF195:AG195)</f>
        <v>0</v>
      </c>
    </row>
    <row r="196" spans="1:35" x14ac:dyDescent="0.2">
      <c r="A196" s="1" t="s">
        <v>3</v>
      </c>
      <c r="B196" s="68">
        <v>45775</v>
      </c>
      <c r="H196" s="1" t="s">
        <v>41</v>
      </c>
      <c r="I196" s="1" t="s">
        <v>674</v>
      </c>
      <c r="K196" s="2">
        <v>-15001996</v>
      </c>
      <c r="L196" s="46">
        <v>42025</v>
      </c>
      <c r="M196" s="42" t="str">
        <f>LEFT(I196,(LEN(LEFT(I196,FIND(";",I196)))-8))</f>
        <v>VNMOET</v>
      </c>
      <c r="N196" s="42" t="s">
        <v>138</v>
      </c>
      <c r="O196" s="15">
        <f>-$K196*IFERROR(INDEX('[1]salary allocation'!$E$6:$J$22,MATCH($H196,'[1]salary allocation'!$D$6:$D$22,0),MATCH(O$3,'[1]salary allocation'!$E$3:$J$3,0)),0)</f>
        <v>0</v>
      </c>
      <c r="P196" s="15">
        <f>-$K196*IFERROR(INDEX('[1]salary allocation'!$E$6:$J$22,MATCH($H196,'[1]salary allocation'!$D$6:$D$22,0),MATCH(P$3,'[1]salary allocation'!$E$3:$J$3,0)),0)</f>
        <v>0</v>
      </c>
      <c r="Q196" s="15">
        <f>-$K196*IFERROR(INDEX('[1]salary allocation'!$E$6:$J$22,MATCH($H196,'[1]salary allocation'!$D$6:$D$22,0),MATCH(Q$3,'[1]salary allocation'!$E$3:$J$3,0)),0)</f>
        <v>0</v>
      </c>
      <c r="R196" s="15">
        <f>-$K196*IFERROR(INDEX('[1]salary allocation'!$E$6:$J$22,MATCH($H196,'[1]salary allocation'!$D$6:$D$22,0),MATCH(R$3,'[1]salary allocation'!$E$3:$J$3,0)),0)</f>
        <v>0</v>
      </c>
      <c r="S196" s="15">
        <f>-$K196*IFERROR(INDEX('[1]salary allocation'!$E$6:$J$22,MATCH($H196,'[1]salary allocation'!$D$6:$D$22,0),MATCH(S$3,'[1]salary allocation'!$E$3:$J$3,0)),0)</f>
        <v>0</v>
      </c>
      <c r="T196" s="15">
        <f>-$K196*IFERROR(INDEX('[1]salary allocation'!$E$6:$J$22,MATCH($H196,'[1]salary allocation'!$D$6:$D$22,0),MATCH(T$3,'[1]salary allocation'!$E$3:$J$3,0)),0)</f>
        <v>0</v>
      </c>
      <c r="U196" s="15">
        <f>-$K196*IFERROR(INDEX('[1]salary allocation'!$E$6:$J$22,MATCH($H196,'[1]salary allocation'!$D$6:$D$22,0),MATCH(U$3,'[1]salary allocation'!$E$3:$J$3,0)),0)</f>
        <v>0</v>
      </c>
      <c r="V196" s="15">
        <f>-$K196*IFERROR(INDEX('[1]salary allocation'!$E$6:$J$22,MATCH($H196,'[1]salary allocation'!$D$6:$D$22,0),MATCH(V$3,'[1]salary allocation'!$E$3:$J$3,0)),0)</f>
        <v>0</v>
      </c>
      <c r="W196" s="15">
        <f>-$K196*IFERROR(INDEX('[1]salary allocation'!$E$6:$J$22,MATCH($H196,'[1]salary allocation'!$D$6:$D$22,0),MATCH(W$3,'[1]salary allocation'!$E$3:$J$3,0)),0)</f>
        <v>15001996</v>
      </c>
      <c r="X196" s="15">
        <f>-$K196*IFERROR(INDEX('[1]salary allocation'!$E$6:$J$22,MATCH($H196,'[1]salary allocation'!$D$6:$D$22,0),MATCH(X$3,'[1]salary allocation'!$E$3:$J$3,0)),0)</f>
        <v>0</v>
      </c>
      <c r="Y196" s="15">
        <f>-$K196*IFERROR(INDEX('[1]salary allocation'!$E$6:$J$22,MATCH($H196,'[1]salary allocation'!$D$6:$D$22,0),MATCH(Y$3,'[1]salary allocation'!$E$3:$J$3,0)),0)</f>
        <v>0</v>
      </c>
      <c r="Z196" s="15">
        <f>-$K196*IFERROR(INDEX('[1]salary allocation'!$E$6:$J$22,MATCH($H196,'[1]salary allocation'!$D$6:$D$22,0),MATCH(Z$3,'[1]salary allocation'!$E$3:$J$3,0)),0)</f>
        <v>0</v>
      </c>
      <c r="AA196" s="15">
        <f>-$K196*IFERROR(INDEX('[1]salary allocation'!$E$6:$J$22,MATCH($H196,'[1]salary allocation'!$D$6:$D$22,0),MATCH(AA$3,'[1]salary allocation'!$E$3:$J$3,0)),0)</f>
        <v>0</v>
      </c>
      <c r="AB196" s="15">
        <f>-$K196*IFERROR(INDEX('[1]salary allocation'!$E$6:$J$22,MATCH($H196,'[1]salary allocation'!$D$6:$D$22,0),MATCH(AB$3,'[1]salary allocation'!$E$3:$J$3,0)),0)</f>
        <v>0</v>
      </c>
      <c r="AC196" s="18">
        <f>-$K196*IFERROR(INDEX('[1]salary allocation'!$E$6:$J$22,MATCH($H196,'[1]salary allocation'!$D$6:$D$22,0),MATCH(AC$3,'[1]salary allocation'!$E$3:$J$3,0)),0)</f>
        <v>0</v>
      </c>
      <c r="AD196" s="17"/>
      <c r="AE196" s="16"/>
      <c r="AF196" s="15">
        <f>-$K196</f>
        <v>15001996</v>
      </c>
      <c r="AG196" s="15"/>
      <c r="AH196" s="2">
        <f>K196+SUM(O196:AC196)</f>
        <v>0</v>
      </c>
      <c r="AI196" s="2">
        <f>K196+SUM(AF196:AG196)</f>
        <v>0</v>
      </c>
    </row>
    <row r="197" spans="1:35" x14ac:dyDescent="0.2">
      <c r="A197" s="1" t="s">
        <v>3</v>
      </c>
      <c r="B197" s="68">
        <v>45775</v>
      </c>
      <c r="H197" s="1" t="s">
        <v>39</v>
      </c>
      <c r="I197" s="1" t="s">
        <v>673</v>
      </c>
      <c r="K197" s="2">
        <v>-15052628</v>
      </c>
      <c r="L197" s="46">
        <v>42025</v>
      </c>
      <c r="M197" s="42" t="str">
        <f>LEFT(I197,(LEN(LEFT(I197,FIND(";",I197)))-8))</f>
        <v>VNMOET</v>
      </c>
      <c r="N197" s="42" t="s">
        <v>138</v>
      </c>
      <c r="O197" s="15">
        <f>-$K197*IFERROR(INDEX('[1]salary allocation'!$E$6:$J$22,MATCH($H197,'[1]salary allocation'!$D$6:$D$22,0),MATCH(O$3,'[1]salary allocation'!$E$3:$J$3,0)),0)</f>
        <v>0</v>
      </c>
      <c r="P197" s="15">
        <f>-$K197*IFERROR(INDEX('[1]salary allocation'!$E$6:$J$22,MATCH($H197,'[1]salary allocation'!$D$6:$D$22,0),MATCH(P$3,'[1]salary allocation'!$E$3:$J$3,0)),0)</f>
        <v>0</v>
      </c>
      <c r="Q197" s="15">
        <f>-$K197*IFERROR(INDEX('[1]salary allocation'!$E$6:$J$22,MATCH($H197,'[1]salary allocation'!$D$6:$D$22,0),MATCH(Q$3,'[1]salary allocation'!$E$3:$J$3,0)),0)</f>
        <v>0</v>
      </c>
      <c r="R197" s="15">
        <f>-$K197*IFERROR(INDEX('[1]salary allocation'!$E$6:$J$22,MATCH($H197,'[1]salary allocation'!$D$6:$D$22,0),MATCH(R$3,'[1]salary allocation'!$E$3:$J$3,0)),0)</f>
        <v>0</v>
      </c>
      <c r="S197" s="15">
        <f>-$K197*IFERROR(INDEX('[1]salary allocation'!$E$6:$J$22,MATCH($H197,'[1]salary allocation'!$D$6:$D$22,0),MATCH(S$3,'[1]salary allocation'!$E$3:$J$3,0)),0)</f>
        <v>0</v>
      </c>
      <c r="T197" s="15">
        <f>-$K197*IFERROR(INDEX('[1]salary allocation'!$E$6:$J$22,MATCH($H197,'[1]salary allocation'!$D$6:$D$22,0),MATCH(T$3,'[1]salary allocation'!$E$3:$J$3,0)),0)</f>
        <v>0</v>
      </c>
      <c r="U197" s="15">
        <f>-$K197*IFERROR(INDEX('[1]salary allocation'!$E$6:$J$22,MATCH($H197,'[1]salary allocation'!$D$6:$D$22,0),MATCH(U$3,'[1]salary allocation'!$E$3:$J$3,0)),0)</f>
        <v>0</v>
      </c>
      <c r="V197" s="15">
        <f>-$K197*IFERROR(INDEX('[1]salary allocation'!$E$6:$J$22,MATCH($H197,'[1]salary allocation'!$D$6:$D$22,0),MATCH(V$3,'[1]salary allocation'!$E$3:$J$3,0)),0)</f>
        <v>0</v>
      </c>
      <c r="W197" s="15">
        <f>-$K197*IFERROR(INDEX('[1]salary allocation'!$E$6:$J$22,MATCH($H197,'[1]salary allocation'!$D$6:$D$22,0),MATCH(W$3,'[1]salary allocation'!$E$3:$J$3,0)),0)</f>
        <v>15052628</v>
      </c>
      <c r="X197" s="15">
        <f>-$K197*IFERROR(INDEX('[1]salary allocation'!$E$6:$J$22,MATCH($H197,'[1]salary allocation'!$D$6:$D$22,0),MATCH(X$3,'[1]salary allocation'!$E$3:$J$3,0)),0)</f>
        <v>0</v>
      </c>
      <c r="Y197" s="15">
        <f>-$K197*IFERROR(INDEX('[1]salary allocation'!$E$6:$J$22,MATCH($H197,'[1]salary allocation'!$D$6:$D$22,0),MATCH(Y$3,'[1]salary allocation'!$E$3:$J$3,0)),0)</f>
        <v>0</v>
      </c>
      <c r="Z197" s="15">
        <f>-$K197*IFERROR(INDEX('[1]salary allocation'!$E$6:$J$22,MATCH($H197,'[1]salary allocation'!$D$6:$D$22,0),MATCH(Z$3,'[1]salary allocation'!$E$3:$J$3,0)),0)</f>
        <v>0</v>
      </c>
      <c r="AA197" s="15">
        <f>-$K197*IFERROR(INDEX('[1]salary allocation'!$E$6:$J$22,MATCH($H197,'[1]salary allocation'!$D$6:$D$22,0),MATCH(AA$3,'[1]salary allocation'!$E$3:$J$3,0)),0)</f>
        <v>0</v>
      </c>
      <c r="AB197" s="15">
        <f>-$K197*IFERROR(INDEX('[1]salary allocation'!$E$6:$J$22,MATCH($H197,'[1]salary allocation'!$D$6:$D$22,0),MATCH(AB$3,'[1]salary allocation'!$E$3:$J$3,0)),0)</f>
        <v>0</v>
      </c>
      <c r="AC197" s="18">
        <f>-$K197*IFERROR(INDEX('[1]salary allocation'!$E$6:$J$22,MATCH($H197,'[1]salary allocation'!$D$6:$D$22,0),MATCH(AC$3,'[1]salary allocation'!$E$3:$J$3,0)),0)</f>
        <v>0</v>
      </c>
      <c r="AD197" s="17"/>
      <c r="AE197" s="16"/>
      <c r="AF197" s="15">
        <f>-$K197</f>
        <v>15052628</v>
      </c>
      <c r="AG197" s="15"/>
      <c r="AH197" s="2">
        <f>K197+SUM(O197:AC197)</f>
        <v>0</v>
      </c>
      <c r="AI197" s="2">
        <f>K197+SUM(AF197:AG197)</f>
        <v>0</v>
      </c>
    </row>
    <row r="198" spans="1:35" x14ac:dyDescent="0.2">
      <c r="A198" s="1" t="s">
        <v>3</v>
      </c>
      <c r="B198" s="68">
        <v>45775</v>
      </c>
      <c r="H198" s="1" t="s">
        <v>37</v>
      </c>
      <c r="I198" s="1" t="s">
        <v>672</v>
      </c>
      <c r="K198" s="2">
        <v>-13242048</v>
      </c>
      <c r="L198" s="46">
        <v>42025</v>
      </c>
      <c r="M198" s="42" t="str">
        <f>LEFT(I198,(LEN(LEFT(I198,FIND(";",I198)))-8))</f>
        <v>VNOther</v>
      </c>
      <c r="N198" s="42" t="s">
        <v>138</v>
      </c>
      <c r="O198" s="15">
        <f>-$K198*IFERROR(INDEX('[1]salary allocation'!$E$6:$J$22,MATCH($H198,'[1]salary allocation'!$D$6:$D$22,0),MATCH(O$3,'[1]salary allocation'!$E$3:$J$3,0)),0)</f>
        <v>0</v>
      </c>
      <c r="P198" s="15">
        <f>-$K198*IFERROR(INDEX('[1]salary allocation'!$E$6:$J$22,MATCH($H198,'[1]salary allocation'!$D$6:$D$22,0),MATCH(P$3,'[1]salary allocation'!$E$3:$J$3,0)),0)</f>
        <v>1986307.2</v>
      </c>
      <c r="Q198" s="15">
        <f>-$K198*IFERROR(INDEX('[1]salary allocation'!$E$6:$J$22,MATCH($H198,'[1]salary allocation'!$D$6:$D$22,0),MATCH(Q$3,'[1]salary allocation'!$E$3:$J$3,0)),0)</f>
        <v>0</v>
      </c>
      <c r="R198" s="15">
        <f>-$K198*IFERROR(INDEX('[1]salary allocation'!$E$6:$J$22,MATCH($H198,'[1]salary allocation'!$D$6:$D$22,0),MATCH(R$3,'[1]salary allocation'!$E$3:$J$3,0)),0)</f>
        <v>0</v>
      </c>
      <c r="S198" s="15">
        <f>-$K198*IFERROR(INDEX('[1]salary allocation'!$E$6:$J$22,MATCH($H198,'[1]salary allocation'!$D$6:$D$22,0),MATCH(S$3,'[1]salary allocation'!$E$3:$J$3,0)),0)</f>
        <v>2251148.1599999997</v>
      </c>
      <c r="T198" s="15">
        <f>-$K198*IFERROR(INDEX('[1]salary allocation'!$E$6:$J$22,MATCH($H198,'[1]salary allocation'!$D$6:$D$22,0),MATCH(T$3,'[1]salary allocation'!$E$3:$J$3,0)),0)</f>
        <v>2251148.1599999997</v>
      </c>
      <c r="U198" s="15">
        <f>-$K198*IFERROR(INDEX('[1]salary allocation'!$E$6:$J$22,MATCH($H198,'[1]salary allocation'!$D$6:$D$22,0),MATCH(U$3,'[1]salary allocation'!$E$3:$J$3,0)),0)</f>
        <v>2251148.1599999997</v>
      </c>
      <c r="V198" s="15">
        <f>-$K198*IFERROR(INDEX('[1]salary allocation'!$E$6:$J$22,MATCH($H198,'[1]salary allocation'!$D$6:$D$22,0),MATCH(V$3,'[1]salary allocation'!$E$3:$J$3,0)),0)</f>
        <v>0</v>
      </c>
      <c r="W198" s="15">
        <f>-$K198*IFERROR(INDEX('[1]salary allocation'!$E$6:$J$22,MATCH($H198,'[1]salary allocation'!$D$6:$D$22,0),MATCH(W$3,'[1]salary allocation'!$E$3:$J$3,0)),0)</f>
        <v>4502296.3199999994</v>
      </c>
      <c r="X198" s="15">
        <f>-$K198*IFERROR(INDEX('[1]salary allocation'!$E$6:$J$22,MATCH($H198,'[1]salary allocation'!$D$6:$D$22,0),MATCH(X$3,'[1]salary allocation'!$E$3:$J$3,0)),0)</f>
        <v>0</v>
      </c>
      <c r="Y198" s="15">
        <f>-$K198*IFERROR(INDEX('[1]salary allocation'!$E$6:$J$22,MATCH($H198,'[1]salary allocation'!$D$6:$D$22,0),MATCH(Y$3,'[1]salary allocation'!$E$3:$J$3,0)),0)</f>
        <v>0</v>
      </c>
      <c r="Z198" s="15">
        <f>-$K198*IFERROR(INDEX('[1]salary allocation'!$E$6:$J$22,MATCH($H198,'[1]salary allocation'!$D$6:$D$22,0),MATCH(Z$3,'[1]salary allocation'!$E$3:$J$3,0)),0)</f>
        <v>0</v>
      </c>
      <c r="AA198" s="15">
        <f>-$K198*IFERROR(INDEX('[1]salary allocation'!$E$6:$J$22,MATCH($H198,'[1]salary allocation'!$D$6:$D$22,0),MATCH(AA$3,'[1]salary allocation'!$E$3:$J$3,0)),0)</f>
        <v>0</v>
      </c>
      <c r="AB198" s="15">
        <f>-$K198*IFERROR(INDEX('[1]salary allocation'!$E$6:$J$22,MATCH($H198,'[1]salary allocation'!$D$6:$D$22,0),MATCH(AB$3,'[1]salary allocation'!$E$3:$J$3,0)),0)</f>
        <v>0</v>
      </c>
      <c r="AC198" s="18">
        <f>-$K198*IFERROR(INDEX('[1]salary allocation'!$E$6:$J$22,MATCH($H198,'[1]salary allocation'!$D$6:$D$22,0),MATCH(AC$3,'[1]salary allocation'!$E$3:$J$3,0)),0)</f>
        <v>0</v>
      </c>
      <c r="AD198" s="17"/>
      <c r="AE198" s="16"/>
      <c r="AF198" s="15">
        <f>-K198</f>
        <v>13242048</v>
      </c>
      <c r="AG198" s="15"/>
      <c r="AH198" s="2">
        <f>K198+SUM(O198:AC198)</f>
        <v>0</v>
      </c>
      <c r="AI198" s="2">
        <f>K198+SUM(AF198:AG198)</f>
        <v>0</v>
      </c>
    </row>
    <row r="199" spans="1:35" x14ac:dyDescent="0.2">
      <c r="A199" s="1" t="s">
        <v>3</v>
      </c>
      <c r="B199" s="68">
        <v>45775</v>
      </c>
      <c r="H199" s="1" t="s">
        <v>35</v>
      </c>
      <c r="I199" s="1" t="s">
        <v>671</v>
      </c>
      <c r="K199" s="2">
        <v>-15444534</v>
      </c>
      <c r="L199" s="46">
        <v>42025</v>
      </c>
      <c r="M199" s="42" t="str">
        <f>LEFT(I199,(LEN(LEFT(I199,FIND(";",I199)))-8))</f>
        <v>VNOther</v>
      </c>
      <c r="N199" s="42" t="s">
        <v>138</v>
      </c>
      <c r="O199" s="15">
        <f>-$K199*IFERROR(INDEX('[1]salary allocation'!$E$6:$J$22,MATCH($H199,'[1]salary allocation'!$D$6:$D$22,0),MATCH(O$3,'[1]salary allocation'!$E$3:$J$3,0)),0)</f>
        <v>0</v>
      </c>
      <c r="P199" s="15">
        <f>-$K199*IFERROR(INDEX('[1]salary allocation'!$E$6:$J$22,MATCH($H199,'[1]salary allocation'!$D$6:$D$22,0),MATCH(P$3,'[1]salary allocation'!$E$3:$J$3,0)),0)</f>
        <v>2316680.1</v>
      </c>
      <c r="Q199" s="15">
        <f>-$K199*IFERROR(INDEX('[1]salary allocation'!$E$6:$J$22,MATCH($H199,'[1]salary allocation'!$D$6:$D$22,0),MATCH(Q$3,'[1]salary allocation'!$E$3:$J$3,0)),0)</f>
        <v>0</v>
      </c>
      <c r="R199" s="15">
        <f>-$K199*IFERROR(INDEX('[1]salary allocation'!$E$6:$J$22,MATCH($H199,'[1]salary allocation'!$D$6:$D$22,0),MATCH(R$3,'[1]salary allocation'!$E$3:$J$3,0)),0)</f>
        <v>0</v>
      </c>
      <c r="S199" s="15">
        <f>-$K199*IFERROR(INDEX('[1]salary allocation'!$E$6:$J$22,MATCH($H199,'[1]salary allocation'!$D$6:$D$22,0),MATCH(S$3,'[1]salary allocation'!$E$3:$J$3,0)),0)</f>
        <v>2625570.7799999998</v>
      </c>
      <c r="T199" s="15">
        <f>-$K199*IFERROR(INDEX('[1]salary allocation'!$E$6:$J$22,MATCH($H199,'[1]salary allocation'!$D$6:$D$22,0),MATCH(T$3,'[1]salary allocation'!$E$3:$J$3,0)),0)</f>
        <v>2625570.7799999998</v>
      </c>
      <c r="U199" s="15">
        <f>-$K199*IFERROR(INDEX('[1]salary allocation'!$E$6:$J$22,MATCH($H199,'[1]salary allocation'!$D$6:$D$22,0),MATCH(U$3,'[1]salary allocation'!$E$3:$J$3,0)),0)</f>
        <v>2625570.7799999998</v>
      </c>
      <c r="V199" s="15">
        <f>-$K199*IFERROR(INDEX('[1]salary allocation'!$E$6:$J$22,MATCH($H199,'[1]salary allocation'!$D$6:$D$22,0),MATCH(V$3,'[1]salary allocation'!$E$3:$J$3,0)),0)</f>
        <v>0</v>
      </c>
      <c r="W199" s="15">
        <f>-$K199*IFERROR(INDEX('[1]salary allocation'!$E$6:$J$22,MATCH($H199,'[1]salary allocation'!$D$6:$D$22,0),MATCH(W$3,'[1]salary allocation'!$E$3:$J$3,0)),0)</f>
        <v>5251141.5599999996</v>
      </c>
      <c r="X199" s="15">
        <f>-$K199*IFERROR(INDEX('[1]salary allocation'!$E$6:$J$22,MATCH($H199,'[1]salary allocation'!$D$6:$D$22,0),MATCH(X$3,'[1]salary allocation'!$E$3:$J$3,0)),0)</f>
        <v>0</v>
      </c>
      <c r="Y199" s="15">
        <f>-$K199*IFERROR(INDEX('[1]salary allocation'!$E$6:$J$22,MATCH($H199,'[1]salary allocation'!$D$6:$D$22,0),MATCH(Y$3,'[1]salary allocation'!$E$3:$J$3,0)),0)</f>
        <v>0</v>
      </c>
      <c r="Z199" s="15">
        <f>-$K199*IFERROR(INDEX('[1]salary allocation'!$E$6:$J$22,MATCH($H199,'[1]salary allocation'!$D$6:$D$22,0),MATCH(Z$3,'[1]salary allocation'!$E$3:$J$3,0)),0)</f>
        <v>0</v>
      </c>
      <c r="AA199" s="15">
        <f>-$K199*IFERROR(INDEX('[1]salary allocation'!$E$6:$J$22,MATCH($H199,'[1]salary allocation'!$D$6:$D$22,0),MATCH(AA$3,'[1]salary allocation'!$E$3:$J$3,0)),0)</f>
        <v>0</v>
      </c>
      <c r="AB199" s="15">
        <f>-$K199*IFERROR(INDEX('[1]salary allocation'!$E$6:$J$22,MATCH($H199,'[1]salary allocation'!$D$6:$D$22,0),MATCH(AB$3,'[1]salary allocation'!$E$3:$J$3,0)),0)</f>
        <v>0</v>
      </c>
      <c r="AC199" s="18">
        <f>-$K199*IFERROR(INDEX('[1]salary allocation'!$E$6:$J$22,MATCH($H199,'[1]salary allocation'!$D$6:$D$22,0),MATCH(AC$3,'[1]salary allocation'!$E$3:$J$3,0)),0)</f>
        <v>0</v>
      </c>
      <c r="AD199" s="17"/>
      <c r="AE199" s="16"/>
      <c r="AF199" s="15">
        <f>-$K199</f>
        <v>15444534</v>
      </c>
      <c r="AG199" s="15"/>
      <c r="AH199" s="2">
        <f>K199+SUM(O199:AC199)</f>
        <v>0</v>
      </c>
      <c r="AI199" s="2">
        <f>K199+SUM(AF199:AG199)</f>
        <v>0</v>
      </c>
    </row>
    <row r="200" spans="1:35" x14ac:dyDescent="0.2">
      <c r="A200" s="1" t="s">
        <v>3</v>
      </c>
      <c r="B200" s="68">
        <v>45775</v>
      </c>
      <c r="H200" s="1" t="s">
        <v>121</v>
      </c>
      <c r="I200" s="1" t="s">
        <v>670</v>
      </c>
      <c r="K200" s="2">
        <v>-4308352</v>
      </c>
      <c r="L200" s="46">
        <v>42025</v>
      </c>
      <c r="M200" s="42" t="str">
        <f>LEFT(I200,(LEN(LEFT(I200,FIND(";",I200)))-8))</f>
        <v>VNLA</v>
      </c>
      <c r="N200" s="42" t="s">
        <v>138</v>
      </c>
      <c r="O200" s="2">
        <f>IF($M200=O$3,-$K200,0)</f>
        <v>0</v>
      </c>
      <c r="P200" s="2">
        <f>IF($M200=P$3,-$K200,0)</f>
        <v>0</v>
      </c>
      <c r="Q200" s="2">
        <f>IF($M200=Q$3,-$K200,0)</f>
        <v>0</v>
      </c>
      <c r="R200" s="2">
        <f>IF($M200=R$3,-$K200,0)</f>
        <v>0</v>
      </c>
      <c r="S200" s="2">
        <f>IF($M200=S$3,-$K200,0)</f>
        <v>0</v>
      </c>
      <c r="T200" s="2">
        <f>IF($M200=T$3,-$K200,0)</f>
        <v>0</v>
      </c>
      <c r="U200" s="2">
        <f>IF($M200=U$3,-$K200,0)</f>
        <v>0</v>
      </c>
      <c r="V200" s="2">
        <f>IF($M200=V$3,-$K200,0)</f>
        <v>0</v>
      </c>
      <c r="W200" s="2">
        <f>IF($M200=W$3,-$K200,0)</f>
        <v>0</v>
      </c>
      <c r="X200" s="2">
        <f>IF($M200=X$3,-$K200,0)</f>
        <v>4308352</v>
      </c>
      <c r="Y200" s="2">
        <f>IF($M200=Y$3,-$K200,0)</f>
        <v>0</v>
      </c>
      <c r="Z200" s="2">
        <f>IF($M200=Z$3,-$K200,0)</f>
        <v>0</v>
      </c>
      <c r="AA200" s="2">
        <f>IF($M200=AA$3,-$K200,0)</f>
        <v>0</v>
      </c>
      <c r="AB200" s="2">
        <f>IF($M200=AB$3,-$K200,0)</f>
        <v>0</v>
      </c>
      <c r="AC200" s="21">
        <f>IF($M200=AC$3,-$K200,0)</f>
        <v>0</v>
      </c>
      <c r="AD200" s="20"/>
      <c r="AE200" s="19"/>
      <c r="AF200" s="2"/>
      <c r="AG200" s="2">
        <f>-$K200</f>
        <v>4308352</v>
      </c>
      <c r="AH200" s="2">
        <f>K200+SUM(O200:AC200)</f>
        <v>0</v>
      </c>
      <c r="AI200" s="2">
        <f>K200+SUM(AF200:AG200)</f>
        <v>0</v>
      </c>
    </row>
    <row r="201" spans="1:35" x14ac:dyDescent="0.2">
      <c r="A201" s="1" t="s">
        <v>3</v>
      </c>
      <c r="B201" s="68">
        <v>45775</v>
      </c>
      <c r="H201" s="1" t="s">
        <v>33</v>
      </c>
      <c r="I201" s="1" t="s">
        <v>669</v>
      </c>
      <c r="K201" s="2">
        <v>-3984832</v>
      </c>
      <c r="L201" s="46">
        <v>42025</v>
      </c>
      <c r="M201" s="42" t="str">
        <f>LEFT(I201,(LEN(LEFT(I201,FIND(";",I201)))-8))</f>
        <v>VNDN</v>
      </c>
      <c r="N201" s="42" t="s">
        <v>138</v>
      </c>
      <c r="O201" s="2">
        <f>IF($M201=O$3,-$K201,0)</f>
        <v>0</v>
      </c>
      <c r="P201" s="2">
        <f>IF($M201=P$3,-$K201,0)</f>
        <v>0</v>
      </c>
      <c r="Q201" s="2">
        <f>IF($M201=Q$3,-$K201,0)</f>
        <v>0</v>
      </c>
      <c r="R201" s="2">
        <f>IF($M201=R$3,-$K201,0)</f>
        <v>0</v>
      </c>
      <c r="S201" s="2">
        <f>IF($M201=S$3,-$K201,0)</f>
        <v>3984832</v>
      </c>
      <c r="T201" s="2">
        <f>IF($M201=T$3,-$K201,0)</f>
        <v>0</v>
      </c>
      <c r="U201" s="2">
        <f>IF($M201=U$3,-$K201,0)</f>
        <v>0</v>
      </c>
      <c r="V201" s="2">
        <f>IF($M201=V$3,-$K201,0)</f>
        <v>0</v>
      </c>
      <c r="W201" s="2">
        <f>IF($M201=W$3,-$K201,0)</f>
        <v>0</v>
      </c>
      <c r="X201" s="2">
        <f>IF($M201=X$3,-$K201,0)</f>
        <v>0</v>
      </c>
      <c r="Y201" s="2">
        <f>IF($M201=Y$3,-$K201,0)</f>
        <v>0</v>
      </c>
      <c r="Z201" s="2">
        <f>IF($M201=Z$3,-$K201,0)</f>
        <v>0</v>
      </c>
      <c r="AA201" s="2">
        <f>IF($M201=AA$3,-$K201,0)</f>
        <v>0</v>
      </c>
      <c r="AB201" s="2">
        <f>IF($M201=AB$3,-$K201,0)</f>
        <v>0</v>
      </c>
      <c r="AC201" s="21">
        <f>IF($M201=AC$3,-$K201,0)</f>
        <v>0</v>
      </c>
      <c r="AD201" s="20"/>
      <c r="AE201" s="19"/>
      <c r="AF201" s="2"/>
      <c r="AG201" s="2">
        <f>-$K201</f>
        <v>3984832</v>
      </c>
      <c r="AH201" s="2">
        <f>K201+SUM(O201:AC201)</f>
        <v>0</v>
      </c>
      <c r="AI201" s="2">
        <f>K201+SUM(AF201:AG201)</f>
        <v>0</v>
      </c>
    </row>
    <row r="202" spans="1:35" x14ac:dyDescent="0.2">
      <c r="A202" s="1" t="s">
        <v>3</v>
      </c>
      <c r="B202" s="68">
        <v>45775</v>
      </c>
      <c r="H202" s="1" t="s">
        <v>31</v>
      </c>
      <c r="I202" s="1" t="s">
        <v>668</v>
      </c>
      <c r="K202" s="2">
        <v>-5064512</v>
      </c>
      <c r="L202" s="46">
        <v>42025</v>
      </c>
      <c r="M202" s="42" t="str">
        <f>LEFT(I202,(LEN(LEFT(I202,FIND(";",I202)))-8))</f>
        <v>VNDN</v>
      </c>
      <c r="N202" s="42" t="s">
        <v>138</v>
      </c>
      <c r="O202" s="2">
        <f>IF($M202=O$3,-$K202,0)</f>
        <v>0</v>
      </c>
      <c r="P202" s="2">
        <f>IF($M202=P$3,-$K202,0)</f>
        <v>0</v>
      </c>
      <c r="Q202" s="2">
        <f>IF($M202=Q$3,-$K202,0)</f>
        <v>0</v>
      </c>
      <c r="R202" s="2">
        <f>IF($M202=R$3,-$K202,0)</f>
        <v>0</v>
      </c>
      <c r="S202" s="2">
        <f>IF($M202=S$3,-$K202,0)</f>
        <v>5064512</v>
      </c>
      <c r="T202" s="2">
        <f>IF($M202=T$3,-$K202,0)</f>
        <v>0</v>
      </c>
      <c r="U202" s="2">
        <f>IF($M202=U$3,-$K202,0)</f>
        <v>0</v>
      </c>
      <c r="V202" s="2">
        <f>IF($M202=V$3,-$K202,0)</f>
        <v>0</v>
      </c>
      <c r="W202" s="2">
        <f>IF($M202=W$3,-$K202,0)</f>
        <v>0</v>
      </c>
      <c r="X202" s="2">
        <f>IF($M202=X$3,-$K202,0)</f>
        <v>0</v>
      </c>
      <c r="Y202" s="2">
        <f>IF($M202=Y$3,-$K202,0)</f>
        <v>0</v>
      </c>
      <c r="Z202" s="2">
        <f>IF($M202=Z$3,-$K202,0)</f>
        <v>0</v>
      </c>
      <c r="AA202" s="2">
        <f>IF($M202=AA$3,-$K202,0)</f>
        <v>0</v>
      </c>
      <c r="AB202" s="2">
        <f>IF($M202=AB$3,-$K202,0)</f>
        <v>0</v>
      </c>
      <c r="AC202" s="21">
        <f>IF($M202=AC$3,-$K202,0)</f>
        <v>0</v>
      </c>
      <c r="AD202" s="20"/>
      <c r="AE202" s="19"/>
      <c r="AF202" s="2"/>
      <c r="AG202" s="2">
        <f>-$K202</f>
        <v>5064512</v>
      </c>
      <c r="AH202" s="2">
        <f>K202+SUM(O202:AC202)</f>
        <v>0</v>
      </c>
      <c r="AI202" s="2">
        <f>K202+SUM(AF202:AG202)</f>
        <v>0</v>
      </c>
    </row>
    <row r="203" spans="1:35" x14ac:dyDescent="0.2">
      <c r="A203" s="1" t="s">
        <v>3</v>
      </c>
      <c r="B203" s="68">
        <v>45775</v>
      </c>
      <c r="H203" s="1" t="s">
        <v>29</v>
      </c>
      <c r="I203" s="1" t="s">
        <v>667</v>
      </c>
      <c r="K203" s="2">
        <v>-6516352</v>
      </c>
      <c r="L203" s="46">
        <v>42025</v>
      </c>
      <c r="M203" s="42" t="str">
        <f>LEFT(I203,(LEN(LEFT(I203,FIND(";",I203)))-8))</f>
        <v>VNDN</v>
      </c>
      <c r="N203" s="42" t="s">
        <v>138</v>
      </c>
      <c r="O203" s="2">
        <f>IF($M203=O$3,-$K203,0)</f>
        <v>0</v>
      </c>
      <c r="P203" s="2">
        <f>IF($M203=P$3,-$K203,0)</f>
        <v>0</v>
      </c>
      <c r="Q203" s="2">
        <f>IF($M203=Q$3,-$K203,0)</f>
        <v>0</v>
      </c>
      <c r="R203" s="2">
        <f>IF($M203=R$3,-$K203,0)</f>
        <v>0</v>
      </c>
      <c r="S203" s="2">
        <f>IF($M203=S$3,-$K203,0)</f>
        <v>6516352</v>
      </c>
      <c r="T203" s="2">
        <f>IF($M203=T$3,-$K203,0)</f>
        <v>0</v>
      </c>
      <c r="U203" s="2">
        <f>IF($M203=U$3,-$K203,0)</f>
        <v>0</v>
      </c>
      <c r="V203" s="2">
        <f>IF($M203=V$3,-$K203,0)</f>
        <v>0</v>
      </c>
      <c r="W203" s="2">
        <f>IF($M203=W$3,-$K203,0)</f>
        <v>0</v>
      </c>
      <c r="X203" s="2">
        <f>IF($M203=X$3,-$K203,0)</f>
        <v>0</v>
      </c>
      <c r="Y203" s="2">
        <f>IF($M203=Y$3,-$K203,0)</f>
        <v>0</v>
      </c>
      <c r="Z203" s="2">
        <f>IF($M203=Z$3,-$K203,0)</f>
        <v>0</v>
      </c>
      <c r="AA203" s="2">
        <f>IF($M203=AA$3,-$K203,0)</f>
        <v>0</v>
      </c>
      <c r="AB203" s="2">
        <f>IF($M203=AB$3,-$K203,0)</f>
        <v>0</v>
      </c>
      <c r="AC203" s="21">
        <f>IF($M203=AC$3,-$K203,0)</f>
        <v>0</v>
      </c>
      <c r="AD203" s="20"/>
      <c r="AE203" s="19"/>
      <c r="AF203" s="2"/>
      <c r="AG203" s="2">
        <f>-$K203</f>
        <v>6516352</v>
      </c>
      <c r="AH203" s="2">
        <f>K203+SUM(O203:AC203)</f>
        <v>0</v>
      </c>
      <c r="AI203" s="2">
        <f>K203+SUM(AF203:AG203)</f>
        <v>0</v>
      </c>
    </row>
    <row r="204" spans="1:35" x14ac:dyDescent="0.2">
      <c r="A204" s="1" t="s">
        <v>3</v>
      </c>
      <c r="B204" s="68">
        <v>45775</v>
      </c>
      <c r="H204" s="1" t="s">
        <v>27</v>
      </c>
      <c r="I204" s="1" t="s">
        <v>666</v>
      </c>
      <c r="K204" s="2">
        <v>-4564352</v>
      </c>
      <c r="L204" s="46">
        <v>42025</v>
      </c>
      <c r="M204" s="42" t="str">
        <f>LEFT(I204,(LEN(LEFT(I204,FIND(";",I204)))-8))</f>
        <v>VNDN</v>
      </c>
      <c r="N204" s="42" t="s">
        <v>138</v>
      </c>
      <c r="O204" s="2">
        <f>IF($M204=O$3,-$K204,0)</f>
        <v>0</v>
      </c>
      <c r="P204" s="2">
        <f>IF($M204=P$3,-$K204,0)</f>
        <v>0</v>
      </c>
      <c r="Q204" s="2">
        <f>IF($M204=Q$3,-$K204,0)</f>
        <v>0</v>
      </c>
      <c r="R204" s="2">
        <f>IF($M204=R$3,-$K204,0)</f>
        <v>0</v>
      </c>
      <c r="S204" s="2">
        <f>IF($M204=S$3,-$K204,0)</f>
        <v>4564352</v>
      </c>
      <c r="T204" s="2">
        <f>IF($M204=T$3,-$K204,0)</f>
        <v>0</v>
      </c>
      <c r="U204" s="2">
        <f>IF($M204=U$3,-$K204,0)</f>
        <v>0</v>
      </c>
      <c r="V204" s="2">
        <f>IF($M204=V$3,-$K204,0)</f>
        <v>0</v>
      </c>
      <c r="W204" s="2">
        <f>IF($M204=W$3,-$K204,0)</f>
        <v>0</v>
      </c>
      <c r="X204" s="2">
        <f>IF($M204=X$3,-$K204,0)</f>
        <v>0</v>
      </c>
      <c r="Y204" s="2">
        <f>IF($M204=Y$3,-$K204,0)</f>
        <v>0</v>
      </c>
      <c r="Z204" s="2">
        <f>IF($M204=Z$3,-$K204,0)</f>
        <v>0</v>
      </c>
      <c r="AA204" s="2">
        <f>IF($M204=AA$3,-$K204,0)</f>
        <v>0</v>
      </c>
      <c r="AB204" s="2">
        <f>IF($M204=AB$3,-$K204,0)</f>
        <v>0</v>
      </c>
      <c r="AC204" s="21">
        <f>IF($M204=AC$3,-$K204,0)</f>
        <v>0</v>
      </c>
      <c r="AD204" s="20"/>
      <c r="AE204" s="19"/>
      <c r="AF204" s="2"/>
      <c r="AG204" s="2">
        <f>-$K204</f>
        <v>4564352</v>
      </c>
      <c r="AH204" s="2">
        <f>K204+SUM(O204:AC204)</f>
        <v>0</v>
      </c>
      <c r="AI204" s="2">
        <f>K204+SUM(AF204:AG204)</f>
        <v>0</v>
      </c>
    </row>
    <row r="205" spans="1:35" x14ac:dyDescent="0.2">
      <c r="A205" s="1" t="s">
        <v>3</v>
      </c>
      <c r="B205" s="68">
        <v>45775</v>
      </c>
      <c r="H205" s="1" t="s">
        <v>25</v>
      </c>
      <c r="I205" s="1" t="s">
        <v>665</v>
      </c>
      <c r="K205" s="2">
        <v>0</v>
      </c>
      <c r="L205" s="46">
        <v>42025</v>
      </c>
      <c r="M205" s="42" t="str">
        <f>LEFT(I205,(LEN(LEFT(I205,FIND(";",I205)))-8))</f>
        <v>VNQN</v>
      </c>
      <c r="N205" s="42" t="s">
        <v>138</v>
      </c>
      <c r="O205" s="2">
        <f>IF($M205=O$3,-$K205,0)</f>
        <v>0</v>
      </c>
      <c r="P205" s="2">
        <f>IF($M205=P$3,-$K205,0)</f>
        <v>0</v>
      </c>
      <c r="Q205" s="2">
        <f>IF($M205=Q$3,-$K205,0)</f>
        <v>0</v>
      </c>
      <c r="R205" s="2">
        <f>IF($M205=R$3,-$K205,0)</f>
        <v>0</v>
      </c>
      <c r="S205" s="2">
        <f>IF($M205=S$3,-$K205,0)</f>
        <v>0</v>
      </c>
      <c r="T205" s="2">
        <f>IF($M205=T$3,-$K205,0)</f>
        <v>0</v>
      </c>
      <c r="U205" s="2">
        <f>IF($M205=U$3,-$K205,0)</f>
        <v>0</v>
      </c>
      <c r="V205" s="2">
        <f>IF($M205=V$3,-$K205,0)</f>
        <v>0</v>
      </c>
      <c r="W205" s="2">
        <f>IF($M205=W$3,-$K205,0)</f>
        <v>0</v>
      </c>
      <c r="X205" s="2">
        <f>IF($M205=X$3,-$K205,0)</f>
        <v>0</v>
      </c>
      <c r="Y205" s="2">
        <f>IF($M205=Y$3,-$K205,0)</f>
        <v>0</v>
      </c>
      <c r="Z205" s="2">
        <f>IF($M205=Z$3,-$K205,0)</f>
        <v>0</v>
      </c>
      <c r="AA205" s="2">
        <f>IF($M205=AA$3,-$K205,0)</f>
        <v>0</v>
      </c>
      <c r="AB205" s="2">
        <f>IF($M205=AB$3,-$K205,0)</f>
        <v>0</v>
      </c>
      <c r="AC205" s="21">
        <f>IF($M205=AC$3,-$K205,0)</f>
        <v>0</v>
      </c>
      <c r="AD205" s="20"/>
      <c r="AE205" s="19"/>
      <c r="AF205" s="2"/>
      <c r="AG205" s="2">
        <f>-$K205</f>
        <v>0</v>
      </c>
      <c r="AH205" s="2">
        <f>K205+SUM(O205:AC205)</f>
        <v>0</v>
      </c>
      <c r="AI205" s="2">
        <f>K205+SUM(AF205:AG205)</f>
        <v>0</v>
      </c>
    </row>
    <row r="206" spans="1:35" x14ac:dyDescent="0.2">
      <c r="A206" s="1" t="s">
        <v>3</v>
      </c>
      <c r="B206" s="68">
        <v>45775</v>
      </c>
      <c r="H206" s="1" t="s">
        <v>81</v>
      </c>
      <c r="I206" s="1" t="s">
        <v>664</v>
      </c>
      <c r="K206" s="2">
        <v>-4069952</v>
      </c>
      <c r="L206" s="46">
        <v>42025</v>
      </c>
      <c r="M206" s="42" t="str">
        <f>LEFT(I206,(LEN(LEFT(I206,FIND(";",I206)))-8))</f>
        <v>VNQN</v>
      </c>
      <c r="N206" s="42" t="s">
        <v>138</v>
      </c>
      <c r="O206" s="2">
        <f>IF($M206=O$3,-$K206,0)</f>
        <v>0</v>
      </c>
      <c r="P206" s="2">
        <f>IF($M206=P$3,-$K206,0)</f>
        <v>0</v>
      </c>
      <c r="Q206" s="2">
        <f>IF($M206=Q$3,-$K206,0)</f>
        <v>0</v>
      </c>
      <c r="R206" s="2">
        <f>IF($M206=R$3,-$K206,0)</f>
        <v>0</v>
      </c>
      <c r="S206" s="2">
        <f>IF($M206=S$3,-$K206,0)</f>
        <v>0</v>
      </c>
      <c r="T206" s="2">
        <f>IF($M206=T$3,-$K206,0)</f>
        <v>4069952</v>
      </c>
      <c r="U206" s="2">
        <f>IF($M206=U$3,-$K206,0)</f>
        <v>0</v>
      </c>
      <c r="V206" s="2">
        <f>IF($M206=V$3,-$K206,0)</f>
        <v>0</v>
      </c>
      <c r="W206" s="2">
        <f>IF($M206=W$3,-$K206,0)</f>
        <v>0</v>
      </c>
      <c r="X206" s="2">
        <f>IF($M206=X$3,-$K206,0)</f>
        <v>0</v>
      </c>
      <c r="Y206" s="2">
        <f>IF($M206=Y$3,-$K206,0)</f>
        <v>0</v>
      </c>
      <c r="Z206" s="2">
        <f>IF($M206=Z$3,-$K206,0)</f>
        <v>0</v>
      </c>
      <c r="AA206" s="2">
        <f>IF($M206=AA$3,-$K206,0)</f>
        <v>0</v>
      </c>
      <c r="AB206" s="2">
        <f>IF($M206=AB$3,-$K206,0)</f>
        <v>0</v>
      </c>
      <c r="AC206" s="21">
        <f>IF($M206=AC$3,-$K206,0)</f>
        <v>0</v>
      </c>
      <c r="AD206" s="20"/>
      <c r="AE206" s="19"/>
      <c r="AF206" s="2"/>
      <c r="AG206" s="2">
        <f>-$K206</f>
        <v>4069952</v>
      </c>
      <c r="AH206" s="2">
        <f>K206+SUM(O206:AC206)</f>
        <v>0</v>
      </c>
      <c r="AI206" s="2">
        <f>K206+SUM(AF206:AG206)</f>
        <v>0</v>
      </c>
    </row>
    <row r="207" spans="1:35" x14ac:dyDescent="0.2">
      <c r="A207" s="1" t="s">
        <v>3</v>
      </c>
      <c r="B207" s="68">
        <v>45775</v>
      </c>
      <c r="H207" s="1" t="s">
        <v>23</v>
      </c>
      <c r="I207" s="1" t="s">
        <v>663</v>
      </c>
      <c r="K207" s="2">
        <v>-4069952</v>
      </c>
      <c r="L207" s="46">
        <v>42025</v>
      </c>
      <c r="M207" s="42" t="str">
        <f>LEFT(I207,(LEN(LEFT(I207,FIND(";",I207)))-8))</f>
        <v>VNHD</v>
      </c>
      <c r="N207" s="42" t="s">
        <v>138</v>
      </c>
      <c r="O207" s="2">
        <f>IF($M207=O$3,-$K207,0)</f>
        <v>0</v>
      </c>
      <c r="P207" s="2">
        <f>IF($M207=P$3,-$K207,0)</f>
        <v>0</v>
      </c>
      <c r="Q207" s="2">
        <f>IF($M207=Q$3,-$K207,0)</f>
        <v>0</v>
      </c>
      <c r="R207" s="2">
        <f>IF($M207=R$3,-$K207,0)</f>
        <v>0</v>
      </c>
      <c r="S207" s="2">
        <f>IF($M207=S$3,-$K207,0)</f>
        <v>0</v>
      </c>
      <c r="T207" s="2">
        <f>IF($M207=T$3,-$K207,0)</f>
        <v>0</v>
      </c>
      <c r="U207" s="2">
        <f>IF($M207=U$3,-$K207,0)</f>
        <v>4069952</v>
      </c>
      <c r="V207" s="2">
        <f>IF($M207=V$3,-$K207,0)</f>
        <v>0</v>
      </c>
      <c r="W207" s="2">
        <f>IF($M207=W$3,-$K207,0)</f>
        <v>0</v>
      </c>
      <c r="X207" s="2">
        <f>IF($M207=X$3,-$K207,0)</f>
        <v>0</v>
      </c>
      <c r="Y207" s="2">
        <f>IF($M207=Y$3,-$K207,0)</f>
        <v>0</v>
      </c>
      <c r="Z207" s="2">
        <f>IF($M207=Z$3,-$K207,0)</f>
        <v>0</v>
      </c>
      <c r="AA207" s="2">
        <f>IF($M207=AA$3,-$K207,0)</f>
        <v>0</v>
      </c>
      <c r="AB207" s="2">
        <f>IF($M207=AB$3,-$K207,0)</f>
        <v>0</v>
      </c>
      <c r="AC207" s="21">
        <f>IF($M207=AC$3,-$K207,0)</f>
        <v>0</v>
      </c>
      <c r="AD207" s="20"/>
      <c r="AE207" s="19"/>
      <c r="AF207" s="2"/>
      <c r="AG207" s="2">
        <f>-$K207</f>
        <v>4069952</v>
      </c>
      <c r="AH207" s="2">
        <f>K207+SUM(O207:AC207)</f>
        <v>0</v>
      </c>
      <c r="AI207" s="2">
        <f>K207+SUM(AF207:AG207)</f>
        <v>0</v>
      </c>
    </row>
    <row r="208" spans="1:35" x14ac:dyDescent="0.2">
      <c r="A208" s="1" t="s">
        <v>3</v>
      </c>
      <c r="B208" s="68">
        <v>45775</v>
      </c>
      <c r="H208" s="1" t="s">
        <v>21</v>
      </c>
      <c r="I208" s="1" t="s">
        <v>662</v>
      </c>
      <c r="K208" s="2">
        <v>-4564352</v>
      </c>
      <c r="L208" s="46">
        <v>42025</v>
      </c>
      <c r="M208" s="42" t="str">
        <f>LEFT(I208,(LEN(LEFT(I208,FIND(";",I208)))-8))</f>
        <v>VNHCM</v>
      </c>
      <c r="N208" s="42" t="s">
        <v>138</v>
      </c>
      <c r="O208" s="2">
        <f>IF($M208=O$3,-$K208,0)</f>
        <v>0</v>
      </c>
      <c r="P208" s="2">
        <f>IF($M208=P$3,-$K208,0)</f>
        <v>0</v>
      </c>
      <c r="Q208" s="2">
        <f>IF($M208=Q$3,-$K208,0)</f>
        <v>0</v>
      </c>
      <c r="R208" s="2">
        <f>IF($M208=R$3,-$K208,0)</f>
        <v>0</v>
      </c>
      <c r="S208" s="2">
        <f>IF($M208=S$3,-$K208,0)</f>
        <v>0</v>
      </c>
      <c r="T208" s="2">
        <f>IF($M208=T$3,-$K208,0)</f>
        <v>0</v>
      </c>
      <c r="U208" s="2">
        <f>IF($M208=U$3,-$K208,0)</f>
        <v>0</v>
      </c>
      <c r="V208" s="2">
        <f>IF($M208=V$3,-$K208,0)</f>
        <v>0</v>
      </c>
      <c r="W208" s="2">
        <f>IF($M208=W$3,-$K208,0)</f>
        <v>0</v>
      </c>
      <c r="X208" s="2">
        <f>IF($M208=X$3,-$K208,0)</f>
        <v>0</v>
      </c>
      <c r="Y208" s="2">
        <f>IF($M208=Y$3,-$K208,0)</f>
        <v>4564352</v>
      </c>
      <c r="Z208" s="2">
        <f>IF($M208=Z$3,-$K208,0)</f>
        <v>0</v>
      </c>
      <c r="AA208" s="2">
        <f>IF($M208=AA$3,-$K208,0)</f>
        <v>0</v>
      </c>
      <c r="AB208" s="2">
        <f>IF($M208=AB$3,-$K208,0)</f>
        <v>0</v>
      </c>
      <c r="AC208" s="21">
        <f>IF($M208=AC$3,-$K208,0)</f>
        <v>0</v>
      </c>
      <c r="AD208" s="20"/>
      <c r="AE208" s="19"/>
      <c r="AF208" s="2"/>
      <c r="AG208" s="2">
        <f>-$K208</f>
        <v>4564352</v>
      </c>
      <c r="AH208" s="2">
        <f>K208+SUM(O208:AC208)</f>
        <v>0</v>
      </c>
      <c r="AI208" s="2">
        <f>K208+SUM(AF208:AG208)</f>
        <v>0</v>
      </c>
    </row>
    <row r="209" spans="1:35" x14ac:dyDescent="0.2">
      <c r="A209" s="1" t="s">
        <v>3</v>
      </c>
      <c r="B209" s="68">
        <v>45775</v>
      </c>
      <c r="H209" s="1" t="s">
        <v>19</v>
      </c>
      <c r="I209" s="1" t="s">
        <v>661</v>
      </c>
      <c r="K209" s="2">
        <v>-4564352</v>
      </c>
      <c r="L209" s="46">
        <v>42025</v>
      </c>
      <c r="M209" s="42" t="str">
        <f>LEFT(I209,(LEN(LEFT(I209,FIND(";",I209)))-8))</f>
        <v>VNQN</v>
      </c>
      <c r="N209" s="42" t="s">
        <v>138</v>
      </c>
      <c r="O209" s="2">
        <f>IF($M209=O$3,-$K209,0)</f>
        <v>0</v>
      </c>
      <c r="P209" s="2">
        <f>IF($M209=P$3,-$K209,0)</f>
        <v>0</v>
      </c>
      <c r="Q209" s="2">
        <f>IF($M209=Q$3,-$K209,0)</f>
        <v>0</v>
      </c>
      <c r="R209" s="2">
        <f>IF($M209=R$3,-$K209,0)</f>
        <v>0</v>
      </c>
      <c r="S209" s="2">
        <f>IF($M209=S$3,-$K209,0)</f>
        <v>0</v>
      </c>
      <c r="T209" s="2">
        <f>IF($M209=T$3,-$K209,0)</f>
        <v>4564352</v>
      </c>
      <c r="U209" s="2">
        <f>IF($M209=U$3,-$K209,0)</f>
        <v>0</v>
      </c>
      <c r="V209" s="2">
        <f>IF($M209=V$3,-$K209,0)</f>
        <v>0</v>
      </c>
      <c r="W209" s="2">
        <f>IF($M209=W$3,-$K209,0)</f>
        <v>0</v>
      </c>
      <c r="X209" s="2">
        <f>IF($M209=X$3,-$K209,0)</f>
        <v>0</v>
      </c>
      <c r="Y209" s="2">
        <f>IF($M209=Y$3,-$K209,0)</f>
        <v>0</v>
      </c>
      <c r="Z209" s="2">
        <f>IF($M209=Z$3,-$K209,0)</f>
        <v>0</v>
      </c>
      <c r="AA209" s="2">
        <f>IF($M209=AA$3,-$K209,0)</f>
        <v>0</v>
      </c>
      <c r="AB209" s="2">
        <f>IF($M209=AB$3,-$K209,0)</f>
        <v>0</v>
      </c>
      <c r="AC209" s="21">
        <f>IF($M209=AC$3,-$K209,0)</f>
        <v>0</v>
      </c>
      <c r="AD209" s="20"/>
      <c r="AE209" s="19"/>
      <c r="AF209" s="2"/>
      <c r="AG209" s="2">
        <f>-$K209</f>
        <v>4564352</v>
      </c>
      <c r="AH209" s="2">
        <f>K209+SUM(O209:AC209)</f>
        <v>0</v>
      </c>
      <c r="AI209" s="2">
        <f>K209+SUM(AF209:AG209)</f>
        <v>0</v>
      </c>
    </row>
    <row r="210" spans="1:35" x14ac:dyDescent="0.2">
      <c r="A210" s="1" t="s">
        <v>3</v>
      </c>
      <c r="B210" s="68">
        <v>45775</v>
      </c>
      <c r="H210" s="1" t="s">
        <v>153</v>
      </c>
      <c r="I210" s="1" t="s">
        <v>660</v>
      </c>
      <c r="K210" s="2">
        <v>-4244352</v>
      </c>
      <c r="L210" s="46">
        <v>42025</v>
      </c>
      <c r="M210" s="42" t="str">
        <f>LEFT(I210,(LEN(LEFT(I210,FIND(";",I210)))-8))</f>
        <v>VNBN</v>
      </c>
      <c r="N210" s="42" t="s">
        <v>138</v>
      </c>
      <c r="O210" s="2">
        <f>IF($M210=O$3,-$K210,0)</f>
        <v>0</v>
      </c>
      <c r="P210" s="2">
        <f>IF($M210=P$3,-$K210,0)</f>
        <v>0</v>
      </c>
      <c r="Q210" s="2">
        <f>IF($M210=Q$3,-$K210,0)</f>
        <v>0</v>
      </c>
      <c r="R210" s="2">
        <f>IF($M210=R$3,-$K210,0)</f>
        <v>0</v>
      </c>
      <c r="S210" s="2">
        <f>IF($M210=S$3,-$K210,0)</f>
        <v>0</v>
      </c>
      <c r="T210" s="2">
        <f>IF($M210=T$3,-$K210,0)</f>
        <v>0</v>
      </c>
      <c r="U210" s="2">
        <f>IF($M210=U$3,-$K210,0)</f>
        <v>0</v>
      </c>
      <c r="V210" s="2">
        <f>IF($M210=V$3,-$K210,0)</f>
        <v>0</v>
      </c>
      <c r="W210" s="2">
        <f>IF($M210=W$3,-$K210,0)</f>
        <v>0</v>
      </c>
      <c r="X210" s="2">
        <f>IF($M210=X$3,-$K210,0)</f>
        <v>0</v>
      </c>
      <c r="Y210" s="2">
        <f>IF($M210=Y$3,-$K210,0)</f>
        <v>0</v>
      </c>
      <c r="Z210" s="2">
        <f>IF($M210=Z$3,-$K210,0)</f>
        <v>0</v>
      </c>
      <c r="AA210" s="2">
        <f>IF($M210=AA$3,-$K210,0)</f>
        <v>4244352</v>
      </c>
      <c r="AB210" s="2">
        <f>IF($M210=AB$3,-$K210,0)</f>
        <v>0</v>
      </c>
      <c r="AC210" s="21">
        <f>IF($M210=AC$3,-$K210,0)</f>
        <v>0</v>
      </c>
      <c r="AD210" s="20"/>
      <c r="AE210" s="19"/>
      <c r="AF210" s="2"/>
      <c r="AG210" s="2">
        <f>-K210</f>
        <v>4244352</v>
      </c>
      <c r="AH210" s="2">
        <f>K210+SUM(O210:AC210)</f>
        <v>0</v>
      </c>
      <c r="AI210" s="2">
        <f>K210+SUM(AF210:AG210)</f>
        <v>0</v>
      </c>
    </row>
    <row r="211" spans="1:35" x14ac:dyDescent="0.2">
      <c r="A211" s="1" t="s">
        <v>3</v>
      </c>
      <c r="B211" s="68">
        <v>45775</v>
      </c>
      <c r="H211" s="1" t="s">
        <v>151</v>
      </c>
      <c r="I211" s="1" t="s">
        <v>659</v>
      </c>
      <c r="K211" s="2">
        <v>-3924352</v>
      </c>
      <c r="L211" s="46">
        <v>42025</v>
      </c>
      <c r="M211" s="42" t="str">
        <f>LEFT(I211,(LEN(LEFT(I211,FIND(";",I211)))-8))</f>
        <v>VNQN</v>
      </c>
      <c r="N211" s="42" t="s">
        <v>138</v>
      </c>
      <c r="O211" s="2">
        <f>IF($M211=O$3,-$K211,0)</f>
        <v>0</v>
      </c>
      <c r="P211" s="2">
        <f>IF($M211=P$3,-$K211,0)</f>
        <v>0</v>
      </c>
      <c r="Q211" s="2">
        <f>IF($M211=Q$3,-$K211,0)</f>
        <v>0</v>
      </c>
      <c r="R211" s="2">
        <f>IF($M211=R$3,-$K211,0)</f>
        <v>0</v>
      </c>
      <c r="S211" s="2">
        <f>IF($M211=S$3,-$K211,0)</f>
        <v>0</v>
      </c>
      <c r="T211" s="2">
        <f>IF($M211=T$3,-$K211,0)</f>
        <v>3924352</v>
      </c>
      <c r="U211" s="2">
        <f>IF($M211=U$3,-$K211,0)</f>
        <v>0</v>
      </c>
      <c r="V211" s="2">
        <f>IF($M211=V$3,-$K211,0)</f>
        <v>0</v>
      </c>
      <c r="W211" s="2">
        <f>IF($M211=W$3,-$K211,0)</f>
        <v>0</v>
      </c>
      <c r="X211" s="2">
        <f>IF($M211=X$3,-$K211,0)</f>
        <v>0</v>
      </c>
      <c r="Y211" s="2">
        <f>IF($M211=Y$3,-$K211,0)</f>
        <v>0</v>
      </c>
      <c r="Z211" s="2">
        <f>IF($M211=Z$3,-$K211,0)</f>
        <v>0</v>
      </c>
      <c r="AA211" s="2">
        <f>IF($M211=AA$3,-$K211,0)</f>
        <v>0</v>
      </c>
      <c r="AB211" s="2">
        <f>IF($M211=AB$3,-$K211,0)</f>
        <v>0</v>
      </c>
      <c r="AC211" s="21">
        <f>IF($M211=AC$3,-$K211,0)</f>
        <v>0</v>
      </c>
      <c r="AD211" s="20"/>
      <c r="AE211" s="19"/>
      <c r="AF211" s="2"/>
      <c r="AG211" s="2">
        <f>-$K211</f>
        <v>3924352</v>
      </c>
      <c r="AH211" s="2">
        <f>K211+SUM(O211:AC211)</f>
        <v>0</v>
      </c>
      <c r="AI211" s="2">
        <f>K211+SUM(AF211:AG211)</f>
        <v>0</v>
      </c>
    </row>
    <row r="212" spans="1:35" x14ac:dyDescent="0.2">
      <c r="A212" s="1" t="s">
        <v>3</v>
      </c>
      <c r="B212" s="68">
        <v>45775</v>
      </c>
      <c r="H212" s="1" t="s">
        <v>76</v>
      </c>
      <c r="I212" s="1" t="s">
        <v>658</v>
      </c>
      <c r="K212" s="2">
        <v>0</v>
      </c>
      <c r="L212" s="46">
        <v>42025</v>
      </c>
      <c r="M212" s="42" t="str">
        <f>LEFT(I212,(LEN(LEFT(I212,FIND(";",I212)))-8))</f>
        <v>VNMOET</v>
      </c>
      <c r="N212" s="42" t="s">
        <v>138</v>
      </c>
      <c r="O212" s="2">
        <f>IF($M212=O$3,-$K212,0)</f>
        <v>0</v>
      </c>
      <c r="P212" s="2">
        <f>IF($M212=P$3,-$K212,0)</f>
        <v>0</v>
      </c>
      <c r="Q212" s="2">
        <f>IF($M212=Q$3,-$K212,0)</f>
        <v>0</v>
      </c>
      <c r="R212" s="2">
        <f>IF($M212=R$3,-$K212,0)</f>
        <v>0</v>
      </c>
      <c r="S212" s="2">
        <f>IF($M212=S$3,-$K212,0)</f>
        <v>0</v>
      </c>
      <c r="T212" s="2">
        <f>IF($M212=T$3,-$K212,0)</f>
        <v>0</v>
      </c>
      <c r="U212" s="2">
        <f>IF($M212=U$3,-$K212,0)</f>
        <v>0</v>
      </c>
      <c r="V212" s="2">
        <f>IF($M212=V$3,-$K212,0)</f>
        <v>0</v>
      </c>
      <c r="W212" s="2">
        <f>IF($M212=W$3,-$K212,0)</f>
        <v>0</v>
      </c>
      <c r="X212" s="2">
        <f>IF($M212=X$3,-$K212,0)</f>
        <v>0</v>
      </c>
      <c r="Y212" s="2">
        <f>IF($M212=Y$3,-$K212,0)</f>
        <v>0</v>
      </c>
      <c r="Z212" s="2">
        <f>IF($M212=Z$3,-$K212,0)</f>
        <v>0</v>
      </c>
      <c r="AA212" s="2">
        <f>IF($M212=AA$3,-$K212,0)</f>
        <v>0</v>
      </c>
      <c r="AB212" s="2">
        <f>IF($M212=AB$3,-$K212,0)</f>
        <v>0</v>
      </c>
      <c r="AC212" s="21">
        <f>IF($M212=AC$3,-$K212,0)</f>
        <v>0</v>
      </c>
      <c r="AD212" s="20"/>
      <c r="AE212" s="19"/>
      <c r="AF212" s="2">
        <f>-$K212</f>
        <v>0</v>
      </c>
      <c r="AG212" s="2"/>
      <c r="AH212" s="2">
        <f>K212+SUM(O212:AC212)</f>
        <v>0</v>
      </c>
      <c r="AI212" s="2">
        <f>K212+SUM(AF212:AG212)</f>
        <v>0</v>
      </c>
    </row>
    <row r="213" spans="1:35" x14ac:dyDescent="0.2">
      <c r="A213" s="1" t="s">
        <v>3</v>
      </c>
      <c r="B213" s="68">
        <v>45775</v>
      </c>
      <c r="H213" s="1" t="s">
        <v>17</v>
      </c>
      <c r="I213" s="1" t="s">
        <v>657</v>
      </c>
      <c r="K213" s="2">
        <v>-3604352</v>
      </c>
      <c r="L213" s="46">
        <v>42025</v>
      </c>
      <c r="M213" s="42" t="s">
        <v>591</v>
      </c>
      <c r="N213" s="42" t="s">
        <v>138</v>
      </c>
      <c r="O213" s="2">
        <f>IF($M213=O$3,-$K213,0)</f>
        <v>0</v>
      </c>
      <c r="P213" s="2">
        <f>IF($M213=P$3,-$K213,0)</f>
        <v>0</v>
      </c>
      <c r="Q213" s="2">
        <f>IF($M213=Q$3,-$K213,0)</f>
        <v>0</v>
      </c>
      <c r="R213" s="2">
        <f>IF($M213=R$3,-$K213,0)</f>
        <v>0</v>
      </c>
      <c r="S213" s="2">
        <f>IF($M213=S$3,-$K213,0)</f>
        <v>0</v>
      </c>
      <c r="T213" s="2">
        <f>IF($M213=T$3,-$K213,0)</f>
        <v>3604352</v>
      </c>
      <c r="U213" s="2">
        <f>IF($M213=U$3,-$K213,0)</f>
        <v>0</v>
      </c>
      <c r="V213" s="2">
        <f>IF($M213=V$3,-$K213,0)</f>
        <v>0</v>
      </c>
      <c r="W213" s="2">
        <f>IF($M213=W$3,-$K213,0)</f>
        <v>0</v>
      </c>
      <c r="X213" s="2">
        <f>IF($M213=X$3,-$K213,0)</f>
        <v>0</v>
      </c>
      <c r="Y213" s="2">
        <f>IF($M213=Y$3,-$K213,0)</f>
        <v>0</v>
      </c>
      <c r="Z213" s="2">
        <f>IF($M213=Z$3,-$K213,0)</f>
        <v>0</v>
      </c>
      <c r="AA213" s="2">
        <f>IF($M213=AA$3,-$K213,0)</f>
        <v>0</v>
      </c>
      <c r="AB213" s="2">
        <f>IF($M213=AB$3,-$K213,0)</f>
        <v>0</v>
      </c>
      <c r="AC213" s="21">
        <f>IF($M213=AC$3,-$K213,0)</f>
        <v>0</v>
      </c>
      <c r="AD213" s="20"/>
      <c r="AE213" s="19"/>
      <c r="AF213" s="2"/>
      <c r="AG213" s="2">
        <f>-$K213</f>
        <v>3604352</v>
      </c>
      <c r="AH213" s="2">
        <f>K213+SUM(O213:AC213)</f>
        <v>0</v>
      </c>
      <c r="AI213" s="2">
        <f>K213+SUM(AF213:AG213)</f>
        <v>0</v>
      </c>
    </row>
    <row r="214" spans="1:35" x14ac:dyDescent="0.2">
      <c r="A214" s="69" t="s">
        <v>61</v>
      </c>
      <c r="B214" s="1" t="s">
        <v>651</v>
      </c>
      <c r="H214" s="1" t="s">
        <v>135</v>
      </c>
      <c r="I214" s="1" t="s">
        <v>135</v>
      </c>
      <c r="K214" s="2">
        <v>-40993275</v>
      </c>
      <c r="L214" s="46">
        <v>42025</v>
      </c>
      <c r="M214" s="2" t="str">
        <f>VLOOKUP(H214,$H$132:$M$160,6,0)</f>
        <v>VNOther</v>
      </c>
      <c r="N214" s="2" t="s">
        <v>138</v>
      </c>
      <c r="O214" s="15">
        <f>-$K214*IFERROR(INDEX('[1]salary allocation'!$E$6:$J$22,MATCH($H214,'[1]salary allocation'!$D$6:$D$22,0),MATCH(O$3,'[1]salary allocation'!$E$3:$J$3,0)),0)</f>
        <v>0</v>
      </c>
      <c r="P214" s="15">
        <f>-$K214*IFERROR(INDEX('[1]salary allocation'!$E$6:$J$22,MATCH($H214,'[1]salary allocation'!$D$6:$D$22,0),MATCH(P$3,'[1]salary allocation'!$E$3:$J$3,0)),0)</f>
        <v>20496637.5</v>
      </c>
      <c r="Q214" s="15">
        <f>-$K214*IFERROR(INDEX('[1]salary allocation'!$E$6:$J$22,MATCH($H214,'[1]salary allocation'!$D$6:$D$22,0),MATCH(Q$3,'[1]salary allocation'!$E$3:$J$3,0)),0)</f>
        <v>0</v>
      </c>
      <c r="R214" s="15">
        <f>-$K214*IFERROR(INDEX('[1]salary allocation'!$E$6:$J$22,MATCH($H214,'[1]salary allocation'!$D$6:$D$22,0),MATCH(R$3,'[1]salary allocation'!$E$3:$J$3,0)),0)</f>
        <v>0</v>
      </c>
      <c r="S214" s="15">
        <f>-$K214*IFERROR(INDEX('[1]salary allocation'!$E$6:$J$22,MATCH($H214,'[1]salary allocation'!$D$6:$D$22,0),MATCH(S$3,'[1]salary allocation'!$E$3:$J$3,0)),0)</f>
        <v>4099327.5</v>
      </c>
      <c r="T214" s="15">
        <f>-$K214*IFERROR(INDEX('[1]salary allocation'!$E$6:$J$22,MATCH($H214,'[1]salary allocation'!$D$6:$D$22,0),MATCH(T$3,'[1]salary allocation'!$E$3:$J$3,0)),0)</f>
        <v>4099327.5</v>
      </c>
      <c r="U214" s="15">
        <f>-$K214*IFERROR(INDEX('[1]salary allocation'!$E$6:$J$22,MATCH($H214,'[1]salary allocation'!$D$6:$D$22,0),MATCH(U$3,'[1]salary allocation'!$E$3:$J$3,0)),0)</f>
        <v>4099327.5</v>
      </c>
      <c r="V214" s="15">
        <f>-$K214*IFERROR(INDEX('[1]salary allocation'!$E$6:$J$22,MATCH($H214,'[1]salary allocation'!$D$6:$D$22,0),MATCH(V$3,'[1]salary allocation'!$E$3:$J$3,0)),0)</f>
        <v>0</v>
      </c>
      <c r="W214" s="15">
        <f>-$K214*IFERROR(INDEX('[1]salary allocation'!$E$6:$J$22,MATCH($H214,'[1]salary allocation'!$D$6:$D$22,0),MATCH(W$3,'[1]salary allocation'!$E$3:$J$3,0)),0)</f>
        <v>8198655</v>
      </c>
      <c r="X214" s="15">
        <f>-$K214*IFERROR(INDEX('[1]salary allocation'!$E$6:$J$22,MATCH($H214,'[1]salary allocation'!$D$6:$D$22,0),MATCH(X$3,'[1]salary allocation'!$E$3:$J$3,0)),0)</f>
        <v>0</v>
      </c>
      <c r="Y214" s="15">
        <f>-$K214*IFERROR(INDEX('[1]salary allocation'!$E$6:$J$22,MATCH($H214,'[1]salary allocation'!$D$6:$D$22,0),MATCH(Y$3,'[1]salary allocation'!$E$3:$J$3,0)),0)</f>
        <v>0</v>
      </c>
      <c r="Z214" s="15">
        <f>-$K214*IFERROR(INDEX('[1]salary allocation'!$E$6:$J$22,MATCH($H214,'[1]salary allocation'!$D$6:$D$22,0),MATCH(Z$3,'[1]salary allocation'!$E$3:$J$3,0)),0)</f>
        <v>0</v>
      </c>
      <c r="AA214" s="15">
        <f>-$K214*IFERROR(INDEX('[1]salary allocation'!$E$6:$J$22,MATCH($H214,'[1]salary allocation'!$D$6:$D$22,0),MATCH(AA$3,'[1]salary allocation'!$E$3:$J$3,0)),0)</f>
        <v>0</v>
      </c>
      <c r="AB214" s="15">
        <f>-$K214*IFERROR(INDEX('[1]salary allocation'!$E$6:$J$22,MATCH($H214,'[1]salary allocation'!$D$6:$D$22,0),MATCH(AB$3,'[1]salary allocation'!$E$3:$J$3,0)),0)</f>
        <v>0</v>
      </c>
      <c r="AC214" s="18">
        <f>-$K214*IFERROR(INDEX('[1]salary allocation'!$E$6:$J$22,MATCH($H214,'[1]salary allocation'!$D$6:$D$22,0),MATCH(AC$3,'[1]salary allocation'!$E$3:$J$3,0)),0)</f>
        <v>0</v>
      </c>
      <c r="AD214" s="17"/>
      <c r="AE214" s="16"/>
      <c r="AF214" s="15">
        <f>-$K214</f>
        <v>40993275</v>
      </c>
      <c r="AG214" s="15"/>
      <c r="AH214" s="2">
        <f>K214+SUM(O214:AC214)</f>
        <v>0</v>
      </c>
      <c r="AI214" s="2">
        <f>K214+SUM(AF214:AG214)</f>
        <v>0</v>
      </c>
    </row>
    <row r="215" spans="1:35" x14ac:dyDescent="0.2">
      <c r="A215" s="69" t="s">
        <v>61</v>
      </c>
      <c r="B215" s="1" t="s">
        <v>651</v>
      </c>
      <c r="H215" s="1" t="s">
        <v>57</v>
      </c>
      <c r="I215" s="1" t="s">
        <v>57</v>
      </c>
      <c r="K215" s="2">
        <v>3557854</v>
      </c>
      <c r="L215" s="46">
        <v>42025</v>
      </c>
      <c r="M215" s="2" t="str">
        <f>VLOOKUP(H215,$H$132:$M$160,6,0)</f>
        <v>VNOther</v>
      </c>
      <c r="N215" s="2" t="s">
        <v>138</v>
      </c>
      <c r="O215" s="15">
        <f>-$K215*IFERROR(INDEX('[1]salary allocation'!$E$6:$J$22,MATCH($H215,'[1]salary allocation'!$D$6:$D$22,0),MATCH(O$3,'[1]salary allocation'!$E$3:$J$3,0)),0)</f>
        <v>0</v>
      </c>
      <c r="P215" s="15">
        <f>-$K215*IFERROR(INDEX('[1]salary allocation'!$E$6:$J$22,MATCH($H215,'[1]salary allocation'!$D$6:$D$22,0),MATCH(P$3,'[1]salary allocation'!$E$3:$J$3,0)),0)</f>
        <v>-1778927</v>
      </c>
      <c r="Q215" s="15">
        <f>-$K215*IFERROR(INDEX('[1]salary allocation'!$E$6:$J$22,MATCH($H215,'[1]salary allocation'!$D$6:$D$22,0),MATCH(Q$3,'[1]salary allocation'!$E$3:$J$3,0)),0)</f>
        <v>0</v>
      </c>
      <c r="R215" s="15">
        <f>-$K215*IFERROR(INDEX('[1]salary allocation'!$E$6:$J$22,MATCH($H215,'[1]salary allocation'!$D$6:$D$22,0),MATCH(R$3,'[1]salary allocation'!$E$3:$J$3,0)),0)</f>
        <v>0</v>
      </c>
      <c r="S215" s="15">
        <f>-$K215*IFERROR(INDEX('[1]salary allocation'!$E$6:$J$22,MATCH($H215,'[1]salary allocation'!$D$6:$D$22,0),MATCH(S$3,'[1]salary allocation'!$E$3:$J$3,0)),0)</f>
        <v>-355785.4</v>
      </c>
      <c r="T215" s="15">
        <f>-$K215*IFERROR(INDEX('[1]salary allocation'!$E$6:$J$22,MATCH($H215,'[1]salary allocation'!$D$6:$D$22,0),MATCH(T$3,'[1]salary allocation'!$E$3:$J$3,0)),0)</f>
        <v>-355785.4</v>
      </c>
      <c r="U215" s="15">
        <f>-$K215*IFERROR(INDEX('[1]salary allocation'!$E$6:$J$22,MATCH($H215,'[1]salary allocation'!$D$6:$D$22,0),MATCH(U$3,'[1]salary allocation'!$E$3:$J$3,0)),0)</f>
        <v>-355785.4</v>
      </c>
      <c r="V215" s="15">
        <f>-$K215*IFERROR(INDEX('[1]salary allocation'!$E$6:$J$22,MATCH($H215,'[1]salary allocation'!$D$6:$D$22,0),MATCH(V$3,'[1]salary allocation'!$E$3:$J$3,0)),0)</f>
        <v>0</v>
      </c>
      <c r="W215" s="15">
        <f>-$K215*IFERROR(INDEX('[1]salary allocation'!$E$6:$J$22,MATCH($H215,'[1]salary allocation'!$D$6:$D$22,0),MATCH(W$3,'[1]salary allocation'!$E$3:$J$3,0)),0)</f>
        <v>-711570.8</v>
      </c>
      <c r="X215" s="15">
        <f>-$K215*IFERROR(INDEX('[1]salary allocation'!$E$6:$J$22,MATCH($H215,'[1]salary allocation'!$D$6:$D$22,0),MATCH(X$3,'[1]salary allocation'!$E$3:$J$3,0)),0)</f>
        <v>0</v>
      </c>
      <c r="Y215" s="15">
        <f>-$K215*IFERROR(INDEX('[1]salary allocation'!$E$6:$J$22,MATCH($H215,'[1]salary allocation'!$D$6:$D$22,0),MATCH(Y$3,'[1]salary allocation'!$E$3:$J$3,0)),0)</f>
        <v>0</v>
      </c>
      <c r="Z215" s="15">
        <f>-$K215*IFERROR(INDEX('[1]salary allocation'!$E$6:$J$22,MATCH($H215,'[1]salary allocation'!$D$6:$D$22,0),MATCH(Z$3,'[1]salary allocation'!$E$3:$J$3,0)),0)</f>
        <v>0</v>
      </c>
      <c r="AA215" s="15">
        <f>-$K215*IFERROR(INDEX('[1]salary allocation'!$E$6:$J$22,MATCH($H215,'[1]salary allocation'!$D$6:$D$22,0),MATCH(AA$3,'[1]salary allocation'!$E$3:$J$3,0)),0)</f>
        <v>0</v>
      </c>
      <c r="AB215" s="15">
        <f>-$K215*IFERROR(INDEX('[1]salary allocation'!$E$6:$J$22,MATCH($H215,'[1]salary allocation'!$D$6:$D$22,0),MATCH(AB$3,'[1]salary allocation'!$E$3:$J$3,0)),0)</f>
        <v>0</v>
      </c>
      <c r="AC215" s="18">
        <f>-$K215*IFERROR(INDEX('[1]salary allocation'!$E$6:$J$22,MATCH($H215,'[1]salary allocation'!$D$6:$D$22,0),MATCH(AC$3,'[1]salary allocation'!$E$3:$J$3,0)),0)</f>
        <v>0</v>
      </c>
      <c r="AD215" s="17"/>
      <c r="AE215" s="16"/>
      <c r="AF215" s="15">
        <f>-$K215</f>
        <v>-3557854</v>
      </c>
      <c r="AG215" s="15"/>
      <c r="AH215" s="2">
        <f>K215+SUM(O215:AC215)</f>
        <v>0</v>
      </c>
      <c r="AI215" s="2">
        <f>K215+SUM(AF215:AG215)</f>
        <v>0</v>
      </c>
    </row>
    <row r="216" spans="1:35" x14ac:dyDescent="0.2">
      <c r="A216" s="69" t="s">
        <v>61</v>
      </c>
      <c r="B216" s="1" t="s">
        <v>651</v>
      </c>
      <c r="H216" s="1" t="s">
        <v>55</v>
      </c>
      <c r="I216" s="1" t="s">
        <v>55</v>
      </c>
      <c r="K216" s="2">
        <v>1470881</v>
      </c>
      <c r="L216" s="46">
        <v>42025</v>
      </c>
      <c r="M216" s="2" t="str">
        <f>VLOOKUP(H216,$H$132:$M$160,6,0)</f>
        <v>VNHBC</v>
      </c>
      <c r="N216" s="2" t="s">
        <v>138</v>
      </c>
      <c r="O216" s="15">
        <f>-$K216*IFERROR(INDEX('[1]salary allocation'!$E$6:$J$22,MATCH($H216,'[1]salary allocation'!$D$6:$D$22,0),MATCH(O$3,'[1]salary allocation'!$E$3:$J$3,0)),0)</f>
        <v>0</v>
      </c>
      <c r="P216" s="15">
        <f>-$K216*IFERROR(INDEX('[1]salary allocation'!$E$6:$J$22,MATCH($H216,'[1]salary allocation'!$D$6:$D$22,0),MATCH(P$3,'[1]salary allocation'!$E$3:$J$3,0)),0)</f>
        <v>0</v>
      </c>
      <c r="Q216" s="15">
        <f>-$K216*IFERROR(INDEX('[1]salary allocation'!$E$6:$J$22,MATCH($H216,'[1]salary allocation'!$D$6:$D$22,0),MATCH(Q$3,'[1]salary allocation'!$E$3:$J$3,0)),0)</f>
        <v>0</v>
      </c>
      <c r="R216" s="15">
        <f>-$K216*IFERROR(INDEX('[1]salary allocation'!$E$6:$J$22,MATCH($H216,'[1]salary allocation'!$D$6:$D$22,0),MATCH(R$3,'[1]salary allocation'!$E$3:$J$3,0)),0)</f>
        <v>0</v>
      </c>
      <c r="S216" s="15">
        <f>-$K216*IFERROR(INDEX('[1]salary allocation'!$E$6:$J$22,MATCH($H216,'[1]salary allocation'!$D$6:$D$22,0),MATCH(S$3,'[1]salary allocation'!$E$3:$J$3,0)),0)</f>
        <v>-294176.2</v>
      </c>
      <c r="T216" s="15">
        <f>-$K216*IFERROR(INDEX('[1]salary allocation'!$E$6:$J$22,MATCH($H216,'[1]salary allocation'!$D$6:$D$22,0),MATCH(T$3,'[1]salary allocation'!$E$3:$J$3,0)),0)</f>
        <v>-294176.2</v>
      </c>
      <c r="U216" s="15">
        <f>-$K216*IFERROR(INDEX('[1]salary allocation'!$E$6:$J$22,MATCH($H216,'[1]salary allocation'!$D$6:$D$22,0),MATCH(U$3,'[1]salary allocation'!$E$3:$J$3,0)),0)</f>
        <v>-294176.2</v>
      </c>
      <c r="V216" s="15">
        <f>-$K216*IFERROR(INDEX('[1]salary allocation'!$E$6:$J$22,MATCH($H216,'[1]salary allocation'!$D$6:$D$22,0),MATCH(V$3,'[1]salary allocation'!$E$3:$J$3,0)),0)</f>
        <v>0</v>
      </c>
      <c r="W216" s="15">
        <f>-$K216*IFERROR(INDEX('[1]salary allocation'!$E$6:$J$22,MATCH($H216,'[1]salary allocation'!$D$6:$D$22,0),MATCH(W$3,'[1]salary allocation'!$E$3:$J$3,0)),0)</f>
        <v>-588352.4</v>
      </c>
      <c r="X216" s="15">
        <f>-$K216*IFERROR(INDEX('[1]salary allocation'!$E$6:$J$22,MATCH($H216,'[1]salary allocation'!$D$6:$D$22,0),MATCH(X$3,'[1]salary allocation'!$E$3:$J$3,0)),0)</f>
        <v>0</v>
      </c>
      <c r="Y216" s="15">
        <f>-$K216*IFERROR(INDEX('[1]salary allocation'!$E$6:$J$22,MATCH($H216,'[1]salary allocation'!$D$6:$D$22,0),MATCH(Y$3,'[1]salary allocation'!$E$3:$J$3,0)),0)</f>
        <v>0</v>
      </c>
      <c r="Z216" s="15">
        <f>-$K216*IFERROR(INDEX('[1]salary allocation'!$E$6:$J$22,MATCH($H216,'[1]salary allocation'!$D$6:$D$22,0),MATCH(Z$3,'[1]salary allocation'!$E$3:$J$3,0)),0)</f>
        <v>0</v>
      </c>
      <c r="AA216" s="15">
        <f>-$K216*IFERROR(INDEX('[1]salary allocation'!$E$6:$J$22,MATCH($H216,'[1]salary allocation'!$D$6:$D$22,0),MATCH(AA$3,'[1]salary allocation'!$E$3:$J$3,0)),0)</f>
        <v>0</v>
      </c>
      <c r="AB216" s="15">
        <f>-$K216*IFERROR(INDEX('[1]salary allocation'!$E$6:$J$22,MATCH($H216,'[1]salary allocation'!$D$6:$D$22,0),MATCH(AB$3,'[1]salary allocation'!$E$3:$J$3,0)),0)</f>
        <v>0</v>
      </c>
      <c r="AC216" s="18">
        <f>-$K216*IFERROR(INDEX('[1]salary allocation'!$E$6:$J$22,MATCH($H216,'[1]salary allocation'!$D$6:$D$22,0),MATCH(AC$3,'[1]salary allocation'!$E$3:$J$3,0)),0)</f>
        <v>0</v>
      </c>
      <c r="AD216" s="17"/>
      <c r="AE216" s="16"/>
      <c r="AF216" s="15"/>
      <c r="AG216" s="15">
        <f>-$K216</f>
        <v>-1470881</v>
      </c>
      <c r="AH216" s="2">
        <f>K216+SUM(O216:AC216)</f>
        <v>0</v>
      </c>
      <c r="AI216" s="2">
        <f>K216+SUM(AF216:AG216)</f>
        <v>0</v>
      </c>
    </row>
    <row r="217" spans="1:35" x14ac:dyDescent="0.2">
      <c r="A217" s="69" t="s">
        <v>61</v>
      </c>
      <c r="B217" s="1" t="s">
        <v>651</v>
      </c>
      <c r="H217" s="1" t="s">
        <v>53</v>
      </c>
      <c r="I217" s="1" t="s">
        <v>53</v>
      </c>
      <c r="K217" s="2">
        <v>3264216</v>
      </c>
      <c r="L217" s="46">
        <v>42025</v>
      </c>
      <c r="M217" s="2" t="str">
        <f>VLOOKUP(H217,$H$132:$M$160,6,0)</f>
        <v>VNOther</v>
      </c>
      <c r="N217" s="2" t="s">
        <v>138</v>
      </c>
      <c r="O217" s="15">
        <f>-$K217*IFERROR(INDEX('[1]salary allocation'!$E$6:$J$22,MATCH($H217,'[1]salary allocation'!$D$6:$D$22,0),MATCH(O$3,'[1]salary allocation'!$E$3:$J$3,0)),0)</f>
        <v>0</v>
      </c>
      <c r="P217" s="15">
        <f>-$K217*IFERROR(INDEX('[1]salary allocation'!$E$6:$J$22,MATCH($H217,'[1]salary allocation'!$D$6:$D$22,0),MATCH(P$3,'[1]salary allocation'!$E$3:$J$3,0)),0)</f>
        <v>-489632.39999999997</v>
      </c>
      <c r="Q217" s="15">
        <f>-$K217*IFERROR(INDEX('[1]salary allocation'!$E$6:$J$22,MATCH($H217,'[1]salary allocation'!$D$6:$D$22,0),MATCH(Q$3,'[1]salary allocation'!$E$3:$J$3,0)),0)</f>
        <v>0</v>
      </c>
      <c r="R217" s="15">
        <f>-$K217*IFERROR(INDEX('[1]salary allocation'!$E$6:$J$22,MATCH($H217,'[1]salary allocation'!$D$6:$D$22,0),MATCH(R$3,'[1]salary allocation'!$E$3:$J$3,0)),0)</f>
        <v>0</v>
      </c>
      <c r="S217" s="15">
        <f>-$K217*IFERROR(INDEX('[1]salary allocation'!$E$6:$J$22,MATCH($H217,'[1]salary allocation'!$D$6:$D$22,0),MATCH(S$3,'[1]salary allocation'!$E$3:$J$3,0)),0)</f>
        <v>-554916.72</v>
      </c>
      <c r="T217" s="15">
        <f>-$K217*IFERROR(INDEX('[1]salary allocation'!$E$6:$J$22,MATCH($H217,'[1]salary allocation'!$D$6:$D$22,0),MATCH(T$3,'[1]salary allocation'!$E$3:$J$3,0)),0)</f>
        <v>-554916.72</v>
      </c>
      <c r="U217" s="15">
        <f>-$K217*IFERROR(INDEX('[1]salary allocation'!$E$6:$J$22,MATCH($H217,'[1]salary allocation'!$D$6:$D$22,0),MATCH(U$3,'[1]salary allocation'!$E$3:$J$3,0)),0)</f>
        <v>-554916.72</v>
      </c>
      <c r="V217" s="15">
        <f>-$K217*IFERROR(INDEX('[1]salary allocation'!$E$6:$J$22,MATCH($H217,'[1]salary allocation'!$D$6:$D$22,0),MATCH(V$3,'[1]salary allocation'!$E$3:$J$3,0)),0)</f>
        <v>0</v>
      </c>
      <c r="W217" s="15">
        <f>-$K217*IFERROR(INDEX('[1]salary allocation'!$E$6:$J$22,MATCH($H217,'[1]salary allocation'!$D$6:$D$22,0),MATCH(W$3,'[1]salary allocation'!$E$3:$J$3,0)),0)</f>
        <v>-1109833.44</v>
      </c>
      <c r="X217" s="15">
        <f>-$K217*IFERROR(INDEX('[1]salary allocation'!$E$6:$J$22,MATCH($H217,'[1]salary allocation'!$D$6:$D$22,0),MATCH(X$3,'[1]salary allocation'!$E$3:$J$3,0)),0)</f>
        <v>0</v>
      </c>
      <c r="Y217" s="15">
        <f>-$K217*IFERROR(INDEX('[1]salary allocation'!$E$6:$J$22,MATCH($H217,'[1]salary allocation'!$D$6:$D$22,0),MATCH(Y$3,'[1]salary allocation'!$E$3:$J$3,0)),0)</f>
        <v>0</v>
      </c>
      <c r="Z217" s="15">
        <f>-$K217*IFERROR(INDEX('[1]salary allocation'!$E$6:$J$22,MATCH($H217,'[1]salary allocation'!$D$6:$D$22,0),MATCH(Z$3,'[1]salary allocation'!$E$3:$J$3,0)),0)</f>
        <v>0</v>
      </c>
      <c r="AA217" s="15">
        <f>-$K217*IFERROR(INDEX('[1]salary allocation'!$E$6:$J$22,MATCH($H217,'[1]salary allocation'!$D$6:$D$22,0),MATCH(AA$3,'[1]salary allocation'!$E$3:$J$3,0)),0)</f>
        <v>0</v>
      </c>
      <c r="AB217" s="15">
        <f>-$K217*IFERROR(INDEX('[1]salary allocation'!$E$6:$J$22,MATCH($H217,'[1]salary allocation'!$D$6:$D$22,0),MATCH(AB$3,'[1]salary allocation'!$E$3:$J$3,0)),0)</f>
        <v>0</v>
      </c>
      <c r="AC217" s="18">
        <f>-$K217*IFERROR(INDEX('[1]salary allocation'!$E$6:$J$22,MATCH($H217,'[1]salary allocation'!$D$6:$D$22,0),MATCH(AC$3,'[1]salary allocation'!$E$3:$J$3,0)),0)</f>
        <v>0</v>
      </c>
      <c r="AD217" s="17"/>
      <c r="AE217" s="16"/>
      <c r="AF217" s="15">
        <f>-$K217</f>
        <v>-3264216</v>
      </c>
      <c r="AG217" s="15"/>
      <c r="AH217" s="2">
        <f>K217+SUM(O217:AC217)</f>
        <v>0</v>
      </c>
      <c r="AI217" s="2">
        <f>K217+SUM(AF217:AG217)</f>
        <v>0</v>
      </c>
    </row>
    <row r="218" spans="1:35" x14ac:dyDescent="0.2">
      <c r="A218" s="69" t="s">
        <v>61</v>
      </c>
      <c r="B218" s="1" t="s">
        <v>651</v>
      </c>
      <c r="H218" s="1" t="s">
        <v>51</v>
      </c>
      <c r="I218" s="1" t="s">
        <v>51</v>
      </c>
      <c r="K218" s="2">
        <v>3946255</v>
      </c>
      <c r="L218" s="46">
        <v>42025</v>
      </c>
      <c r="M218" s="2" t="str">
        <f>VLOOKUP(H218,$H$132:$M$160,6,0)</f>
        <v>VNOther</v>
      </c>
      <c r="N218" s="2" t="s">
        <v>138</v>
      </c>
      <c r="O218" s="15">
        <f>-$K218*IFERROR(INDEX('[1]salary allocation'!$E$6:$J$22,MATCH($H218,'[1]salary allocation'!$D$6:$D$22,0),MATCH(O$3,'[1]salary allocation'!$E$3:$J$3,0)),0)</f>
        <v>0</v>
      </c>
      <c r="P218" s="15">
        <f>-$K218*IFERROR(INDEX('[1]salary allocation'!$E$6:$J$22,MATCH($H218,'[1]salary allocation'!$D$6:$D$22,0),MATCH(P$3,'[1]salary allocation'!$E$3:$J$3,0)),0)</f>
        <v>-1973127.5</v>
      </c>
      <c r="Q218" s="15">
        <f>-$K218*IFERROR(INDEX('[1]salary allocation'!$E$6:$J$22,MATCH($H218,'[1]salary allocation'!$D$6:$D$22,0),MATCH(Q$3,'[1]salary allocation'!$E$3:$J$3,0)),0)</f>
        <v>0</v>
      </c>
      <c r="R218" s="15">
        <f>-$K218*IFERROR(INDEX('[1]salary allocation'!$E$6:$J$22,MATCH($H218,'[1]salary allocation'!$D$6:$D$22,0),MATCH(R$3,'[1]salary allocation'!$E$3:$J$3,0)),0)</f>
        <v>0</v>
      </c>
      <c r="S218" s="15">
        <f>-$K218*IFERROR(INDEX('[1]salary allocation'!$E$6:$J$22,MATCH($H218,'[1]salary allocation'!$D$6:$D$22,0),MATCH(S$3,'[1]salary allocation'!$E$3:$J$3,0)),0)</f>
        <v>-394625.5</v>
      </c>
      <c r="T218" s="15">
        <f>-$K218*IFERROR(INDEX('[1]salary allocation'!$E$6:$J$22,MATCH($H218,'[1]salary allocation'!$D$6:$D$22,0),MATCH(T$3,'[1]salary allocation'!$E$3:$J$3,0)),0)</f>
        <v>-394625.5</v>
      </c>
      <c r="U218" s="15">
        <f>-$K218*IFERROR(INDEX('[1]salary allocation'!$E$6:$J$22,MATCH($H218,'[1]salary allocation'!$D$6:$D$22,0),MATCH(U$3,'[1]salary allocation'!$E$3:$J$3,0)),0)</f>
        <v>-394625.5</v>
      </c>
      <c r="V218" s="15">
        <f>-$K218*IFERROR(INDEX('[1]salary allocation'!$E$6:$J$22,MATCH($H218,'[1]salary allocation'!$D$6:$D$22,0),MATCH(V$3,'[1]salary allocation'!$E$3:$J$3,0)),0)</f>
        <v>0</v>
      </c>
      <c r="W218" s="15">
        <f>-$K218*IFERROR(INDEX('[1]salary allocation'!$E$6:$J$22,MATCH($H218,'[1]salary allocation'!$D$6:$D$22,0),MATCH(W$3,'[1]salary allocation'!$E$3:$J$3,0)),0)</f>
        <v>-789251</v>
      </c>
      <c r="X218" s="15">
        <f>-$K218*IFERROR(INDEX('[1]salary allocation'!$E$6:$J$22,MATCH($H218,'[1]salary allocation'!$D$6:$D$22,0),MATCH(X$3,'[1]salary allocation'!$E$3:$J$3,0)),0)</f>
        <v>0</v>
      </c>
      <c r="Y218" s="15">
        <f>-$K218*IFERROR(INDEX('[1]salary allocation'!$E$6:$J$22,MATCH($H218,'[1]salary allocation'!$D$6:$D$22,0),MATCH(Y$3,'[1]salary allocation'!$E$3:$J$3,0)),0)</f>
        <v>0</v>
      </c>
      <c r="Z218" s="15">
        <f>-$K218*IFERROR(INDEX('[1]salary allocation'!$E$6:$J$22,MATCH($H218,'[1]salary allocation'!$D$6:$D$22,0),MATCH(Z$3,'[1]salary allocation'!$E$3:$J$3,0)),0)</f>
        <v>0</v>
      </c>
      <c r="AA218" s="15">
        <f>-$K218*IFERROR(INDEX('[1]salary allocation'!$E$6:$J$22,MATCH($H218,'[1]salary allocation'!$D$6:$D$22,0),MATCH(AA$3,'[1]salary allocation'!$E$3:$J$3,0)),0)</f>
        <v>0</v>
      </c>
      <c r="AB218" s="15">
        <f>-$K218*IFERROR(INDEX('[1]salary allocation'!$E$6:$J$22,MATCH($H218,'[1]salary allocation'!$D$6:$D$22,0),MATCH(AB$3,'[1]salary allocation'!$E$3:$J$3,0)),0)</f>
        <v>0</v>
      </c>
      <c r="AC218" s="18">
        <f>-$K218*IFERROR(INDEX('[1]salary allocation'!$E$6:$J$22,MATCH($H218,'[1]salary allocation'!$D$6:$D$22,0),MATCH(AC$3,'[1]salary allocation'!$E$3:$J$3,0)),0)</f>
        <v>0</v>
      </c>
      <c r="AD218" s="17"/>
      <c r="AE218" s="16"/>
      <c r="AF218" s="15">
        <f>-$K218</f>
        <v>-3946255</v>
      </c>
      <c r="AG218" s="15"/>
      <c r="AH218" s="2">
        <f>K218+SUM(O218:AC218)</f>
        <v>0</v>
      </c>
      <c r="AI218" s="2">
        <f>K218+SUM(AF218:AG218)</f>
        <v>0</v>
      </c>
    </row>
    <row r="219" spans="1:35" x14ac:dyDescent="0.2">
      <c r="A219" s="69" t="s">
        <v>61</v>
      </c>
      <c r="B219" s="1" t="s">
        <v>651</v>
      </c>
      <c r="H219" s="1" t="s">
        <v>49</v>
      </c>
      <c r="I219" s="1" t="s">
        <v>49</v>
      </c>
      <c r="K219" s="2">
        <v>1833612</v>
      </c>
      <c r="L219" s="46">
        <v>42025</v>
      </c>
      <c r="M219" s="2" t="str">
        <f>VLOOKUP(H219,$H$132:$M$160,6,0)</f>
        <v>VNMOET</v>
      </c>
      <c r="N219" s="2" t="s">
        <v>138</v>
      </c>
      <c r="O219" s="15">
        <f>-$K219*IFERROR(INDEX('[1]salary allocation'!$E$6:$J$22,MATCH($H219,'[1]salary allocation'!$D$6:$D$22,0),MATCH(O$3,'[1]salary allocation'!$E$3:$J$3,0)),0)</f>
        <v>0</v>
      </c>
      <c r="P219" s="15">
        <f>-$K219*IFERROR(INDEX('[1]salary allocation'!$E$6:$J$22,MATCH($H219,'[1]salary allocation'!$D$6:$D$22,0),MATCH(P$3,'[1]salary allocation'!$E$3:$J$3,0)),0)</f>
        <v>0</v>
      </c>
      <c r="Q219" s="15">
        <f>-$K219*IFERROR(INDEX('[1]salary allocation'!$E$6:$J$22,MATCH($H219,'[1]salary allocation'!$D$6:$D$22,0),MATCH(Q$3,'[1]salary allocation'!$E$3:$J$3,0)),0)</f>
        <v>0</v>
      </c>
      <c r="R219" s="15">
        <f>-$K219*IFERROR(INDEX('[1]salary allocation'!$E$6:$J$22,MATCH($H219,'[1]salary allocation'!$D$6:$D$22,0),MATCH(R$3,'[1]salary allocation'!$E$3:$J$3,0)),0)</f>
        <v>0</v>
      </c>
      <c r="S219" s="15">
        <f>-$K219*IFERROR(INDEX('[1]salary allocation'!$E$6:$J$22,MATCH($H219,'[1]salary allocation'!$D$6:$D$22,0),MATCH(S$3,'[1]salary allocation'!$E$3:$J$3,0)),0)</f>
        <v>-366722.4</v>
      </c>
      <c r="T219" s="15">
        <f>-$K219*IFERROR(INDEX('[1]salary allocation'!$E$6:$J$22,MATCH($H219,'[1]salary allocation'!$D$6:$D$22,0),MATCH(T$3,'[1]salary allocation'!$E$3:$J$3,0)),0)</f>
        <v>-366722.4</v>
      </c>
      <c r="U219" s="15">
        <f>-$K219*IFERROR(INDEX('[1]salary allocation'!$E$6:$J$22,MATCH($H219,'[1]salary allocation'!$D$6:$D$22,0),MATCH(U$3,'[1]salary allocation'!$E$3:$J$3,0)),0)</f>
        <v>-366722.4</v>
      </c>
      <c r="V219" s="15">
        <f>-$K219*IFERROR(INDEX('[1]salary allocation'!$E$6:$J$22,MATCH($H219,'[1]salary allocation'!$D$6:$D$22,0),MATCH(V$3,'[1]salary allocation'!$E$3:$J$3,0)),0)</f>
        <v>0</v>
      </c>
      <c r="W219" s="15">
        <f>-$K219*IFERROR(INDEX('[1]salary allocation'!$E$6:$J$22,MATCH($H219,'[1]salary allocation'!$D$6:$D$22,0),MATCH(W$3,'[1]salary allocation'!$E$3:$J$3,0)),0)</f>
        <v>-733444.8</v>
      </c>
      <c r="X219" s="15">
        <f>-$K219*IFERROR(INDEX('[1]salary allocation'!$E$6:$J$22,MATCH($H219,'[1]salary allocation'!$D$6:$D$22,0),MATCH(X$3,'[1]salary allocation'!$E$3:$J$3,0)),0)</f>
        <v>0</v>
      </c>
      <c r="Y219" s="15">
        <f>-$K219*IFERROR(INDEX('[1]salary allocation'!$E$6:$J$22,MATCH($H219,'[1]salary allocation'!$D$6:$D$22,0),MATCH(Y$3,'[1]salary allocation'!$E$3:$J$3,0)),0)</f>
        <v>0</v>
      </c>
      <c r="Z219" s="15">
        <f>-$K219*IFERROR(INDEX('[1]salary allocation'!$E$6:$J$22,MATCH($H219,'[1]salary allocation'!$D$6:$D$22,0),MATCH(Z$3,'[1]salary allocation'!$E$3:$J$3,0)),0)</f>
        <v>0</v>
      </c>
      <c r="AA219" s="15">
        <f>-$K219*IFERROR(INDEX('[1]salary allocation'!$E$6:$J$22,MATCH($H219,'[1]salary allocation'!$D$6:$D$22,0),MATCH(AA$3,'[1]salary allocation'!$E$3:$J$3,0)),0)</f>
        <v>0</v>
      </c>
      <c r="AB219" s="15">
        <f>-$K219*IFERROR(INDEX('[1]salary allocation'!$E$6:$J$22,MATCH($H219,'[1]salary allocation'!$D$6:$D$22,0),MATCH(AB$3,'[1]salary allocation'!$E$3:$J$3,0)),0)</f>
        <v>0</v>
      </c>
      <c r="AC219" s="18">
        <f>-$K219*IFERROR(INDEX('[1]salary allocation'!$E$6:$J$22,MATCH($H219,'[1]salary allocation'!$D$6:$D$22,0),MATCH(AC$3,'[1]salary allocation'!$E$3:$J$3,0)),0)</f>
        <v>0</v>
      </c>
      <c r="AD219" s="17"/>
      <c r="AE219" s="16"/>
      <c r="AF219" s="15"/>
      <c r="AG219" s="15">
        <f>-K219</f>
        <v>-1833612</v>
      </c>
      <c r="AH219" s="2">
        <f>K219+SUM(O219:AC219)</f>
        <v>0</v>
      </c>
      <c r="AI219" s="2">
        <f>K219+SUM(AF219:AG219)</f>
        <v>0</v>
      </c>
    </row>
    <row r="220" spans="1:35" x14ac:dyDescent="0.2">
      <c r="A220" s="69" t="s">
        <v>61</v>
      </c>
      <c r="B220" s="1" t="s">
        <v>651</v>
      </c>
      <c r="H220" s="1" t="s">
        <v>47</v>
      </c>
      <c r="I220" s="1" t="s">
        <v>47</v>
      </c>
      <c r="K220" s="2">
        <v>6101212</v>
      </c>
      <c r="L220" s="46">
        <v>42025</v>
      </c>
      <c r="M220" s="2" t="str">
        <f>VLOOKUP(H220,$H$132:$M$160,6,0)</f>
        <v>VNHBC</v>
      </c>
      <c r="N220" s="2" t="s">
        <v>138</v>
      </c>
      <c r="O220" s="15">
        <f>-$K220*IFERROR(INDEX('[1]salary allocation'!$E$6:$J$22,MATCH($H220,'[1]salary allocation'!$D$6:$D$22,0),MATCH(O$3,'[1]salary allocation'!$E$3:$J$3,0)),0)</f>
        <v>0</v>
      </c>
      <c r="P220" s="15">
        <f>-$K220*IFERROR(INDEX('[1]salary allocation'!$E$6:$J$22,MATCH($H220,'[1]salary allocation'!$D$6:$D$22,0),MATCH(P$3,'[1]salary allocation'!$E$3:$J$3,0)),0)</f>
        <v>0</v>
      </c>
      <c r="Q220" s="15">
        <f>-$K220*IFERROR(INDEX('[1]salary allocation'!$E$6:$J$22,MATCH($H220,'[1]salary allocation'!$D$6:$D$22,0),MATCH(Q$3,'[1]salary allocation'!$E$3:$J$3,0)),0)</f>
        <v>0</v>
      </c>
      <c r="R220" s="15">
        <f>-$K220*IFERROR(INDEX('[1]salary allocation'!$E$6:$J$22,MATCH($H220,'[1]salary allocation'!$D$6:$D$22,0),MATCH(R$3,'[1]salary allocation'!$E$3:$J$3,0)),0)</f>
        <v>0</v>
      </c>
      <c r="S220" s="15">
        <f>-$K220*IFERROR(INDEX('[1]salary allocation'!$E$6:$J$22,MATCH($H220,'[1]salary allocation'!$D$6:$D$22,0),MATCH(S$3,'[1]salary allocation'!$E$3:$J$3,0)),0)</f>
        <v>-1220242.4000000001</v>
      </c>
      <c r="T220" s="15">
        <f>-$K220*IFERROR(INDEX('[1]salary allocation'!$E$6:$J$22,MATCH($H220,'[1]salary allocation'!$D$6:$D$22,0),MATCH(T$3,'[1]salary allocation'!$E$3:$J$3,0)),0)</f>
        <v>-1220242.4000000001</v>
      </c>
      <c r="U220" s="15">
        <f>-$K220*IFERROR(INDEX('[1]salary allocation'!$E$6:$J$22,MATCH($H220,'[1]salary allocation'!$D$6:$D$22,0),MATCH(U$3,'[1]salary allocation'!$E$3:$J$3,0)),0)</f>
        <v>-1220242.4000000001</v>
      </c>
      <c r="V220" s="15">
        <f>-$K220*IFERROR(INDEX('[1]salary allocation'!$E$6:$J$22,MATCH($H220,'[1]salary allocation'!$D$6:$D$22,0),MATCH(V$3,'[1]salary allocation'!$E$3:$J$3,0)),0)</f>
        <v>0</v>
      </c>
      <c r="W220" s="15">
        <f>-$K220*IFERROR(INDEX('[1]salary allocation'!$E$6:$J$22,MATCH($H220,'[1]salary allocation'!$D$6:$D$22,0),MATCH(W$3,'[1]salary allocation'!$E$3:$J$3,0)),0)</f>
        <v>-2440484.8000000003</v>
      </c>
      <c r="X220" s="15">
        <f>-$K220*IFERROR(INDEX('[1]salary allocation'!$E$6:$J$22,MATCH($H220,'[1]salary allocation'!$D$6:$D$22,0),MATCH(X$3,'[1]salary allocation'!$E$3:$J$3,0)),0)</f>
        <v>0</v>
      </c>
      <c r="Y220" s="15">
        <f>-$K220*IFERROR(INDEX('[1]salary allocation'!$E$6:$J$22,MATCH($H220,'[1]salary allocation'!$D$6:$D$22,0),MATCH(Y$3,'[1]salary allocation'!$E$3:$J$3,0)),0)</f>
        <v>0</v>
      </c>
      <c r="Z220" s="15">
        <f>-$K220*IFERROR(INDEX('[1]salary allocation'!$E$6:$J$22,MATCH($H220,'[1]salary allocation'!$D$6:$D$22,0),MATCH(Z$3,'[1]salary allocation'!$E$3:$J$3,0)),0)</f>
        <v>0</v>
      </c>
      <c r="AA220" s="15">
        <f>-$K220*IFERROR(INDEX('[1]salary allocation'!$E$6:$J$22,MATCH($H220,'[1]salary allocation'!$D$6:$D$22,0),MATCH(AA$3,'[1]salary allocation'!$E$3:$J$3,0)),0)</f>
        <v>0</v>
      </c>
      <c r="AB220" s="15">
        <f>-$K220*IFERROR(INDEX('[1]salary allocation'!$E$6:$J$22,MATCH($H220,'[1]salary allocation'!$D$6:$D$22,0),MATCH(AB$3,'[1]salary allocation'!$E$3:$J$3,0)),0)</f>
        <v>0</v>
      </c>
      <c r="AC220" s="18">
        <f>-$K220*IFERROR(INDEX('[1]salary allocation'!$E$6:$J$22,MATCH($H220,'[1]salary allocation'!$D$6:$D$22,0),MATCH(AC$3,'[1]salary allocation'!$E$3:$J$3,0)),0)</f>
        <v>0</v>
      </c>
      <c r="AD220" s="17"/>
      <c r="AE220" s="16"/>
      <c r="AF220" s="15">
        <f>-$K220</f>
        <v>-6101212</v>
      </c>
      <c r="AG220" s="15"/>
      <c r="AH220" s="2">
        <f>K220+SUM(O220:AC220)</f>
        <v>0</v>
      </c>
      <c r="AI220" s="2">
        <f>K220+SUM(AF220:AG220)</f>
        <v>0</v>
      </c>
    </row>
    <row r="221" spans="1:35" x14ac:dyDescent="0.2">
      <c r="A221" s="69" t="s">
        <v>61</v>
      </c>
      <c r="B221" s="1" t="s">
        <v>651</v>
      </c>
      <c r="H221" s="1" t="s">
        <v>45</v>
      </c>
      <c r="I221" s="1" t="s">
        <v>45</v>
      </c>
      <c r="K221" s="2">
        <v>1595355</v>
      </c>
      <c r="L221" s="46">
        <v>42025</v>
      </c>
      <c r="M221" s="2" t="str">
        <f>VLOOKUP(H221,$H$132:$M$160,6,0)</f>
        <v>VNHBC</v>
      </c>
      <c r="N221" s="2" t="s">
        <v>138</v>
      </c>
      <c r="O221" s="15">
        <f>-$K221*IFERROR(INDEX('[1]salary allocation'!$E$6:$J$22,MATCH($H221,'[1]salary allocation'!$D$6:$D$22,0),MATCH(O$3,'[1]salary allocation'!$E$3:$J$3,0)),0)</f>
        <v>0</v>
      </c>
      <c r="P221" s="15">
        <f>-$K221*IFERROR(INDEX('[1]salary allocation'!$E$6:$J$22,MATCH($H221,'[1]salary allocation'!$D$6:$D$22,0),MATCH(P$3,'[1]salary allocation'!$E$3:$J$3,0)),0)</f>
        <v>0</v>
      </c>
      <c r="Q221" s="15">
        <f>-$K221*IFERROR(INDEX('[1]salary allocation'!$E$6:$J$22,MATCH($H221,'[1]salary allocation'!$D$6:$D$22,0),MATCH(Q$3,'[1]salary allocation'!$E$3:$J$3,0)),0)</f>
        <v>0</v>
      </c>
      <c r="R221" s="15">
        <f>-$K221*IFERROR(INDEX('[1]salary allocation'!$E$6:$J$22,MATCH($H221,'[1]salary allocation'!$D$6:$D$22,0),MATCH(R$3,'[1]salary allocation'!$E$3:$J$3,0)),0)</f>
        <v>0</v>
      </c>
      <c r="S221" s="15">
        <f>-$K221*IFERROR(INDEX('[1]salary allocation'!$E$6:$J$22,MATCH($H221,'[1]salary allocation'!$D$6:$D$22,0),MATCH(S$3,'[1]salary allocation'!$E$3:$J$3,0)),0)</f>
        <v>-319071</v>
      </c>
      <c r="T221" s="15">
        <f>-$K221*IFERROR(INDEX('[1]salary allocation'!$E$6:$J$22,MATCH($H221,'[1]salary allocation'!$D$6:$D$22,0),MATCH(T$3,'[1]salary allocation'!$E$3:$J$3,0)),0)</f>
        <v>-319071</v>
      </c>
      <c r="U221" s="15">
        <f>-$K221*IFERROR(INDEX('[1]salary allocation'!$E$6:$J$22,MATCH($H221,'[1]salary allocation'!$D$6:$D$22,0),MATCH(U$3,'[1]salary allocation'!$E$3:$J$3,0)),0)</f>
        <v>-319071</v>
      </c>
      <c r="V221" s="15">
        <f>-$K221*IFERROR(INDEX('[1]salary allocation'!$E$6:$J$22,MATCH($H221,'[1]salary allocation'!$D$6:$D$22,0),MATCH(V$3,'[1]salary allocation'!$E$3:$J$3,0)),0)</f>
        <v>0</v>
      </c>
      <c r="W221" s="15">
        <f>-$K221*IFERROR(INDEX('[1]salary allocation'!$E$6:$J$22,MATCH($H221,'[1]salary allocation'!$D$6:$D$22,0),MATCH(W$3,'[1]salary allocation'!$E$3:$J$3,0)),0)</f>
        <v>-638142</v>
      </c>
      <c r="X221" s="15">
        <f>-$K221*IFERROR(INDEX('[1]salary allocation'!$E$6:$J$22,MATCH($H221,'[1]salary allocation'!$D$6:$D$22,0),MATCH(X$3,'[1]salary allocation'!$E$3:$J$3,0)),0)</f>
        <v>0</v>
      </c>
      <c r="Y221" s="15">
        <f>-$K221*IFERROR(INDEX('[1]salary allocation'!$E$6:$J$22,MATCH($H221,'[1]salary allocation'!$D$6:$D$22,0),MATCH(Y$3,'[1]salary allocation'!$E$3:$J$3,0)),0)</f>
        <v>0</v>
      </c>
      <c r="Z221" s="15">
        <f>-$K221*IFERROR(INDEX('[1]salary allocation'!$E$6:$J$22,MATCH($H221,'[1]salary allocation'!$D$6:$D$22,0),MATCH(Z$3,'[1]salary allocation'!$E$3:$J$3,0)),0)</f>
        <v>0</v>
      </c>
      <c r="AA221" s="15">
        <f>-$K221*IFERROR(INDEX('[1]salary allocation'!$E$6:$J$22,MATCH($H221,'[1]salary allocation'!$D$6:$D$22,0),MATCH(AA$3,'[1]salary allocation'!$E$3:$J$3,0)),0)</f>
        <v>0</v>
      </c>
      <c r="AB221" s="15">
        <f>-$K221*IFERROR(INDEX('[1]salary allocation'!$E$6:$J$22,MATCH($H221,'[1]salary allocation'!$D$6:$D$22,0),MATCH(AB$3,'[1]salary allocation'!$E$3:$J$3,0)),0)</f>
        <v>0</v>
      </c>
      <c r="AC221" s="18">
        <f>-$K221*IFERROR(INDEX('[1]salary allocation'!$E$6:$J$22,MATCH($H221,'[1]salary allocation'!$D$6:$D$22,0),MATCH(AC$3,'[1]salary allocation'!$E$3:$J$3,0)),0)</f>
        <v>0</v>
      </c>
      <c r="AD221" s="17"/>
      <c r="AE221" s="16"/>
      <c r="AF221" s="15"/>
      <c r="AG221" s="15">
        <f>-K221</f>
        <v>-1595355</v>
      </c>
      <c r="AH221" s="2">
        <f>K221+SUM(O221:AC221)</f>
        <v>0</v>
      </c>
      <c r="AI221" s="2">
        <f>K221+SUM(AF221:AG221)</f>
        <v>0</v>
      </c>
    </row>
    <row r="222" spans="1:35" x14ac:dyDescent="0.2">
      <c r="A222" s="69" t="s">
        <v>61</v>
      </c>
      <c r="B222" s="1" t="s">
        <v>651</v>
      </c>
      <c r="H222" s="1" t="s">
        <v>43</v>
      </c>
      <c r="I222" s="1" t="s">
        <v>43</v>
      </c>
      <c r="K222" s="2">
        <v>2672182</v>
      </c>
      <c r="L222" s="46">
        <v>42025</v>
      </c>
      <c r="M222" s="2" t="str">
        <f>VLOOKUP(H222,$H$132:$M$160,6,0)</f>
        <v>VNMOET</v>
      </c>
      <c r="N222" s="2" t="s">
        <v>138</v>
      </c>
      <c r="O222" s="15">
        <f>-$K222*IFERROR(INDEX('[1]salary allocation'!$E$6:$J$22,MATCH($H222,'[1]salary allocation'!$D$6:$D$22,0),MATCH(O$3,'[1]salary allocation'!$E$3:$J$3,0)),0)</f>
        <v>0</v>
      </c>
      <c r="P222" s="15">
        <f>-$K222*IFERROR(INDEX('[1]salary allocation'!$E$6:$J$22,MATCH($H222,'[1]salary allocation'!$D$6:$D$22,0),MATCH(P$3,'[1]salary allocation'!$E$3:$J$3,0)),0)</f>
        <v>0</v>
      </c>
      <c r="Q222" s="15">
        <f>-$K222*IFERROR(INDEX('[1]salary allocation'!$E$6:$J$22,MATCH($H222,'[1]salary allocation'!$D$6:$D$22,0),MATCH(Q$3,'[1]salary allocation'!$E$3:$J$3,0)),0)</f>
        <v>0</v>
      </c>
      <c r="R222" s="15">
        <f>-$K222*IFERROR(INDEX('[1]salary allocation'!$E$6:$J$22,MATCH($H222,'[1]salary allocation'!$D$6:$D$22,0),MATCH(R$3,'[1]salary allocation'!$E$3:$J$3,0)),0)</f>
        <v>0</v>
      </c>
      <c r="S222" s="15">
        <f>-$K222*IFERROR(INDEX('[1]salary allocation'!$E$6:$J$22,MATCH($H222,'[1]salary allocation'!$D$6:$D$22,0),MATCH(S$3,'[1]salary allocation'!$E$3:$J$3,0)),0)</f>
        <v>-534436.4</v>
      </c>
      <c r="T222" s="15">
        <f>-$K222*IFERROR(INDEX('[1]salary allocation'!$E$6:$J$22,MATCH($H222,'[1]salary allocation'!$D$6:$D$22,0),MATCH(T$3,'[1]salary allocation'!$E$3:$J$3,0)),0)</f>
        <v>-534436.4</v>
      </c>
      <c r="U222" s="15">
        <f>-$K222*IFERROR(INDEX('[1]salary allocation'!$E$6:$J$22,MATCH($H222,'[1]salary allocation'!$D$6:$D$22,0),MATCH(U$3,'[1]salary allocation'!$E$3:$J$3,0)),0)</f>
        <v>-534436.4</v>
      </c>
      <c r="V222" s="15">
        <f>-$K222*IFERROR(INDEX('[1]salary allocation'!$E$6:$J$22,MATCH($H222,'[1]salary allocation'!$D$6:$D$22,0),MATCH(V$3,'[1]salary allocation'!$E$3:$J$3,0)),0)</f>
        <v>0</v>
      </c>
      <c r="W222" s="15">
        <f>-$K222*IFERROR(INDEX('[1]salary allocation'!$E$6:$J$22,MATCH($H222,'[1]salary allocation'!$D$6:$D$22,0),MATCH(W$3,'[1]salary allocation'!$E$3:$J$3,0)),0)</f>
        <v>-1068872.8</v>
      </c>
      <c r="X222" s="15">
        <f>-$K222*IFERROR(INDEX('[1]salary allocation'!$E$6:$J$22,MATCH($H222,'[1]salary allocation'!$D$6:$D$22,0),MATCH(X$3,'[1]salary allocation'!$E$3:$J$3,0)),0)</f>
        <v>0</v>
      </c>
      <c r="Y222" s="15">
        <f>-$K222*IFERROR(INDEX('[1]salary allocation'!$E$6:$J$22,MATCH($H222,'[1]salary allocation'!$D$6:$D$22,0),MATCH(Y$3,'[1]salary allocation'!$E$3:$J$3,0)),0)</f>
        <v>0</v>
      </c>
      <c r="Z222" s="15">
        <f>-$K222*IFERROR(INDEX('[1]salary allocation'!$E$6:$J$22,MATCH($H222,'[1]salary allocation'!$D$6:$D$22,0),MATCH(Z$3,'[1]salary allocation'!$E$3:$J$3,0)),0)</f>
        <v>0</v>
      </c>
      <c r="AA222" s="15">
        <f>-$K222*IFERROR(INDEX('[1]salary allocation'!$E$6:$J$22,MATCH($H222,'[1]salary allocation'!$D$6:$D$22,0),MATCH(AA$3,'[1]salary allocation'!$E$3:$J$3,0)),0)</f>
        <v>0</v>
      </c>
      <c r="AB222" s="15">
        <f>-$K222*IFERROR(INDEX('[1]salary allocation'!$E$6:$J$22,MATCH($H222,'[1]salary allocation'!$D$6:$D$22,0),MATCH(AB$3,'[1]salary allocation'!$E$3:$J$3,0)),0)</f>
        <v>0</v>
      </c>
      <c r="AC222" s="18">
        <f>-$K222*IFERROR(INDEX('[1]salary allocation'!$E$6:$J$22,MATCH($H222,'[1]salary allocation'!$D$6:$D$22,0),MATCH(AC$3,'[1]salary allocation'!$E$3:$J$3,0)),0)</f>
        <v>0</v>
      </c>
      <c r="AD222" s="17"/>
      <c r="AE222" s="16"/>
      <c r="AF222" s="15">
        <f>-$K222</f>
        <v>-2672182</v>
      </c>
      <c r="AG222" s="15"/>
      <c r="AH222" s="2">
        <f>K222+SUM(O222:AC222)</f>
        <v>0</v>
      </c>
      <c r="AI222" s="2">
        <f>K222+SUM(AF222:AG222)</f>
        <v>0</v>
      </c>
    </row>
    <row r="223" spans="1:35" x14ac:dyDescent="0.2">
      <c r="A223" s="69" t="s">
        <v>61</v>
      </c>
      <c r="B223" s="1" t="s">
        <v>651</v>
      </c>
      <c r="H223" s="1" t="s">
        <v>41</v>
      </c>
      <c r="I223" s="1" t="s">
        <v>41</v>
      </c>
      <c r="K223" s="2">
        <v>8497337</v>
      </c>
      <c r="L223" s="46">
        <v>42025</v>
      </c>
      <c r="M223" s="2" t="str">
        <f>VLOOKUP(H223,$H$132:$M$160,6,0)</f>
        <v>VNMOET</v>
      </c>
      <c r="N223" s="2" t="s">
        <v>138</v>
      </c>
      <c r="O223" s="15">
        <f>-$K223*IFERROR(INDEX('[1]salary allocation'!$E$6:$J$22,MATCH($H223,'[1]salary allocation'!$D$6:$D$22,0),MATCH(O$3,'[1]salary allocation'!$E$3:$J$3,0)),0)</f>
        <v>0</v>
      </c>
      <c r="P223" s="15">
        <f>-$K223*IFERROR(INDEX('[1]salary allocation'!$E$6:$J$22,MATCH($H223,'[1]salary allocation'!$D$6:$D$22,0),MATCH(P$3,'[1]salary allocation'!$E$3:$J$3,0)),0)</f>
        <v>0</v>
      </c>
      <c r="Q223" s="15">
        <f>-$K223*IFERROR(INDEX('[1]salary allocation'!$E$6:$J$22,MATCH($H223,'[1]salary allocation'!$D$6:$D$22,0),MATCH(Q$3,'[1]salary allocation'!$E$3:$J$3,0)),0)</f>
        <v>0</v>
      </c>
      <c r="R223" s="15">
        <f>-$K223*IFERROR(INDEX('[1]salary allocation'!$E$6:$J$22,MATCH($H223,'[1]salary allocation'!$D$6:$D$22,0),MATCH(R$3,'[1]salary allocation'!$E$3:$J$3,0)),0)</f>
        <v>0</v>
      </c>
      <c r="S223" s="15">
        <f>-$K223*IFERROR(INDEX('[1]salary allocation'!$E$6:$J$22,MATCH($H223,'[1]salary allocation'!$D$6:$D$22,0),MATCH(S$3,'[1]salary allocation'!$E$3:$J$3,0)),0)</f>
        <v>0</v>
      </c>
      <c r="T223" s="15">
        <f>-$K223*IFERROR(INDEX('[1]salary allocation'!$E$6:$J$22,MATCH($H223,'[1]salary allocation'!$D$6:$D$22,0),MATCH(T$3,'[1]salary allocation'!$E$3:$J$3,0)),0)</f>
        <v>0</v>
      </c>
      <c r="U223" s="15">
        <f>-$K223*IFERROR(INDEX('[1]salary allocation'!$E$6:$J$22,MATCH($H223,'[1]salary allocation'!$D$6:$D$22,0),MATCH(U$3,'[1]salary allocation'!$E$3:$J$3,0)),0)</f>
        <v>0</v>
      </c>
      <c r="V223" s="15">
        <f>-$K223*IFERROR(INDEX('[1]salary allocation'!$E$6:$J$22,MATCH($H223,'[1]salary allocation'!$D$6:$D$22,0),MATCH(V$3,'[1]salary allocation'!$E$3:$J$3,0)),0)</f>
        <v>0</v>
      </c>
      <c r="W223" s="15">
        <f>-$K223*IFERROR(INDEX('[1]salary allocation'!$E$6:$J$22,MATCH($H223,'[1]salary allocation'!$D$6:$D$22,0),MATCH(W$3,'[1]salary allocation'!$E$3:$J$3,0)),0)</f>
        <v>-8497337</v>
      </c>
      <c r="X223" s="15">
        <f>-$K223*IFERROR(INDEX('[1]salary allocation'!$E$6:$J$22,MATCH($H223,'[1]salary allocation'!$D$6:$D$22,0),MATCH(X$3,'[1]salary allocation'!$E$3:$J$3,0)),0)</f>
        <v>0</v>
      </c>
      <c r="Y223" s="15">
        <f>-$K223*IFERROR(INDEX('[1]salary allocation'!$E$6:$J$22,MATCH($H223,'[1]salary allocation'!$D$6:$D$22,0),MATCH(Y$3,'[1]salary allocation'!$E$3:$J$3,0)),0)</f>
        <v>0</v>
      </c>
      <c r="Z223" s="15">
        <f>-$K223*IFERROR(INDEX('[1]salary allocation'!$E$6:$J$22,MATCH($H223,'[1]salary allocation'!$D$6:$D$22,0),MATCH(Z$3,'[1]salary allocation'!$E$3:$J$3,0)),0)</f>
        <v>0</v>
      </c>
      <c r="AA223" s="15">
        <f>-$K223*IFERROR(INDEX('[1]salary allocation'!$E$6:$J$22,MATCH($H223,'[1]salary allocation'!$D$6:$D$22,0),MATCH(AA$3,'[1]salary allocation'!$E$3:$J$3,0)),0)</f>
        <v>0</v>
      </c>
      <c r="AB223" s="15">
        <f>-$K223*IFERROR(INDEX('[1]salary allocation'!$E$6:$J$22,MATCH($H223,'[1]salary allocation'!$D$6:$D$22,0),MATCH(AB$3,'[1]salary allocation'!$E$3:$J$3,0)),0)</f>
        <v>0</v>
      </c>
      <c r="AC223" s="18">
        <f>-$K223*IFERROR(INDEX('[1]salary allocation'!$E$6:$J$22,MATCH($H223,'[1]salary allocation'!$D$6:$D$22,0),MATCH(AC$3,'[1]salary allocation'!$E$3:$J$3,0)),0)</f>
        <v>0</v>
      </c>
      <c r="AD223" s="17"/>
      <c r="AE223" s="16"/>
      <c r="AF223" s="15">
        <f>-$K223</f>
        <v>-8497337</v>
      </c>
      <c r="AG223" s="15"/>
      <c r="AH223" s="2">
        <f>K223+SUM(O223:AC223)</f>
        <v>0</v>
      </c>
      <c r="AI223" s="2">
        <f>K223+SUM(AF223:AG223)</f>
        <v>0</v>
      </c>
    </row>
    <row r="224" spans="1:35" x14ac:dyDescent="0.2">
      <c r="A224" s="69" t="s">
        <v>61</v>
      </c>
      <c r="B224" s="1" t="s">
        <v>651</v>
      </c>
      <c r="H224" s="1" t="s">
        <v>39</v>
      </c>
      <c r="I224" s="1" t="s">
        <v>39</v>
      </c>
      <c r="K224" s="2">
        <v>1961299</v>
      </c>
      <c r="L224" s="46">
        <v>42025</v>
      </c>
      <c r="M224" s="2" t="str">
        <f>VLOOKUP(H224,$H$132:$M$160,6,0)</f>
        <v>VNMOET</v>
      </c>
      <c r="N224" s="2" t="s">
        <v>138</v>
      </c>
      <c r="O224" s="15">
        <f>-$K224*IFERROR(INDEX('[1]salary allocation'!$E$6:$J$22,MATCH($H224,'[1]salary allocation'!$D$6:$D$22,0),MATCH(O$3,'[1]salary allocation'!$E$3:$J$3,0)),0)</f>
        <v>0</v>
      </c>
      <c r="P224" s="15">
        <f>-$K224*IFERROR(INDEX('[1]salary allocation'!$E$6:$J$22,MATCH($H224,'[1]salary allocation'!$D$6:$D$22,0),MATCH(P$3,'[1]salary allocation'!$E$3:$J$3,0)),0)</f>
        <v>0</v>
      </c>
      <c r="Q224" s="15">
        <f>-$K224*IFERROR(INDEX('[1]salary allocation'!$E$6:$J$22,MATCH($H224,'[1]salary allocation'!$D$6:$D$22,0),MATCH(Q$3,'[1]salary allocation'!$E$3:$J$3,0)),0)</f>
        <v>0</v>
      </c>
      <c r="R224" s="15">
        <f>-$K224*IFERROR(INDEX('[1]salary allocation'!$E$6:$J$22,MATCH($H224,'[1]salary allocation'!$D$6:$D$22,0),MATCH(R$3,'[1]salary allocation'!$E$3:$J$3,0)),0)</f>
        <v>0</v>
      </c>
      <c r="S224" s="15">
        <f>-$K224*IFERROR(INDEX('[1]salary allocation'!$E$6:$J$22,MATCH($H224,'[1]salary allocation'!$D$6:$D$22,0),MATCH(S$3,'[1]salary allocation'!$E$3:$J$3,0)),0)</f>
        <v>0</v>
      </c>
      <c r="T224" s="15">
        <f>-$K224*IFERROR(INDEX('[1]salary allocation'!$E$6:$J$22,MATCH($H224,'[1]salary allocation'!$D$6:$D$22,0),MATCH(T$3,'[1]salary allocation'!$E$3:$J$3,0)),0)</f>
        <v>0</v>
      </c>
      <c r="U224" s="15">
        <f>-$K224*IFERROR(INDEX('[1]salary allocation'!$E$6:$J$22,MATCH($H224,'[1]salary allocation'!$D$6:$D$22,0),MATCH(U$3,'[1]salary allocation'!$E$3:$J$3,0)),0)</f>
        <v>0</v>
      </c>
      <c r="V224" s="15">
        <f>-$K224*IFERROR(INDEX('[1]salary allocation'!$E$6:$J$22,MATCH($H224,'[1]salary allocation'!$D$6:$D$22,0),MATCH(V$3,'[1]salary allocation'!$E$3:$J$3,0)),0)</f>
        <v>0</v>
      </c>
      <c r="W224" s="15">
        <f>-$K224*IFERROR(INDEX('[1]salary allocation'!$E$6:$J$22,MATCH($H224,'[1]salary allocation'!$D$6:$D$22,0),MATCH(W$3,'[1]salary allocation'!$E$3:$J$3,0)),0)</f>
        <v>-1961299</v>
      </c>
      <c r="X224" s="15">
        <f>-$K224*IFERROR(INDEX('[1]salary allocation'!$E$6:$J$22,MATCH($H224,'[1]salary allocation'!$D$6:$D$22,0),MATCH(X$3,'[1]salary allocation'!$E$3:$J$3,0)),0)</f>
        <v>0</v>
      </c>
      <c r="Y224" s="15">
        <f>-$K224*IFERROR(INDEX('[1]salary allocation'!$E$6:$J$22,MATCH($H224,'[1]salary allocation'!$D$6:$D$22,0),MATCH(Y$3,'[1]salary allocation'!$E$3:$J$3,0)),0)</f>
        <v>0</v>
      </c>
      <c r="Z224" s="15">
        <f>-$K224*IFERROR(INDEX('[1]salary allocation'!$E$6:$J$22,MATCH($H224,'[1]salary allocation'!$D$6:$D$22,0),MATCH(Z$3,'[1]salary allocation'!$E$3:$J$3,0)),0)</f>
        <v>0</v>
      </c>
      <c r="AA224" s="15">
        <f>-$K224*IFERROR(INDEX('[1]salary allocation'!$E$6:$J$22,MATCH($H224,'[1]salary allocation'!$D$6:$D$22,0),MATCH(AA$3,'[1]salary allocation'!$E$3:$J$3,0)),0)</f>
        <v>0</v>
      </c>
      <c r="AB224" s="15">
        <f>-$K224*IFERROR(INDEX('[1]salary allocation'!$E$6:$J$22,MATCH($H224,'[1]salary allocation'!$D$6:$D$22,0),MATCH(AB$3,'[1]salary allocation'!$E$3:$J$3,0)),0)</f>
        <v>0</v>
      </c>
      <c r="AC224" s="18">
        <f>-$K224*IFERROR(INDEX('[1]salary allocation'!$E$6:$J$22,MATCH($H224,'[1]salary allocation'!$D$6:$D$22,0),MATCH(AC$3,'[1]salary allocation'!$E$3:$J$3,0)),0)</f>
        <v>0</v>
      </c>
      <c r="AD224" s="17"/>
      <c r="AE224" s="16"/>
      <c r="AF224" s="15">
        <f>-$K224</f>
        <v>-1961299</v>
      </c>
      <c r="AG224" s="15"/>
      <c r="AH224" s="2">
        <f>K224+SUM(O224:AC224)</f>
        <v>0</v>
      </c>
      <c r="AI224" s="2">
        <f>K224+SUM(AF224:AG224)</f>
        <v>0</v>
      </c>
    </row>
    <row r="225" spans="1:35" x14ac:dyDescent="0.2">
      <c r="A225" s="69" t="s">
        <v>61</v>
      </c>
      <c r="B225" s="1" t="s">
        <v>651</v>
      </c>
      <c r="H225" s="1" t="s">
        <v>37</v>
      </c>
      <c r="I225" s="1" t="s">
        <v>37</v>
      </c>
      <c r="K225" s="2">
        <v>-3930591</v>
      </c>
      <c r="L225" s="46">
        <v>42025</v>
      </c>
      <c r="M225" s="2" t="str">
        <f>VLOOKUP(H225,$H$132:$M$160,6,0)</f>
        <v>VNOther</v>
      </c>
      <c r="N225" s="2" t="s">
        <v>138</v>
      </c>
      <c r="O225" s="15">
        <f>-$K225*IFERROR(INDEX('[1]salary allocation'!$E$6:$J$22,MATCH($H225,'[1]salary allocation'!$D$6:$D$22,0),MATCH(O$3,'[1]salary allocation'!$E$3:$J$3,0)),0)</f>
        <v>0</v>
      </c>
      <c r="P225" s="15">
        <f>-$K225*IFERROR(INDEX('[1]salary allocation'!$E$6:$J$22,MATCH($H225,'[1]salary allocation'!$D$6:$D$22,0),MATCH(P$3,'[1]salary allocation'!$E$3:$J$3,0)),0)</f>
        <v>589588.65</v>
      </c>
      <c r="Q225" s="15">
        <f>-$K225*IFERROR(INDEX('[1]salary allocation'!$E$6:$J$22,MATCH($H225,'[1]salary allocation'!$D$6:$D$22,0),MATCH(Q$3,'[1]salary allocation'!$E$3:$J$3,0)),0)</f>
        <v>0</v>
      </c>
      <c r="R225" s="15">
        <f>-$K225*IFERROR(INDEX('[1]salary allocation'!$E$6:$J$22,MATCH($H225,'[1]salary allocation'!$D$6:$D$22,0),MATCH(R$3,'[1]salary allocation'!$E$3:$J$3,0)),0)</f>
        <v>0</v>
      </c>
      <c r="S225" s="15">
        <f>-$K225*IFERROR(INDEX('[1]salary allocation'!$E$6:$J$22,MATCH($H225,'[1]salary allocation'!$D$6:$D$22,0),MATCH(S$3,'[1]salary allocation'!$E$3:$J$3,0)),0)</f>
        <v>668200.47</v>
      </c>
      <c r="T225" s="15">
        <f>-$K225*IFERROR(INDEX('[1]salary allocation'!$E$6:$J$22,MATCH($H225,'[1]salary allocation'!$D$6:$D$22,0),MATCH(T$3,'[1]salary allocation'!$E$3:$J$3,0)),0)</f>
        <v>668200.47</v>
      </c>
      <c r="U225" s="15">
        <f>-$K225*IFERROR(INDEX('[1]salary allocation'!$E$6:$J$22,MATCH($H225,'[1]salary allocation'!$D$6:$D$22,0),MATCH(U$3,'[1]salary allocation'!$E$3:$J$3,0)),0)</f>
        <v>668200.47</v>
      </c>
      <c r="V225" s="15">
        <f>-$K225*IFERROR(INDEX('[1]salary allocation'!$E$6:$J$22,MATCH($H225,'[1]salary allocation'!$D$6:$D$22,0),MATCH(V$3,'[1]salary allocation'!$E$3:$J$3,0)),0)</f>
        <v>0</v>
      </c>
      <c r="W225" s="15">
        <f>-$K225*IFERROR(INDEX('[1]salary allocation'!$E$6:$J$22,MATCH($H225,'[1]salary allocation'!$D$6:$D$22,0),MATCH(W$3,'[1]salary allocation'!$E$3:$J$3,0)),0)</f>
        <v>1336400.94</v>
      </c>
      <c r="X225" s="15">
        <f>-$K225*IFERROR(INDEX('[1]salary allocation'!$E$6:$J$22,MATCH($H225,'[1]salary allocation'!$D$6:$D$22,0),MATCH(X$3,'[1]salary allocation'!$E$3:$J$3,0)),0)</f>
        <v>0</v>
      </c>
      <c r="Y225" s="15">
        <f>-$K225*IFERROR(INDEX('[1]salary allocation'!$E$6:$J$22,MATCH($H225,'[1]salary allocation'!$D$6:$D$22,0),MATCH(Y$3,'[1]salary allocation'!$E$3:$J$3,0)),0)</f>
        <v>0</v>
      </c>
      <c r="Z225" s="15">
        <f>-$K225*IFERROR(INDEX('[1]salary allocation'!$E$6:$J$22,MATCH($H225,'[1]salary allocation'!$D$6:$D$22,0),MATCH(Z$3,'[1]salary allocation'!$E$3:$J$3,0)),0)</f>
        <v>0</v>
      </c>
      <c r="AA225" s="15">
        <f>-$K225*IFERROR(INDEX('[1]salary allocation'!$E$6:$J$22,MATCH($H225,'[1]salary allocation'!$D$6:$D$22,0),MATCH(AA$3,'[1]salary allocation'!$E$3:$J$3,0)),0)</f>
        <v>0</v>
      </c>
      <c r="AB225" s="15">
        <f>-$K225*IFERROR(INDEX('[1]salary allocation'!$E$6:$J$22,MATCH($H225,'[1]salary allocation'!$D$6:$D$22,0),MATCH(AB$3,'[1]salary allocation'!$E$3:$J$3,0)),0)</f>
        <v>0</v>
      </c>
      <c r="AC225" s="18">
        <f>-$K225*IFERROR(INDEX('[1]salary allocation'!$E$6:$J$22,MATCH($H225,'[1]salary allocation'!$D$6:$D$22,0),MATCH(AC$3,'[1]salary allocation'!$E$3:$J$3,0)),0)</f>
        <v>0</v>
      </c>
      <c r="AD225" s="17"/>
      <c r="AE225" s="16"/>
      <c r="AF225" s="15">
        <f>-K225</f>
        <v>3930591</v>
      </c>
      <c r="AG225" s="15"/>
      <c r="AH225" s="2">
        <f>K225+SUM(O225:AC225)</f>
        <v>0</v>
      </c>
      <c r="AI225" s="2">
        <f>K225+SUM(AF225:AG225)</f>
        <v>0</v>
      </c>
    </row>
    <row r="226" spans="1:35" x14ac:dyDescent="0.2">
      <c r="A226" s="69" t="s">
        <v>61</v>
      </c>
      <c r="B226" s="1" t="s">
        <v>651</v>
      </c>
      <c r="H226" s="1" t="s">
        <v>35</v>
      </c>
      <c r="I226" s="1" t="s">
        <v>35</v>
      </c>
      <c r="K226" s="2">
        <v>-8861533</v>
      </c>
      <c r="L226" s="46">
        <v>42025</v>
      </c>
      <c r="M226" s="2" t="str">
        <f>VLOOKUP(H226,$H$132:$M$160,6,0)</f>
        <v>VNOther</v>
      </c>
      <c r="N226" s="2" t="s">
        <v>138</v>
      </c>
      <c r="O226" s="15">
        <f>-$K226*IFERROR(INDEX('[1]salary allocation'!$E$6:$J$22,MATCH($H226,'[1]salary allocation'!$D$6:$D$22,0),MATCH(O$3,'[1]salary allocation'!$E$3:$J$3,0)),0)</f>
        <v>0</v>
      </c>
      <c r="P226" s="15">
        <f>-$K226*IFERROR(INDEX('[1]salary allocation'!$E$6:$J$22,MATCH($H226,'[1]salary allocation'!$D$6:$D$22,0),MATCH(P$3,'[1]salary allocation'!$E$3:$J$3,0)),0)</f>
        <v>1329229.95</v>
      </c>
      <c r="Q226" s="15">
        <f>-$K226*IFERROR(INDEX('[1]salary allocation'!$E$6:$J$22,MATCH($H226,'[1]salary allocation'!$D$6:$D$22,0),MATCH(Q$3,'[1]salary allocation'!$E$3:$J$3,0)),0)</f>
        <v>0</v>
      </c>
      <c r="R226" s="15">
        <f>-$K226*IFERROR(INDEX('[1]salary allocation'!$E$6:$J$22,MATCH($H226,'[1]salary allocation'!$D$6:$D$22,0),MATCH(R$3,'[1]salary allocation'!$E$3:$J$3,0)),0)</f>
        <v>0</v>
      </c>
      <c r="S226" s="15">
        <f>-$K226*IFERROR(INDEX('[1]salary allocation'!$E$6:$J$22,MATCH($H226,'[1]salary allocation'!$D$6:$D$22,0),MATCH(S$3,'[1]salary allocation'!$E$3:$J$3,0)),0)</f>
        <v>1506460.6099999999</v>
      </c>
      <c r="T226" s="15">
        <f>-$K226*IFERROR(INDEX('[1]salary allocation'!$E$6:$J$22,MATCH($H226,'[1]salary allocation'!$D$6:$D$22,0),MATCH(T$3,'[1]salary allocation'!$E$3:$J$3,0)),0)</f>
        <v>1506460.6099999999</v>
      </c>
      <c r="U226" s="15">
        <f>-$K226*IFERROR(INDEX('[1]salary allocation'!$E$6:$J$22,MATCH($H226,'[1]salary allocation'!$D$6:$D$22,0),MATCH(U$3,'[1]salary allocation'!$E$3:$J$3,0)),0)</f>
        <v>1506460.6099999999</v>
      </c>
      <c r="V226" s="15">
        <f>-$K226*IFERROR(INDEX('[1]salary allocation'!$E$6:$J$22,MATCH($H226,'[1]salary allocation'!$D$6:$D$22,0),MATCH(V$3,'[1]salary allocation'!$E$3:$J$3,0)),0)</f>
        <v>0</v>
      </c>
      <c r="W226" s="15">
        <f>-$K226*IFERROR(INDEX('[1]salary allocation'!$E$6:$J$22,MATCH($H226,'[1]salary allocation'!$D$6:$D$22,0),MATCH(W$3,'[1]salary allocation'!$E$3:$J$3,0)),0)</f>
        <v>3012921.2199999997</v>
      </c>
      <c r="X226" s="15">
        <f>-$K226*IFERROR(INDEX('[1]salary allocation'!$E$6:$J$22,MATCH($H226,'[1]salary allocation'!$D$6:$D$22,0),MATCH(X$3,'[1]salary allocation'!$E$3:$J$3,0)),0)</f>
        <v>0</v>
      </c>
      <c r="Y226" s="15">
        <f>-$K226*IFERROR(INDEX('[1]salary allocation'!$E$6:$J$22,MATCH($H226,'[1]salary allocation'!$D$6:$D$22,0),MATCH(Y$3,'[1]salary allocation'!$E$3:$J$3,0)),0)</f>
        <v>0</v>
      </c>
      <c r="Z226" s="15">
        <f>-$K226*IFERROR(INDEX('[1]salary allocation'!$E$6:$J$22,MATCH($H226,'[1]salary allocation'!$D$6:$D$22,0),MATCH(Z$3,'[1]salary allocation'!$E$3:$J$3,0)),0)</f>
        <v>0</v>
      </c>
      <c r="AA226" s="15">
        <f>-$K226*IFERROR(INDEX('[1]salary allocation'!$E$6:$J$22,MATCH($H226,'[1]salary allocation'!$D$6:$D$22,0),MATCH(AA$3,'[1]salary allocation'!$E$3:$J$3,0)),0)</f>
        <v>0</v>
      </c>
      <c r="AB226" s="15">
        <f>-$K226*IFERROR(INDEX('[1]salary allocation'!$E$6:$J$22,MATCH($H226,'[1]salary allocation'!$D$6:$D$22,0),MATCH(AB$3,'[1]salary allocation'!$E$3:$J$3,0)),0)</f>
        <v>0</v>
      </c>
      <c r="AC226" s="18">
        <f>-$K226*IFERROR(INDEX('[1]salary allocation'!$E$6:$J$22,MATCH($H226,'[1]salary allocation'!$D$6:$D$22,0),MATCH(AC$3,'[1]salary allocation'!$E$3:$J$3,0)),0)</f>
        <v>0</v>
      </c>
      <c r="AD226" s="17"/>
      <c r="AE226" s="16"/>
      <c r="AF226" s="15">
        <f>-$K226</f>
        <v>8861533</v>
      </c>
      <c r="AG226" s="15"/>
      <c r="AH226" s="2">
        <f>K226+SUM(O226:AC226)</f>
        <v>0</v>
      </c>
      <c r="AI226" s="2">
        <f>K226+SUM(AF226:AG226)</f>
        <v>0</v>
      </c>
    </row>
    <row r="227" spans="1:35" x14ac:dyDescent="0.2">
      <c r="A227" s="69" t="s">
        <v>61</v>
      </c>
      <c r="B227" s="1" t="s">
        <v>651</v>
      </c>
      <c r="H227" s="1" t="s">
        <v>110</v>
      </c>
      <c r="I227" s="5"/>
      <c r="K227" s="2">
        <v>-786096</v>
      </c>
      <c r="L227" s="46">
        <v>42025</v>
      </c>
      <c r="M227" s="2" t="str">
        <f>VLOOKUP(H227,$H$132:$M$160,6,0)</f>
        <v>VNOther</v>
      </c>
      <c r="N227" s="2" t="s">
        <v>138</v>
      </c>
      <c r="O227" s="15">
        <f>-$K227*IFERROR(INDEX('[1]salary allocation'!$E$6:$J$22,MATCH($H227,'[1]salary allocation'!$D$6:$D$22,0),MATCH(O$3,'[1]salary allocation'!$E$3:$J$3,0)),0)</f>
        <v>0</v>
      </c>
      <c r="P227" s="15">
        <f>-$K227*IFERROR(INDEX('[1]salary allocation'!$E$6:$J$22,MATCH($H227,'[1]salary allocation'!$D$6:$D$22,0),MATCH(P$3,'[1]salary allocation'!$E$3:$J$3,0)),0)</f>
        <v>117914.4</v>
      </c>
      <c r="Q227" s="15">
        <f>-$K227*IFERROR(INDEX('[1]salary allocation'!$E$6:$J$22,MATCH($H227,'[1]salary allocation'!$D$6:$D$22,0),MATCH(Q$3,'[1]salary allocation'!$E$3:$J$3,0)),0)</f>
        <v>0</v>
      </c>
      <c r="R227" s="15">
        <f>-$K227*IFERROR(INDEX('[1]salary allocation'!$E$6:$J$22,MATCH($H227,'[1]salary allocation'!$D$6:$D$22,0),MATCH(R$3,'[1]salary allocation'!$E$3:$J$3,0)),0)</f>
        <v>0</v>
      </c>
      <c r="S227" s="15">
        <f>-$K227*IFERROR(INDEX('[1]salary allocation'!$E$6:$J$22,MATCH($H227,'[1]salary allocation'!$D$6:$D$22,0),MATCH(S$3,'[1]salary allocation'!$E$3:$J$3,0)),0)</f>
        <v>133636.31999999998</v>
      </c>
      <c r="T227" s="15">
        <f>-$K227*IFERROR(INDEX('[1]salary allocation'!$E$6:$J$22,MATCH($H227,'[1]salary allocation'!$D$6:$D$22,0),MATCH(T$3,'[1]salary allocation'!$E$3:$J$3,0)),0)</f>
        <v>133636.31999999998</v>
      </c>
      <c r="U227" s="15">
        <f>-$K227*IFERROR(INDEX('[1]salary allocation'!$E$6:$J$22,MATCH($H227,'[1]salary allocation'!$D$6:$D$22,0),MATCH(U$3,'[1]salary allocation'!$E$3:$J$3,0)),0)</f>
        <v>133636.31999999998</v>
      </c>
      <c r="V227" s="15">
        <f>-$K227*IFERROR(INDEX('[1]salary allocation'!$E$6:$J$22,MATCH($H227,'[1]salary allocation'!$D$6:$D$22,0),MATCH(V$3,'[1]salary allocation'!$E$3:$J$3,0)),0)</f>
        <v>0</v>
      </c>
      <c r="W227" s="15">
        <f>-$K227*IFERROR(INDEX('[1]salary allocation'!$E$6:$J$22,MATCH($H227,'[1]salary allocation'!$D$6:$D$22,0),MATCH(W$3,'[1]salary allocation'!$E$3:$J$3,0)),0)</f>
        <v>267272.63999999996</v>
      </c>
      <c r="X227" s="15">
        <f>-$K227*IFERROR(INDEX('[1]salary allocation'!$E$6:$J$22,MATCH($H227,'[1]salary allocation'!$D$6:$D$22,0),MATCH(X$3,'[1]salary allocation'!$E$3:$J$3,0)),0)</f>
        <v>0</v>
      </c>
      <c r="Y227" s="15">
        <f>-$K227*IFERROR(INDEX('[1]salary allocation'!$E$6:$J$22,MATCH($H227,'[1]salary allocation'!$D$6:$D$22,0),MATCH(Y$3,'[1]salary allocation'!$E$3:$J$3,0)),0)</f>
        <v>0</v>
      </c>
      <c r="Z227" s="15">
        <f>-$K227*IFERROR(INDEX('[1]salary allocation'!$E$6:$J$22,MATCH($H227,'[1]salary allocation'!$D$6:$D$22,0),MATCH(Z$3,'[1]salary allocation'!$E$3:$J$3,0)),0)</f>
        <v>0</v>
      </c>
      <c r="AA227" s="15">
        <f>-$K227*IFERROR(INDEX('[1]salary allocation'!$E$6:$J$22,MATCH($H227,'[1]salary allocation'!$D$6:$D$22,0),MATCH(AA$3,'[1]salary allocation'!$E$3:$J$3,0)),0)</f>
        <v>0</v>
      </c>
      <c r="AB227" s="15">
        <f>-$K227*IFERROR(INDEX('[1]salary allocation'!$E$6:$J$22,MATCH($H227,'[1]salary allocation'!$D$6:$D$22,0),MATCH(AB$3,'[1]salary allocation'!$E$3:$J$3,0)),0)</f>
        <v>0</v>
      </c>
      <c r="AC227" s="18">
        <f>-$K227*IFERROR(INDEX('[1]salary allocation'!$E$6:$J$22,MATCH($H227,'[1]salary allocation'!$D$6:$D$22,0),MATCH(AC$3,'[1]salary allocation'!$E$3:$J$3,0)),0)</f>
        <v>0</v>
      </c>
      <c r="AD227" s="17"/>
      <c r="AE227" s="16"/>
      <c r="AF227" s="15">
        <f>-$K227</f>
        <v>786096</v>
      </c>
      <c r="AG227" s="15"/>
      <c r="AH227" s="2">
        <f>K227+SUM(O227:AC227)</f>
        <v>0</v>
      </c>
      <c r="AI227" s="2">
        <f>K227+SUM(AF227:AG227)</f>
        <v>0</v>
      </c>
    </row>
    <row r="228" spans="1:35" x14ac:dyDescent="0.2">
      <c r="A228" s="69" t="s">
        <v>61</v>
      </c>
      <c r="B228" s="1" t="s">
        <v>651</v>
      </c>
      <c r="H228" s="1" t="s">
        <v>121</v>
      </c>
      <c r="I228" s="1" t="s">
        <v>121</v>
      </c>
      <c r="K228" s="2">
        <v>2103954</v>
      </c>
      <c r="L228" s="46">
        <v>42025</v>
      </c>
      <c r="M228" s="2" t="str">
        <f>VLOOKUP(H228,$H$132:$M$160,6,0)</f>
        <v>VNLA</v>
      </c>
      <c r="N228" s="2" t="s">
        <v>138</v>
      </c>
      <c r="O228" s="2">
        <f>IF($M228=O$3,-$K228,0)</f>
        <v>0</v>
      </c>
      <c r="P228" s="2">
        <f>IF($M228=P$3,-$K228,0)</f>
        <v>0</v>
      </c>
      <c r="Q228" s="2">
        <f>IF($M228=Q$3,-$K228,0)</f>
        <v>0</v>
      </c>
      <c r="R228" s="2">
        <f>IF($M228=R$3,-$K228,0)</f>
        <v>0</v>
      </c>
      <c r="S228" s="2">
        <f>IF($M228=S$3,-$K228,0)</f>
        <v>0</v>
      </c>
      <c r="T228" s="2">
        <f>IF($M228=T$3,-$K228,0)</f>
        <v>0</v>
      </c>
      <c r="U228" s="2">
        <f>IF($M228=U$3,-$K228,0)</f>
        <v>0</v>
      </c>
      <c r="V228" s="2">
        <f>IF($M228=V$3,-$K228,0)</f>
        <v>0</v>
      </c>
      <c r="W228" s="2">
        <f>IF($M228=W$3,-$K228,0)</f>
        <v>0</v>
      </c>
      <c r="X228" s="2">
        <f>IF($M228=X$3,-$K228,0)</f>
        <v>-2103954</v>
      </c>
      <c r="Y228" s="2">
        <f>IF($M228=Y$3,-$K228,0)</f>
        <v>0</v>
      </c>
      <c r="Z228" s="2">
        <f>IF($M228=Z$3,-$K228,0)</f>
        <v>0</v>
      </c>
      <c r="AA228" s="2">
        <f>IF($M228=AA$3,-$K228,0)</f>
        <v>0</v>
      </c>
      <c r="AB228" s="2">
        <f>IF($M228=AB$3,-$K228,0)</f>
        <v>0</v>
      </c>
      <c r="AC228" s="21">
        <f>IF($M228=AC$3,-$K228,0)</f>
        <v>0</v>
      </c>
      <c r="AD228" s="20"/>
      <c r="AE228" s="19"/>
      <c r="AF228" s="2"/>
      <c r="AG228" s="2">
        <f>-$K228</f>
        <v>-2103954</v>
      </c>
      <c r="AH228" s="2">
        <f>K228+SUM(O228:AC228)</f>
        <v>0</v>
      </c>
      <c r="AI228" s="2">
        <f>K228+SUM(AF228:AG228)</f>
        <v>0</v>
      </c>
    </row>
    <row r="229" spans="1:35" x14ac:dyDescent="0.2">
      <c r="A229" s="69" t="s">
        <v>61</v>
      </c>
      <c r="B229" s="1" t="s">
        <v>651</v>
      </c>
      <c r="H229" s="1" t="s">
        <v>19</v>
      </c>
      <c r="I229" s="5"/>
      <c r="K229" s="2">
        <v>2876131</v>
      </c>
      <c r="L229" s="46">
        <v>42025</v>
      </c>
      <c r="M229" s="2" t="str">
        <f>VLOOKUP(H229,$H$132:$M$160,6,0)</f>
        <v>VNQN</v>
      </c>
      <c r="N229" s="2" t="s">
        <v>138</v>
      </c>
      <c r="O229" s="2">
        <f>IF($M229=O$3,-$K229,0)</f>
        <v>0</v>
      </c>
      <c r="P229" s="2">
        <f>IF($M229=P$3,-$K229,0)</f>
        <v>0</v>
      </c>
      <c r="Q229" s="2">
        <f>IF($M229=Q$3,-$K229,0)</f>
        <v>0</v>
      </c>
      <c r="R229" s="2">
        <f>IF($M229=R$3,-$K229,0)</f>
        <v>0</v>
      </c>
      <c r="S229" s="2">
        <f>IF($M229=S$3,-$K229,0)</f>
        <v>0</v>
      </c>
      <c r="T229" s="2">
        <f>IF($M229=T$3,-$K229,0)</f>
        <v>-2876131</v>
      </c>
      <c r="U229" s="2">
        <f>IF($M229=U$3,-$K229,0)</f>
        <v>0</v>
      </c>
      <c r="V229" s="2">
        <f>IF($M229=V$3,-$K229,0)</f>
        <v>0</v>
      </c>
      <c r="W229" s="2">
        <f>IF($M229=W$3,-$K229,0)</f>
        <v>0</v>
      </c>
      <c r="X229" s="2">
        <f>IF($M229=X$3,-$K229,0)</f>
        <v>0</v>
      </c>
      <c r="Y229" s="2">
        <f>IF($M229=Y$3,-$K229,0)</f>
        <v>0</v>
      </c>
      <c r="Z229" s="2">
        <f>IF($M229=Z$3,-$K229,0)</f>
        <v>0</v>
      </c>
      <c r="AA229" s="2">
        <f>IF($M229=AA$3,-$K229,0)</f>
        <v>0</v>
      </c>
      <c r="AB229" s="2">
        <f>IF($M229=AB$3,-$K229,0)</f>
        <v>0</v>
      </c>
      <c r="AC229" s="21">
        <f>IF($M229=AC$3,-$K229,0)</f>
        <v>0</v>
      </c>
      <c r="AD229" s="20"/>
      <c r="AE229" s="19"/>
      <c r="AF229" s="2"/>
      <c r="AG229" s="2">
        <f>-$K229</f>
        <v>-2876131</v>
      </c>
      <c r="AH229" s="2">
        <f>K229+SUM(O229:AC229)</f>
        <v>0</v>
      </c>
      <c r="AI229" s="2">
        <f>K229+SUM(AF229:AG229)</f>
        <v>0</v>
      </c>
    </row>
    <row r="230" spans="1:35" x14ac:dyDescent="0.2">
      <c r="A230" s="69" t="s">
        <v>61</v>
      </c>
      <c r="B230" s="1" t="s">
        <v>651</v>
      </c>
      <c r="H230" s="1" t="s">
        <v>21</v>
      </c>
      <c r="I230" s="5"/>
      <c r="K230" s="2">
        <v>-188296</v>
      </c>
      <c r="L230" s="46">
        <v>42025</v>
      </c>
      <c r="M230" s="2" t="str">
        <f>VLOOKUP(H230,$H$132:$M$160,6,0)</f>
        <v>VNHCM</v>
      </c>
      <c r="N230" s="2" t="s">
        <v>138</v>
      </c>
      <c r="O230" s="2">
        <f>IF($M230=O$3,-$K230,0)</f>
        <v>0</v>
      </c>
      <c r="P230" s="2">
        <f>IF($M230=P$3,-$K230,0)</f>
        <v>0</v>
      </c>
      <c r="Q230" s="2">
        <f>IF($M230=Q$3,-$K230,0)</f>
        <v>0</v>
      </c>
      <c r="R230" s="2">
        <f>IF($M230=R$3,-$K230,0)</f>
        <v>0</v>
      </c>
      <c r="S230" s="2">
        <f>IF($M230=S$3,-$K230,0)</f>
        <v>0</v>
      </c>
      <c r="T230" s="2">
        <f>IF($M230=T$3,-$K230,0)</f>
        <v>0</v>
      </c>
      <c r="U230" s="2">
        <f>IF($M230=U$3,-$K230,0)</f>
        <v>0</v>
      </c>
      <c r="V230" s="2">
        <f>IF($M230=V$3,-$K230,0)</f>
        <v>0</v>
      </c>
      <c r="W230" s="2">
        <f>IF($M230=W$3,-$K230,0)</f>
        <v>0</v>
      </c>
      <c r="X230" s="2">
        <f>IF($M230=X$3,-$K230,0)</f>
        <v>0</v>
      </c>
      <c r="Y230" s="2">
        <f>IF($M230=Y$3,-$K230,0)</f>
        <v>188296</v>
      </c>
      <c r="Z230" s="2">
        <f>IF($M230=Z$3,-$K230,0)</f>
        <v>0</v>
      </c>
      <c r="AA230" s="2">
        <f>IF($M230=AA$3,-$K230,0)</f>
        <v>0</v>
      </c>
      <c r="AB230" s="2">
        <f>IF($M230=AB$3,-$K230,0)</f>
        <v>0</v>
      </c>
      <c r="AC230" s="21">
        <f>IF($M230=AC$3,-$K230,0)</f>
        <v>0</v>
      </c>
      <c r="AD230" s="20"/>
      <c r="AE230" s="19"/>
      <c r="AF230" s="2"/>
      <c r="AG230" s="2">
        <f>-$K230</f>
        <v>188296</v>
      </c>
      <c r="AH230" s="2">
        <f>K230+SUM(O230:AC230)</f>
        <v>0</v>
      </c>
      <c r="AI230" s="2">
        <f>K230+SUM(AF230:AG230)</f>
        <v>0</v>
      </c>
    </row>
    <row r="231" spans="1:35" x14ac:dyDescent="0.2">
      <c r="A231" s="69" t="s">
        <v>61</v>
      </c>
      <c r="B231" s="1" t="s">
        <v>651</v>
      </c>
      <c r="H231" s="1" t="s">
        <v>33</v>
      </c>
      <c r="I231" s="1" t="s">
        <v>33</v>
      </c>
      <c r="K231" s="2">
        <v>1694024</v>
      </c>
      <c r="L231" s="46">
        <v>42025</v>
      </c>
      <c r="M231" s="2" t="str">
        <f>VLOOKUP(H231,$H$132:$M$160,6,0)</f>
        <v>VNDN</v>
      </c>
      <c r="N231" s="2" t="s">
        <v>138</v>
      </c>
      <c r="O231" s="2">
        <f>IF($M231=O$3,-$K231,0)</f>
        <v>0</v>
      </c>
      <c r="P231" s="2">
        <f>IF($M231=P$3,-$K231,0)</f>
        <v>0</v>
      </c>
      <c r="Q231" s="2">
        <f>IF($M231=Q$3,-$K231,0)</f>
        <v>0</v>
      </c>
      <c r="R231" s="2">
        <f>IF($M231=R$3,-$K231,0)</f>
        <v>0</v>
      </c>
      <c r="S231" s="2">
        <f>IF($M231=S$3,-$K231,0)</f>
        <v>-1694024</v>
      </c>
      <c r="T231" s="2">
        <f>IF($M231=T$3,-$K231,0)</f>
        <v>0</v>
      </c>
      <c r="U231" s="2">
        <f>IF($M231=U$3,-$K231,0)</f>
        <v>0</v>
      </c>
      <c r="V231" s="2">
        <f>IF($M231=V$3,-$K231,0)</f>
        <v>0</v>
      </c>
      <c r="W231" s="2">
        <f>IF($M231=W$3,-$K231,0)</f>
        <v>0</v>
      </c>
      <c r="X231" s="2">
        <f>IF($M231=X$3,-$K231,0)</f>
        <v>0</v>
      </c>
      <c r="Y231" s="2">
        <f>IF($M231=Y$3,-$K231,0)</f>
        <v>0</v>
      </c>
      <c r="Z231" s="2">
        <f>IF($M231=Z$3,-$K231,0)</f>
        <v>0</v>
      </c>
      <c r="AA231" s="2">
        <f>IF($M231=AA$3,-$K231,0)</f>
        <v>0</v>
      </c>
      <c r="AB231" s="2">
        <f>IF($M231=AB$3,-$K231,0)</f>
        <v>0</v>
      </c>
      <c r="AC231" s="21">
        <f>IF($M231=AC$3,-$K231,0)</f>
        <v>0</v>
      </c>
      <c r="AD231" s="20"/>
      <c r="AE231" s="19"/>
      <c r="AF231" s="2"/>
      <c r="AG231" s="2">
        <f>-$K231</f>
        <v>-1694024</v>
      </c>
      <c r="AH231" s="2">
        <f>K231+SUM(O231:AC231)</f>
        <v>0</v>
      </c>
      <c r="AI231" s="2">
        <f>K231+SUM(AF231:AG231)</f>
        <v>0</v>
      </c>
    </row>
    <row r="232" spans="1:35" x14ac:dyDescent="0.2">
      <c r="A232" s="69" t="s">
        <v>61</v>
      </c>
      <c r="B232" s="1" t="s">
        <v>651</v>
      </c>
      <c r="H232" s="1" t="s">
        <v>31</v>
      </c>
      <c r="I232" s="1" t="s">
        <v>31</v>
      </c>
      <c r="K232" s="2">
        <v>1863999</v>
      </c>
      <c r="L232" s="46">
        <v>42025</v>
      </c>
      <c r="M232" s="2" t="str">
        <f>VLOOKUP(H232,$H$132:$M$160,6,0)</f>
        <v>VNDN</v>
      </c>
      <c r="N232" s="2" t="s">
        <v>138</v>
      </c>
      <c r="O232" s="2">
        <f>IF($M232=O$3,-$K232,0)</f>
        <v>0</v>
      </c>
      <c r="P232" s="2">
        <f>IF($M232=P$3,-$K232,0)</f>
        <v>0</v>
      </c>
      <c r="Q232" s="2">
        <f>IF($M232=Q$3,-$K232,0)</f>
        <v>0</v>
      </c>
      <c r="R232" s="2">
        <f>IF($M232=R$3,-$K232,0)</f>
        <v>0</v>
      </c>
      <c r="S232" s="2">
        <f>IF($M232=S$3,-$K232,0)</f>
        <v>-1863999</v>
      </c>
      <c r="T232" s="2">
        <f>IF($M232=T$3,-$K232,0)</f>
        <v>0</v>
      </c>
      <c r="U232" s="2">
        <f>IF($M232=U$3,-$K232,0)</f>
        <v>0</v>
      </c>
      <c r="V232" s="2">
        <f>IF($M232=V$3,-$K232,0)</f>
        <v>0</v>
      </c>
      <c r="W232" s="2">
        <f>IF($M232=W$3,-$K232,0)</f>
        <v>0</v>
      </c>
      <c r="X232" s="2">
        <f>IF($M232=X$3,-$K232,0)</f>
        <v>0</v>
      </c>
      <c r="Y232" s="2">
        <f>IF($M232=Y$3,-$K232,0)</f>
        <v>0</v>
      </c>
      <c r="Z232" s="2">
        <f>IF($M232=Z$3,-$K232,0)</f>
        <v>0</v>
      </c>
      <c r="AA232" s="2">
        <f>IF($M232=AA$3,-$K232,0)</f>
        <v>0</v>
      </c>
      <c r="AB232" s="2">
        <f>IF($M232=AB$3,-$K232,0)</f>
        <v>0</v>
      </c>
      <c r="AC232" s="21">
        <f>IF($M232=AC$3,-$K232,0)</f>
        <v>0</v>
      </c>
      <c r="AD232" s="20"/>
      <c r="AE232" s="19"/>
      <c r="AF232" s="2"/>
      <c r="AG232" s="2">
        <f>-$K232</f>
        <v>-1863999</v>
      </c>
      <c r="AH232" s="2">
        <f>K232+SUM(O232:AC232)</f>
        <v>0</v>
      </c>
      <c r="AI232" s="2">
        <f>K232+SUM(AF232:AG232)</f>
        <v>0</v>
      </c>
    </row>
    <row r="233" spans="1:35" x14ac:dyDescent="0.2">
      <c r="A233" s="69" t="s">
        <v>61</v>
      </c>
      <c r="B233" s="1" t="s">
        <v>651</v>
      </c>
      <c r="H233" s="1" t="s">
        <v>29</v>
      </c>
      <c r="I233" s="1" t="s">
        <v>29</v>
      </c>
      <c r="K233" s="2">
        <v>3662279</v>
      </c>
      <c r="L233" s="46">
        <v>42025</v>
      </c>
      <c r="M233" s="2" t="str">
        <f>VLOOKUP(H233,$H$132:$M$160,6,0)</f>
        <v>VNDN</v>
      </c>
      <c r="N233" s="2" t="s">
        <v>138</v>
      </c>
      <c r="O233" s="2">
        <f>IF($M233=O$3,-$K233,0)</f>
        <v>0</v>
      </c>
      <c r="P233" s="2">
        <f>IF($M233=P$3,-$K233,0)</f>
        <v>0</v>
      </c>
      <c r="Q233" s="2">
        <f>IF($M233=Q$3,-$K233,0)</f>
        <v>0</v>
      </c>
      <c r="R233" s="2">
        <f>IF($M233=R$3,-$K233,0)</f>
        <v>0</v>
      </c>
      <c r="S233" s="2">
        <f>IF($M233=S$3,-$K233,0)</f>
        <v>-3662279</v>
      </c>
      <c r="T233" s="2">
        <f>IF($M233=T$3,-$K233,0)</f>
        <v>0</v>
      </c>
      <c r="U233" s="2">
        <f>IF($M233=U$3,-$K233,0)</f>
        <v>0</v>
      </c>
      <c r="V233" s="2">
        <f>IF($M233=V$3,-$K233,0)</f>
        <v>0</v>
      </c>
      <c r="W233" s="2">
        <f>IF($M233=W$3,-$K233,0)</f>
        <v>0</v>
      </c>
      <c r="X233" s="2">
        <f>IF($M233=X$3,-$K233,0)</f>
        <v>0</v>
      </c>
      <c r="Y233" s="2">
        <f>IF($M233=Y$3,-$K233,0)</f>
        <v>0</v>
      </c>
      <c r="Z233" s="2">
        <f>IF($M233=Z$3,-$K233,0)</f>
        <v>0</v>
      </c>
      <c r="AA233" s="2">
        <f>IF($M233=AA$3,-$K233,0)</f>
        <v>0</v>
      </c>
      <c r="AB233" s="2">
        <f>IF($M233=AB$3,-$K233,0)</f>
        <v>0</v>
      </c>
      <c r="AC233" s="21">
        <f>IF($M233=AC$3,-$K233,0)</f>
        <v>0</v>
      </c>
      <c r="AD233" s="20"/>
      <c r="AE233" s="19"/>
      <c r="AF233" s="2"/>
      <c r="AG233" s="2">
        <f>-$K233</f>
        <v>-3662279</v>
      </c>
      <c r="AH233" s="2">
        <f>K233+SUM(O233:AC233)</f>
        <v>0</v>
      </c>
      <c r="AI233" s="2">
        <f>K233+SUM(AF233:AG233)</f>
        <v>0</v>
      </c>
    </row>
    <row r="234" spans="1:35" x14ac:dyDescent="0.2">
      <c r="A234" s="69" t="s">
        <v>61</v>
      </c>
      <c r="B234" s="1" t="s">
        <v>651</v>
      </c>
      <c r="H234" s="1" t="s">
        <v>27</v>
      </c>
      <c r="I234" s="1" t="s">
        <v>27</v>
      </c>
      <c r="K234" s="2">
        <v>0</v>
      </c>
      <c r="L234" s="46">
        <v>42025</v>
      </c>
      <c r="M234" s="2" t="str">
        <f>VLOOKUP(H234,$H$132:$M$160,6,0)</f>
        <v>VNDN</v>
      </c>
      <c r="N234" s="2" t="s">
        <v>138</v>
      </c>
      <c r="O234" s="2">
        <f>IF($M234=O$3,-$K234,0)</f>
        <v>0</v>
      </c>
      <c r="P234" s="2">
        <f>IF($M234=P$3,-$K234,0)</f>
        <v>0</v>
      </c>
      <c r="Q234" s="2">
        <f>IF($M234=Q$3,-$K234,0)</f>
        <v>0</v>
      </c>
      <c r="R234" s="2">
        <f>IF($M234=R$3,-$K234,0)</f>
        <v>0</v>
      </c>
      <c r="S234" s="2">
        <f>IF($M234=S$3,-$K234,0)</f>
        <v>0</v>
      </c>
      <c r="T234" s="2">
        <f>IF($M234=T$3,-$K234,0)</f>
        <v>0</v>
      </c>
      <c r="U234" s="2">
        <f>IF($M234=U$3,-$K234,0)</f>
        <v>0</v>
      </c>
      <c r="V234" s="2">
        <f>IF($M234=V$3,-$K234,0)</f>
        <v>0</v>
      </c>
      <c r="W234" s="2">
        <f>IF($M234=W$3,-$K234,0)</f>
        <v>0</v>
      </c>
      <c r="X234" s="2">
        <f>IF($M234=X$3,-$K234,0)</f>
        <v>0</v>
      </c>
      <c r="Y234" s="2">
        <f>IF($M234=Y$3,-$K234,0)</f>
        <v>0</v>
      </c>
      <c r="Z234" s="2">
        <f>IF($M234=Z$3,-$K234,0)</f>
        <v>0</v>
      </c>
      <c r="AA234" s="2">
        <f>IF($M234=AA$3,-$K234,0)</f>
        <v>0</v>
      </c>
      <c r="AB234" s="2">
        <f>IF($M234=AB$3,-$K234,0)</f>
        <v>0</v>
      </c>
      <c r="AC234" s="21">
        <f>IF($M234=AC$3,-$K234,0)</f>
        <v>0</v>
      </c>
      <c r="AD234" s="20"/>
      <c r="AE234" s="19"/>
      <c r="AF234" s="2"/>
      <c r="AG234" s="2">
        <f>-$K234</f>
        <v>0</v>
      </c>
      <c r="AH234" s="2">
        <f>K234+SUM(O234:AC234)</f>
        <v>0</v>
      </c>
      <c r="AI234" s="2">
        <f>K234+SUM(AF234:AG234)</f>
        <v>0</v>
      </c>
    </row>
    <row r="235" spans="1:35" x14ac:dyDescent="0.2">
      <c r="A235" s="69" t="s">
        <v>61</v>
      </c>
      <c r="B235" s="1" t="s">
        <v>651</v>
      </c>
      <c r="H235" s="1" t="s">
        <v>25</v>
      </c>
      <c r="I235" s="1" t="s">
        <v>25</v>
      </c>
      <c r="K235" s="2">
        <v>2176372</v>
      </c>
      <c r="L235" s="46">
        <v>42025</v>
      </c>
      <c r="M235" s="2" t="str">
        <f>VLOOKUP(H235,$H$132:$M$160,6,0)</f>
        <v>VNQN</v>
      </c>
      <c r="N235" s="2" t="s">
        <v>138</v>
      </c>
      <c r="O235" s="2">
        <f>IF($M235=O$3,-$K235,0)</f>
        <v>0</v>
      </c>
      <c r="P235" s="2">
        <f>IF($M235=P$3,-$K235,0)</f>
        <v>0</v>
      </c>
      <c r="Q235" s="2">
        <f>IF($M235=Q$3,-$K235,0)</f>
        <v>0</v>
      </c>
      <c r="R235" s="2">
        <f>IF($M235=R$3,-$K235,0)</f>
        <v>0</v>
      </c>
      <c r="S235" s="2">
        <f>IF($M235=S$3,-$K235,0)</f>
        <v>0</v>
      </c>
      <c r="T235" s="2">
        <f>IF($M235=T$3,-$K235,0)</f>
        <v>-2176372</v>
      </c>
      <c r="U235" s="2">
        <f>IF($M235=U$3,-$K235,0)</f>
        <v>0</v>
      </c>
      <c r="V235" s="2">
        <f>IF($M235=V$3,-$K235,0)</f>
        <v>0</v>
      </c>
      <c r="W235" s="2">
        <f>IF($M235=W$3,-$K235,0)</f>
        <v>0</v>
      </c>
      <c r="X235" s="2">
        <f>IF($M235=X$3,-$K235,0)</f>
        <v>0</v>
      </c>
      <c r="Y235" s="2">
        <f>IF($M235=Y$3,-$K235,0)</f>
        <v>0</v>
      </c>
      <c r="Z235" s="2">
        <f>IF($M235=Z$3,-$K235,0)</f>
        <v>0</v>
      </c>
      <c r="AA235" s="2">
        <f>IF($M235=AA$3,-$K235,0)</f>
        <v>0</v>
      </c>
      <c r="AB235" s="2">
        <f>IF($M235=AB$3,-$K235,0)</f>
        <v>0</v>
      </c>
      <c r="AC235" s="21">
        <f>IF($M235=AC$3,-$K235,0)</f>
        <v>0</v>
      </c>
      <c r="AD235" s="20"/>
      <c r="AE235" s="19"/>
      <c r="AF235" s="2"/>
      <c r="AG235" s="2">
        <f>-$K235</f>
        <v>-2176372</v>
      </c>
      <c r="AH235" s="2">
        <f>K235+SUM(O235:AC235)</f>
        <v>0</v>
      </c>
      <c r="AI235" s="2">
        <f>K235+SUM(AF235:AG235)</f>
        <v>0</v>
      </c>
    </row>
    <row r="236" spans="1:35" x14ac:dyDescent="0.2">
      <c r="A236" s="69" t="s">
        <v>61</v>
      </c>
      <c r="B236" s="1" t="s">
        <v>651</v>
      </c>
      <c r="H236" s="1" t="s">
        <v>81</v>
      </c>
      <c r="I236" s="1" t="s">
        <v>81</v>
      </c>
      <c r="K236" s="2">
        <v>1172318</v>
      </c>
      <c r="L236" s="46">
        <v>42025</v>
      </c>
      <c r="M236" s="2" t="str">
        <f>VLOOKUP(H236,$H$132:$M$160,6,0)</f>
        <v>VNQN</v>
      </c>
      <c r="N236" s="2" t="s">
        <v>138</v>
      </c>
      <c r="O236" s="2">
        <f>IF($M236=O$3,-$K236,0)</f>
        <v>0</v>
      </c>
      <c r="P236" s="2">
        <f>IF($M236=P$3,-$K236,0)</f>
        <v>0</v>
      </c>
      <c r="Q236" s="2">
        <f>IF($M236=Q$3,-$K236,0)</f>
        <v>0</v>
      </c>
      <c r="R236" s="2">
        <f>IF($M236=R$3,-$K236,0)</f>
        <v>0</v>
      </c>
      <c r="S236" s="2">
        <f>IF($M236=S$3,-$K236,0)</f>
        <v>0</v>
      </c>
      <c r="T236" s="2">
        <f>IF($M236=T$3,-$K236,0)</f>
        <v>-1172318</v>
      </c>
      <c r="U236" s="2">
        <f>IF($M236=U$3,-$K236,0)</f>
        <v>0</v>
      </c>
      <c r="V236" s="2">
        <f>IF($M236=V$3,-$K236,0)</f>
        <v>0</v>
      </c>
      <c r="W236" s="2">
        <f>IF($M236=W$3,-$K236,0)</f>
        <v>0</v>
      </c>
      <c r="X236" s="2">
        <f>IF($M236=X$3,-$K236,0)</f>
        <v>0</v>
      </c>
      <c r="Y236" s="2">
        <f>IF($M236=Y$3,-$K236,0)</f>
        <v>0</v>
      </c>
      <c r="Z236" s="2">
        <f>IF($M236=Z$3,-$K236,0)</f>
        <v>0</v>
      </c>
      <c r="AA236" s="2">
        <f>IF($M236=AA$3,-$K236,0)</f>
        <v>0</v>
      </c>
      <c r="AB236" s="2">
        <f>IF($M236=AB$3,-$K236,0)</f>
        <v>0</v>
      </c>
      <c r="AC236" s="21">
        <f>IF($M236=AC$3,-$K236,0)</f>
        <v>0</v>
      </c>
      <c r="AD236" s="20"/>
      <c r="AE236" s="19"/>
      <c r="AF236" s="2"/>
      <c r="AG236" s="2">
        <f>-$K236</f>
        <v>-1172318</v>
      </c>
      <c r="AH236" s="2">
        <f>K236+SUM(O236:AC236)</f>
        <v>0</v>
      </c>
      <c r="AI236" s="2">
        <f>K236+SUM(AF236:AG236)</f>
        <v>0</v>
      </c>
    </row>
    <row r="237" spans="1:35" x14ac:dyDescent="0.2">
      <c r="A237" s="69" t="s">
        <v>61</v>
      </c>
      <c r="B237" s="1" t="s">
        <v>651</v>
      </c>
      <c r="H237" s="1" t="s">
        <v>23</v>
      </c>
      <c r="I237" s="1" t="s">
        <v>23</v>
      </c>
      <c r="K237" s="2">
        <v>187141</v>
      </c>
      <c r="L237" s="46">
        <v>42025</v>
      </c>
      <c r="M237" s="2" t="str">
        <f>VLOOKUP(H237,$H$132:$M$160,6,0)</f>
        <v>VNHD</v>
      </c>
      <c r="N237" s="2" t="s">
        <v>138</v>
      </c>
      <c r="O237" s="2">
        <f>IF($M237=O$3,-$K237,0)</f>
        <v>0</v>
      </c>
      <c r="P237" s="2">
        <f>IF($M237=P$3,-$K237,0)</f>
        <v>0</v>
      </c>
      <c r="Q237" s="2">
        <f>IF($M237=Q$3,-$K237,0)</f>
        <v>0</v>
      </c>
      <c r="R237" s="2">
        <f>IF($M237=R$3,-$K237,0)</f>
        <v>0</v>
      </c>
      <c r="S237" s="2">
        <f>IF($M237=S$3,-$K237,0)</f>
        <v>0</v>
      </c>
      <c r="T237" s="2">
        <f>IF($M237=T$3,-$K237,0)</f>
        <v>0</v>
      </c>
      <c r="U237" s="2">
        <f>IF($M237=U$3,-$K237,0)</f>
        <v>-187141</v>
      </c>
      <c r="V237" s="2">
        <f>IF($M237=V$3,-$K237,0)</f>
        <v>0</v>
      </c>
      <c r="W237" s="2">
        <f>IF($M237=W$3,-$K237,0)</f>
        <v>0</v>
      </c>
      <c r="X237" s="2">
        <f>IF($M237=X$3,-$K237,0)</f>
        <v>0</v>
      </c>
      <c r="Y237" s="2">
        <f>IF($M237=Y$3,-$K237,0)</f>
        <v>0</v>
      </c>
      <c r="Z237" s="2">
        <f>IF($M237=Z$3,-$K237,0)</f>
        <v>0</v>
      </c>
      <c r="AA237" s="2">
        <f>IF($M237=AA$3,-$K237,0)</f>
        <v>0</v>
      </c>
      <c r="AB237" s="2">
        <f>IF($M237=AB$3,-$K237,0)</f>
        <v>0</v>
      </c>
      <c r="AC237" s="21">
        <f>IF($M237=AC$3,-$K237,0)</f>
        <v>0</v>
      </c>
      <c r="AD237" s="20"/>
      <c r="AE237" s="19"/>
      <c r="AF237" s="2"/>
      <c r="AG237" s="2">
        <f>-$K237</f>
        <v>-187141</v>
      </c>
      <c r="AH237" s="2">
        <f>K237+SUM(O237:AC237)</f>
        <v>0</v>
      </c>
      <c r="AI237" s="2">
        <f>K237+SUM(AF237:AG237)</f>
        <v>0</v>
      </c>
    </row>
    <row r="238" spans="1:35" x14ac:dyDescent="0.2">
      <c r="A238" s="69" t="s">
        <v>61</v>
      </c>
      <c r="B238" s="1" t="s">
        <v>651</v>
      </c>
      <c r="H238" s="1" t="s">
        <v>153</v>
      </c>
      <c r="I238" s="1" t="s">
        <v>21</v>
      </c>
      <c r="K238" s="2">
        <v>-98546</v>
      </c>
      <c r="L238" s="46">
        <v>42025</v>
      </c>
      <c r="M238" s="2" t="str">
        <f>VLOOKUP(H238,$H$132:$M$160,6,0)</f>
        <v>VNBN</v>
      </c>
      <c r="N238" s="2" t="s">
        <v>138</v>
      </c>
      <c r="O238" s="2">
        <f>IF($M238=O$3,-$K238,0)</f>
        <v>0</v>
      </c>
      <c r="P238" s="2">
        <f>IF($M238=P$3,-$K238,0)</f>
        <v>0</v>
      </c>
      <c r="Q238" s="2">
        <f>IF($M238=Q$3,-$K238,0)</f>
        <v>0</v>
      </c>
      <c r="R238" s="2">
        <f>IF($M238=R$3,-$K238,0)</f>
        <v>0</v>
      </c>
      <c r="S238" s="2">
        <f>IF($M238=S$3,-$K238,0)</f>
        <v>0</v>
      </c>
      <c r="T238" s="2">
        <f>IF($M238=T$3,-$K238,0)</f>
        <v>0</v>
      </c>
      <c r="U238" s="2">
        <f>IF($M238=U$3,-$K238,0)</f>
        <v>0</v>
      </c>
      <c r="V238" s="2">
        <f>IF($M238=V$3,-$K238,0)</f>
        <v>0</v>
      </c>
      <c r="W238" s="2">
        <f>IF($M238=W$3,-$K238,0)</f>
        <v>0</v>
      </c>
      <c r="X238" s="2">
        <f>IF($M238=X$3,-$K238,0)</f>
        <v>0</v>
      </c>
      <c r="Y238" s="2">
        <f>IF($M238=Y$3,-$K238,0)</f>
        <v>0</v>
      </c>
      <c r="Z238" s="2">
        <f>IF($M238=Z$3,-$K238,0)</f>
        <v>0</v>
      </c>
      <c r="AA238" s="2">
        <f>IF($M238=AA$3,-$K238,0)</f>
        <v>98546</v>
      </c>
      <c r="AB238" s="2">
        <f>IF($M238=AB$3,-$K238,0)</f>
        <v>0</v>
      </c>
      <c r="AC238" s="21">
        <f>IF($M238=AC$3,-$K238,0)</f>
        <v>0</v>
      </c>
      <c r="AD238" s="20"/>
      <c r="AE238" s="19"/>
      <c r="AF238" s="2"/>
      <c r="AG238" s="2">
        <f>-K238</f>
        <v>98546</v>
      </c>
      <c r="AH238" s="2">
        <f>K238+SUM(O238:AC238)</f>
        <v>0</v>
      </c>
      <c r="AI238" s="2">
        <f>K238+SUM(AF238:AG238)</f>
        <v>0</v>
      </c>
    </row>
    <row r="239" spans="1:35" x14ac:dyDescent="0.2">
      <c r="A239" s="69" t="s">
        <v>61</v>
      </c>
      <c r="B239" s="1" t="s">
        <v>651</v>
      </c>
      <c r="H239" s="1" t="s">
        <v>151</v>
      </c>
      <c r="I239" s="1" t="s">
        <v>19</v>
      </c>
      <c r="K239" s="2">
        <v>0</v>
      </c>
      <c r="L239" s="46">
        <v>42025</v>
      </c>
      <c r="M239" s="2" t="str">
        <f>VLOOKUP(H239,$H$132:$M$160,6,0)</f>
        <v>VNQN</v>
      </c>
      <c r="N239" s="2" t="s">
        <v>138</v>
      </c>
      <c r="O239" s="2">
        <f>IF($M239=O$3,-$K239,0)</f>
        <v>0</v>
      </c>
      <c r="P239" s="2">
        <f>IF($M239=P$3,-$K239,0)</f>
        <v>0</v>
      </c>
      <c r="Q239" s="2">
        <f>IF($M239=Q$3,-$K239,0)</f>
        <v>0</v>
      </c>
      <c r="R239" s="2">
        <f>IF($M239=R$3,-$K239,0)</f>
        <v>0</v>
      </c>
      <c r="S239" s="2">
        <f>IF($M239=S$3,-$K239,0)</f>
        <v>0</v>
      </c>
      <c r="T239" s="2">
        <f>IF($M239=T$3,-$K239,0)</f>
        <v>0</v>
      </c>
      <c r="U239" s="2">
        <f>IF($M239=U$3,-$K239,0)</f>
        <v>0</v>
      </c>
      <c r="V239" s="2">
        <f>IF($M239=V$3,-$K239,0)</f>
        <v>0</v>
      </c>
      <c r="W239" s="2">
        <f>IF($M239=W$3,-$K239,0)</f>
        <v>0</v>
      </c>
      <c r="X239" s="2">
        <f>IF($M239=X$3,-$K239,0)</f>
        <v>0</v>
      </c>
      <c r="Y239" s="2">
        <f>IF($M239=Y$3,-$K239,0)</f>
        <v>0</v>
      </c>
      <c r="Z239" s="2">
        <f>IF($M239=Z$3,-$K239,0)</f>
        <v>0</v>
      </c>
      <c r="AA239" s="2">
        <f>IF($M239=AA$3,-$K239,0)</f>
        <v>0</v>
      </c>
      <c r="AB239" s="2">
        <f>IF($M239=AB$3,-$K239,0)</f>
        <v>0</v>
      </c>
      <c r="AC239" s="21">
        <f>IF($M239=AC$3,-$K239,0)</f>
        <v>0</v>
      </c>
      <c r="AD239" s="20"/>
      <c r="AE239" s="19"/>
      <c r="AF239" s="2"/>
      <c r="AG239" s="2">
        <f>-$K239</f>
        <v>0</v>
      </c>
      <c r="AH239" s="2">
        <f>K239+SUM(O239:AC239)</f>
        <v>0</v>
      </c>
      <c r="AI239" s="2">
        <f>K239+SUM(AF239:AG239)</f>
        <v>0</v>
      </c>
    </row>
    <row r="240" spans="1:35" x14ac:dyDescent="0.2">
      <c r="A240" s="69" t="s">
        <v>61</v>
      </c>
      <c r="B240" s="1" t="s">
        <v>651</v>
      </c>
      <c r="H240" s="1" t="s">
        <v>76</v>
      </c>
      <c r="I240" s="1" t="s">
        <v>110</v>
      </c>
      <c r="K240" s="2">
        <v>-16843278</v>
      </c>
      <c r="L240" s="46">
        <v>42025</v>
      </c>
      <c r="M240" s="2" t="str">
        <f>VLOOKUP(H240,$H$132:$M$160,6,0)</f>
        <v>VNMOET</v>
      </c>
      <c r="N240" s="2" t="s">
        <v>138</v>
      </c>
      <c r="O240" s="2">
        <f>IF($M240=O$3,-$K240,0)</f>
        <v>0</v>
      </c>
      <c r="P240" s="2">
        <f>IF($M240=P$3,-$K240,0)</f>
        <v>0</v>
      </c>
      <c r="Q240" s="2">
        <f>IF($M240=Q$3,-$K240,0)</f>
        <v>0</v>
      </c>
      <c r="R240" s="2">
        <f>IF($M240=R$3,-$K240,0)</f>
        <v>0</v>
      </c>
      <c r="S240" s="2">
        <f>IF($M240=S$3,-$K240,0)</f>
        <v>0</v>
      </c>
      <c r="T240" s="2">
        <f>IF($M240=T$3,-$K240,0)</f>
        <v>0</v>
      </c>
      <c r="U240" s="2">
        <f>IF($M240=U$3,-$K240,0)</f>
        <v>0</v>
      </c>
      <c r="V240" s="2">
        <f>IF($M240=V$3,-$K240,0)</f>
        <v>0</v>
      </c>
      <c r="W240" s="2">
        <f>IF($M240=W$3,-$K240,0)</f>
        <v>16843278</v>
      </c>
      <c r="X240" s="2">
        <f>IF($M240=X$3,-$K240,0)</f>
        <v>0</v>
      </c>
      <c r="Y240" s="2">
        <f>IF($M240=Y$3,-$K240,0)</f>
        <v>0</v>
      </c>
      <c r="Z240" s="2">
        <f>IF($M240=Z$3,-$K240,0)</f>
        <v>0</v>
      </c>
      <c r="AA240" s="2">
        <f>IF($M240=AA$3,-$K240,0)</f>
        <v>0</v>
      </c>
      <c r="AB240" s="2">
        <f>IF($M240=AB$3,-$K240,0)</f>
        <v>0</v>
      </c>
      <c r="AC240" s="21">
        <f>IF($M240=AC$3,-$K240,0)</f>
        <v>0</v>
      </c>
      <c r="AD240" s="20"/>
      <c r="AE240" s="19"/>
      <c r="AF240" s="2">
        <f>-$K240</f>
        <v>16843278</v>
      </c>
      <c r="AG240" s="2"/>
      <c r="AH240" s="2">
        <f>K240+SUM(O240:AC240)</f>
        <v>0</v>
      </c>
      <c r="AI240" s="2">
        <f>K240+SUM(AF240:AG240)</f>
        <v>0</v>
      </c>
    </row>
    <row r="241" spans="1:35" x14ac:dyDescent="0.2">
      <c r="A241" s="69" t="s">
        <v>61</v>
      </c>
      <c r="B241" s="1" t="s">
        <v>651</v>
      </c>
      <c r="H241" s="1" t="s">
        <v>17</v>
      </c>
      <c r="I241" s="1" t="s">
        <v>153</v>
      </c>
      <c r="K241" s="2">
        <v>-54046</v>
      </c>
      <c r="L241" s="46">
        <v>42025</v>
      </c>
      <c r="M241" s="42" t="s">
        <v>591</v>
      </c>
      <c r="N241" s="2" t="s">
        <v>138</v>
      </c>
      <c r="O241" s="2">
        <f>IF($M241=O$3,-$K241,0)</f>
        <v>0</v>
      </c>
      <c r="P241" s="2">
        <f>IF($M241=P$3,-$K241,0)</f>
        <v>0</v>
      </c>
      <c r="Q241" s="2">
        <f>IF($M241=Q$3,-$K241,0)</f>
        <v>0</v>
      </c>
      <c r="R241" s="2">
        <f>IF($M241=R$3,-$K241,0)</f>
        <v>0</v>
      </c>
      <c r="S241" s="2">
        <f>IF($M241=S$3,-$K241,0)</f>
        <v>0</v>
      </c>
      <c r="T241" s="2">
        <f>IF($M241=T$3,-$K241,0)</f>
        <v>54046</v>
      </c>
      <c r="U241" s="2">
        <f>IF($M241=U$3,-$K241,0)</f>
        <v>0</v>
      </c>
      <c r="V241" s="2">
        <f>IF($M241=V$3,-$K241,0)</f>
        <v>0</v>
      </c>
      <c r="W241" s="2">
        <f>IF($M241=W$3,-$K241,0)</f>
        <v>0</v>
      </c>
      <c r="X241" s="2">
        <f>IF($M241=X$3,-$K241,0)</f>
        <v>0</v>
      </c>
      <c r="Y241" s="2">
        <f>IF($M241=Y$3,-$K241,0)</f>
        <v>0</v>
      </c>
      <c r="Z241" s="2">
        <f>IF($M241=Z$3,-$K241,0)</f>
        <v>0</v>
      </c>
      <c r="AA241" s="2">
        <f>IF($M241=AA$3,-$K241,0)</f>
        <v>0</v>
      </c>
      <c r="AB241" s="2">
        <f>IF($M241=AB$3,-$K241,0)</f>
        <v>0</v>
      </c>
      <c r="AC241" s="21">
        <f>IF($M241=AC$3,-$K241,0)</f>
        <v>0</v>
      </c>
      <c r="AD241" s="20"/>
      <c r="AE241" s="19"/>
      <c r="AF241" s="2"/>
      <c r="AG241" s="2">
        <f>-$K241</f>
        <v>54046</v>
      </c>
      <c r="AH241" s="2">
        <f>K241+SUM(O241:AC241)</f>
        <v>0</v>
      </c>
      <c r="AI241" s="2">
        <f>K241+SUM(AF241:AG241)</f>
        <v>0</v>
      </c>
    </row>
    <row r="242" spans="1:35" x14ac:dyDescent="0.2">
      <c r="A242" s="69" t="s">
        <v>61</v>
      </c>
      <c r="B242" s="1" t="s">
        <v>651</v>
      </c>
      <c r="H242" s="1" t="s">
        <v>655</v>
      </c>
      <c r="I242" s="1" t="s">
        <v>656</v>
      </c>
      <c r="K242" s="2">
        <f>-2828283</f>
        <v>-2828283</v>
      </c>
      <c r="L242" s="46">
        <v>42025</v>
      </c>
      <c r="M242" s="2" t="s">
        <v>195</v>
      </c>
      <c r="N242" s="2" t="s">
        <v>138</v>
      </c>
      <c r="O242" s="2">
        <f>IF($M242=O$3,-$K242,0)</f>
        <v>0</v>
      </c>
      <c r="P242" s="2">
        <f>IF($M242=P$3,-$K242,0)</f>
        <v>0</v>
      </c>
      <c r="Q242" s="2">
        <f>IF($M242=Q$3,-$K242,0)</f>
        <v>0</v>
      </c>
      <c r="R242" s="2">
        <f>IF($M242=R$3,-$K242,0)</f>
        <v>0</v>
      </c>
      <c r="S242" s="2">
        <f>IF($M242=S$3,-$K242,0)</f>
        <v>0</v>
      </c>
      <c r="T242" s="2">
        <f>IF($M242=T$3,-$K242,0)</f>
        <v>0</v>
      </c>
      <c r="U242" s="2">
        <f>IF($M242=U$3,-$K242,0)</f>
        <v>2828283</v>
      </c>
      <c r="V242" s="2">
        <f>IF($M242=V$3,-$K242,0)</f>
        <v>0</v>
      </c>
      <c r="W242" s="2">
        <f>IF($M242=W$3,-$K242,0)</f>
        <v>0</v>
      </c>
      <c r="X242" s="2">
        <f>IF($M242=X$3,-$K242,0)</f>
        <v>0</v>
      </c>
      <c r="Y242" s="2">
        <f>IF($M242=Y$3,-$K242,0)</f>
        <v>0</v>
      </c>
      <c r="Z242" s="2">
        <f>IF($M242=Z$3,-$K242,0)</f>
        <v>0</v>
      </c>
      <c r="AA242" s="2">
        <f>IF($M242=AA$3,-$K242,0)</f>
        <v>0</v>
      </c>
      <c r="AB242" s="2">
        <f>IF($M242=AB$3,-$K242,0)</f>
        <v>0</v>
      </c>
      <c r="AC242" s="21">
        <f>IF($M242=AC$3,-$K242,0)</f>
        <v>0</v>
      </c>
      <c r="AD242" s="20"/>
      <c r="AE242" s="19"/>
      <c r="AF242" s="2"/>
      <c r="AG242" s="2">
        <f>-K242</f>
        <v>2828283</v>
      </c>
      <c r="AH242" s="2">
        <f>K242+SUM(O242:AC242)</f>
        <v>0</v>
      </c>
      <c r="AI242" s="2">
        <f>K242+SUM(AF242:AG242)</f>
        <v>0</v>
      </c>
    </row>
    <row r="243" spans="1:35" x14ac:dyDescent="0.2">
      <c r="A243" s="69" t="s">
        <v>61</v>
      </c>
      <c r="B243" s="1" t="s">
        <v>651</v>
      </c>
      <c r="H243" s="1" t="s">
        <v>655</v>
      </c>
      <c r="I243" s="1" t="s">
        <v>654</v>
      </c>
      <c r="K243" s="2">
        <v>-194444</v>
      </c>
      <c r="L243" s="46">
        <v>42025</v>
      </c>
      <c r="M243" s="2" t="s">
        <v>653</v>
      </c>
      <c r="N243" s="2" t="s">
        <v>138</v>
      </c>
      <c r="O243" s="2">
        <f>IF($M243=O$3,-$K243,0)</f>
        <v>194444</v>
      </c>
      <c r="P243" s="2">
        <f>IF($M243=P$3,-$K243,0)</f>
        <v>0</v>
      </c>
      <c r="Q243" s="2">
        <f>IF($M243=Q$3,-$K243,0)</f>
        <v>0</v>
      </c>
      <c r="R243" s="2">
        <f>IF($M243=R$3,-$K243,0)</f>
        <v>0</v>
      </c>
      <c r="S243" s="2">
        <f>IF($M243=S$3,-$K243,0)</f>
        <v>0</v>
      </c>
      <c r="T243" s="2">
        <f>IF($M243=T$3,-$K243,0)</f>
        <v>0</v>
      </c>
      <c r="U243" s="2">
        <f>IF($M243=U$3,-$K243,0)</f>
        <v>0</v>
      </c>
      <c r="V243" s="2">
        <f>IF($M243=V$3,-$K243,0)</f>
        <v>0</v>
      </c>
      <c r="W243" s="2">
        <f>IF($M243=W$3,-$K243,0)</f>
        <v>0</v>
      </c>
      <c r="X243" s="2">
        <f>IF($M243=X$3,-$K243,0)</f>
        <v>0</v>
      </c>
      <c r="Y243" s="2">
        <f>IF($M243=Y$3,-$K243,0)</f>
        <v>0</v>
      </c>
      <c r="Z243" s="2">
        <f>IF($M243=Z$3,-$K243,0)</f>
        <v>0</v>
      </c>
      <c r="AA243" s="2">
        <f>IF($M243=AA$3,-$K243,0)</f>
        <v>0</v>
      </c>
      <c r="AB243" s="2">
        <f>IF($M243=AB$3,-$K243,0)</f>
        <v>0</v>
      </c>
      <c r="AC243" s="21">
        <f>IF($M243=AC$3,-$K243,0)</f>
        <v>0</v>
      </c>
      <c r="AD243" s="20"/>
      <c r="AE243" s="19"/>
      <c r="AF243" s="2"/>
      <c r="AG243" s="2">
        <f>-K243</f>
        <v>194444</v>
      </c>
      <c r="AH243" s="2">
        <f>K243+SUM(O243:AC243)</f>
        <v>0</v>
      </c>
      <c r="AI243" s="2">
        <f>K243+SUM(AF243:AG243)</f>
        <v>0</v>
      </c>
    </row>
    <row r="244" spans="1:35" x14ac:dyDescent="0.2">
      <c r="A244" s="69" t="s">
        <v>61</v>
      </c>
      <c r="B244" s="1" t="s">
        <v>651</v>
      </c>
      <c r="H244" s="1" t="s">
        <v>137</v>
      </c>
      <c r="I244" s="1" t="s">
        <v>652</v>
      </c>
      <c r="K244" s="2">
        <v>-1237374</v>
      </c>
      <c r="L244" s="46">
        <v>42025</v>
      </c>
      <c r="M244" s="2" t="s">
        <v>195</v>
      </c>
      <c r="N244" s="2" t="s">
        <v>138</v>
      </c>
      <c r="O244" s="2">
        <f>IF($M244=O$3,-$K244,0)</f>
        <v>0</v>
      </c>
      <c r="P244" s="2">
        <f>IF($M244=P$3,-$K244,0)</f>
        <v>0</v>
      </c>
      <c r="Q244" s="2">
        <f>IF($M244=Q$3,-$K244,0)</f>
        <v>0</v>
      </c>
      <c r="R244" s="2">
        <f>IF($M244=R$3,-$K244,0)</f>
        <v>0</v>
      </c>
      <c r="S244" s="2">
        <f>IF($M244=S$3,-$K244,0)</f>
        <v>0</v>
      </c>
      <c r="T244" s="2">
        <f>IF($M244=T$3,-$K244,0)</f>
        <v>0</v>
      </c>
      <c r="U244" s="2">
        <f>IF($M244=U$3,-$K244,0)</f>
        <v>1237374</v>
      </c>
      <c r="V244" s="2">
        <f>IF($M244=V$3,-$K244,0)</f>
        <v>0</v>
      </c>
      <c r="W244" s="2">
        <f>IF($M244=W$3,-$K244,0)</f>
        <v>0</v>
      </c>
      <c r="X244" s="2">
        <f>IF($M244=X$3,-$K244,0)</f>
        <v>0</v>
      </c>
      <c r="Y244" s="2">
        <f>IF($M244=Y$3,-$K244,0)</f>
        <v>0</v>
      </c>
      <c r="Z244" s="2">
        <f>IF($M244=Z$3,-$K244,0)</f>
        <v>0</v>
      </c>
      <c r="AA244" s="2">
        <f>IF($M244=AA$3,-$K244,0)</f>
        <v>0</v>
      </c>
      <c r="AB244" s="2">
        <f>IF($M244=AB$3,-$K244,0)</f>
        <v>0</v>
      </c>
      <c r="AC244" s="21">
        <f>IF($M244=AC$3,-$K244,0)</f>
        <v>0</v>
      </c>
      <c r="AD244" s="20"/>
      <c r="AE244" s="19"/>
      <c r="AF244" s="2"/>
      <c r="AG244" s="2">
        <f>-$K244</f>
        <v>1237374</v>
      </c>
      <c r="AH244" s="2">
        <f>K244+SUM(O244:AC244)</f>
        <v>0</v>
      </c>
      <c r="AI244" s="2">
        <f>K244+SUM(AF244:AG244)</f>
        <v>0</v>
      </c>
    </row>
    <row r="245" spans="1:35" x14ac:dyDescent="0.2">
      <c r="A245" s="69" t="s">
        <v>61</v>
      </c>
      <c r="B245" s="1" t="s">
        <v>651</v>
      </c>
      <c r="H245" s="1" t="s">
        <v>590</v>
      </c>
      <c r="I245" s="1" t="s">
        <v>650</v>
      </c>
      <c r="K245" s="2">
        <v>-3905496</v>
      </c>
      <c r="L245" s="46">
        <v>42025</v>
      </c>
      <c r="M245" s="2" t="s">
        <v>138</v>
      </c>
      <c r="N245" s="2" t="s">
        <v>138</v>
      </c>
      <c r="O245" s="2">
        <f>IF($M245=O$3,-$K245,0)</f>
        <v>0</v>
      </c>
      <c r="P245" s="2">
        <f>IF($M245=P$3,-$K245,0)</f>
        <v>0</v>
      </c>
      <c r="Q245" s="2">
        <f>IF($M245=Q$3,-$K245,0)</f>
        <v>3905496</v>
      </c>
      <c r="R245" s="2">
        <f>IF($M245=R$3,-$K245,0)</f>
        <v>0</v>
      </c>
      <c r="S245" s="2">
        <f>IF($M245=S$3,-$K245,0)</f>
        <v>0</v>
      </c>
      <c r="T245" s="2">
        <f>IF($M245=T$3,-$K245,0)</f>
        <v>0</v>
      </c>
      <c r="U245" s="2">
        <f>IF($M245=U$3,-$K245,0)</f>
        <v>0</v>
      </c>
      <c r="V245" s="2">
        <f>IF($M245=V$3,-$K245,0)</f>
        <v>0</v>
      </c>
      <c r="W245" s="2">
        <f>IF($M245=W$3,-$K245,0)</f>
        <v>0</v>
      </c>
      <c r="X245" s="2">
        <f>IF($M245=X$3,-$K245,0)</f>
        <v>0</v>
      </c>
      <c r="Y245" s="2">
        <f>IF($M245=Y$3,-$K245,0)</f>
        <v>0</v>
      </c>
      <c r="Z245" s="2">
        <f>IF($M245=Z$3,-$K245,0)</f>
        <v>0</v>
      </c>
      <c r="AA245" s="2">
        <f>IF($M245=AA$3,-$K245,0)</f>
        <v>0</v>
      </c>
      <c r="AB245" s="2">
        <f>IF($M245=AB$3,-$K245,0)</f>
        <v>0</v>
      </c>
      <c r="AC245" s="21">
        <f>IF($M245=AC$3,-$K245,0)</f>
        <v>0</v>
      </c>
      <c r="AD245" s="20"/>
      <c r="AE245" s="19"/>
      <c r="AF245" s="4">
        <f>-$K245</f>
        <v>3905496</v>
      </c>
      <c r="AG245" s="2"/>
      <c r="AH245" s="2">
        <f>K245+SUM(O245:AC245)</f>
        <v>0</v>
      </c>
      <c r="AI245" s="2">
        <f>K245+SUM(AF245:AG245)</f>
        <v>0</v>
      </c>
    </row>
    <row r="246" spans="1:35" x14ac:dyDescent="0.2">
      <c r="A246" s="1" t="s">
        <v>3</v>
      </c>
      <c r="B246" s="68">
        <v>45807</v>
      </c>
      <c r="H246" s="1" t="s">
        <v>135</v>
      </c>
      <c r="I246" s="1" t="s">
        <v>649</v>
      </c>
      <c r="K246" s="2">
        <v>0</v>
      </c>
      <c r="L246" s="46">
        <v>52025</v>
      </c>
      <c r="M246" s="42" t="str">
        <f>LEFT(I246,(LEN(LEFT(I246,FIND(";",I246)))-8))</f>
        <v>VNOther</v>
      </c>
      <c r="N246" s="42" t="s">
        <v>138</v>
      </c>
      <c r="O246" s="15">
        <f>-$K246*IFERROR(INDEX('[1]salary allocation'!$E$6:$J$22,MATCH($H246,'[1]salary allocation'!$D$6:$D$22,0),MATCH(O$3,'[1]salary allocation'!$E$3:$J$3,0)),0)</f>
        <v>0</v>
      </c>
      <c r="P246" s="15">
        <f>-$K246*IFERROR(INDEX('[1]salary allocation'!$E$6:$J$22,MATCH($H246,'[1]salary allocation'!$D$6:$D$22,0),MATCH(P$3,'[1]salary allocation'!$E$3:$J$3,0)),0)</f>
        <v>0</v>
      </c>
      <c r="Q246" s="15">
        <f>-$K246*IFERROR(INDEX('[1]salary allocation'!$E$6:$J$22,MATCH($H246,'[1]salary allocation'!$D$6:$D$22,0),MATCH(Q$3,'[1]salary allocation'!$E$3:$J$3,0)),0)</f>
        <v>0</v>
      </c>
      <c r="R246" s="15">
        <f>-$K246*IFERROR(INDEX('[1]salary allocation'!$E$6:$J$22,MATCH($H246,'[1]salary allocation'!$D$6:$D$22,0),MATCH(R$3,'[1]salary allocation'!$E$3:$J$3,0)),0)</f>
        <v>0</v>
      </c>
      <c r="S246" s="15">
        <f>-$K246*IFERROR(INDEX('[1]salary allocation'!$E$6:$J$22,MATCH($H246,'[1]salary allocation'!$D$6:$D$22,0),MATCH(S$3,'[1]salary allocation'!$E$3:$J$3,0)),0)</f>
        <v>0</v>
      </c>
      <c r="T246" s="15">
        <f>-$K246*IFERROR(INDEX('[1]salary allocation'!$E$6:$J$22,MATCH($H246,'[1]salary allocation'!$D$6:$D$22,0),MATCH(T$3,'[1]salary allocation'!$E$3:$J$3,0)),0)</f>
        <v>0</v>
      </c>
      <c r="U246" s="15">
        <f>-$K246*IFERROR(INDEX('[1]salary allocation'!$E$6:$J$22,MATCH($H246,'[1]salary allocation'!$D$6:$D$22,0),MATCH(U$3,'[1]salary allocation'!$E$3:$J$3,0)),0)</f>
        <v>0</v>
      </c>
      <c r="V246" s="15">
        <f>-$K246*IFERROR(INDEX('[1]salary allocation'!$E$6:$J$22,MATCH($H246,'[1]salary allocation'!$D$6:$D$22,0),MATCH(V$3,'[1]salary allocation'!$E$3:$J$3,0)),0)</f>
        <v>0</v>
      </c>
      <c r="W246" s="15">
        <f>-$K246*IFERROR(INDEX('[1]salary allocation'!$E$6:$J$22,MATCH($H246,'[1]salary allocation'!$D$6:$D$22,0),MATCH(W$3,'[1]salary allocation'!$E$3:$J$3,0)),0)</f>
        <v>0</v>
      </c>
      <c r="X246" s="15">
        <f>-$K246*IFERROR(INDEX('[1]salary allocation'!$E$6:$J$22,MATCH($H246,'[1]salary allocation'!$D$6:$D$22,0),MATCH(X$3,'[1]salary allocation'!$E$3:$J$3,0)),0)</f>
        <v>0</v>
      </c>
      <c r="Y246" s="15">
        <f>-$K246*IFERROR(INDEX('[1]salary allocation'!$E$6:$J$22,MATCH($H246,'[1]salary allocation'!$D$6:$D$22,0),MATCH(Y$3,'[1]salary allocation'!$E$3:$J$3,0)),0)</f>
        <v>0</v>
      </c>
      <c r="Z246" s="15">
        <f>-$K246*IFERROR(INDEX('[1]salary allocation'!$E$6:$J$22,MATCH($H246,'[1]salary allocation'!$D$6:$D$22,0),MATCH(Z$3,'[1]salary allocation'!$E$3:$J$3,0)),0)</f>
        <v>0</v>
      </c>
      <c r="AA246" s="15">
        <f>-$K246*IFERROR(INDEX('[1]salary allocation'!$E$6:$J$22,MATCH($H246,'[1]salary allocation'!$D$6:$D$22,0),MATCH(AA$3,'[1]salary allocation'!$E$3:$J$3,0)),0)</f>
        <v>0</v>
      </c>
      <c r="AB246" s="15">
        <f>-$K246*IFERROR(INDEX('[1]salary allocation'!$E$6:$J$22,MATCH($H246,'[1]salary allocation'!$D$6:$D$22,0),MATCH(AB$3,'[1]salary allocation'!$E$3:$J$3,0)),0)</f>
        <v>0</v>
      </c>
      <c r="AC246" s="18">
        <f>-$K246*IFERROR(INDEX('[1]salary allocation'!$E$6:$J$22,MATCH($H246,'[1]salary allocation'!$D$6:$D$22,0),MATCH(AC$3,'[1]salary allocation'!$E$3:$J$3,0)),0)</f>
        <v>0</v>
      </c>
      <c r="AD246" s="17"/>
      <c r="AE246" s="16"/>
      <c r="AF246" s="15">
        <f>-$K246</f>
        <v>0</v>
      </c>
      <c r="AG246" s="15"/>
      <c r="AH246" s="2">
        <f>K246+SUM(O246:AC246)</f>
        <v>0</v>
      </c>
      <c r="AI246" s="2">
        <f>K246+SUM(AF246:AG246)</f>
        <v>0</v>
      </c>
    </row>
    <row r="247" spans="1:35" x14ac:dyDescent="0.2">
      <c r="A247" s="1" t="s">
        <v>3</v>
      </c>
      <c r="B247" s="68">
        <v>45807</v>
      </c>
      <c r="H247" s="1" t="s">
        <v>57</v>
      </c>
      <c r="I247" s="1" t="s">
        <v>648</v>
      </c>
      <c r="K247" s="2">
        <v>-15255640</v>
      </c>
      <c r="L247" s="46">
        <v>52025</v>
      </c>
      <c r="M247" s="42" t="str">
        <f>LEFT(I247,(LEN(LEFT(I247,FIND(";",I247)))-8))</f>
        <v>VNOther</v>
      </c>
      <c r="N247" s="42" t="s">
        <v>138</v>
      </c>
      <c r="O247" s="15">
        <f>-$K247*IFERROR(INDEX('[1]salary allocation'!$E$6:$J$22,MATCH($H247,'[1]salary allocation'!$D$6:$D$22,0),MATCH(O$3,'[1]salary allocation'!$E$3:$J$3,0)),0)</f>
        <v>0</v>
      </c>
      <c r="P247" s="15">
        <f>-$K247*IFERROR(INDEX('[1]salary allocation'!$E$6:$J$22,MATCH($H247,'[1]salary allocation'!$D$6:$D$22,0),MATCH(P$3,'[1]salary allocation'!$E$3:$J$3,0)),0)</f>
        <v>7627820</v>
      </c>
      <c r="Q247" s="15">
        <f>-$K247*IFERROR(INDEX('[1]salary allocation'!$E$6:$J$22,MATCH($H247,'[1]salary allocation'!$D$6:$D$22,0),MATCH(Q$3,'[1]salary allocation'!$E$3:$J$3,0)),0)</f>
        <v>0</v>
      </c>
      <c r="R247" s="15">
        <f>-$K247*IFERROR(INDEX('[1]salary allocation'!$E$6:$J$22,MATCH($H247,'[1]salary allocation'!$D$6:$D$22,0),MATCH(R$3,'[1]salary allocation'!$E$3:$J$3,0)),0)</f>
        <v>0</v>
      </c>
      <c r="S247" s="15">
        <f>-$K247*IFERROR(INDEX('[1]salary allocation'!$E$6:$J$22,MATCH($H247,'[1]salary allocation'!$D$6:$D$22,0),MATCH(S$3,'[1]salary allocation'!$E$3:$J$3,0)),0)</f>
        <v>1525564</v>
      </c>
      <c r="T247" s="15">
        <f>-$K247*IFERROR(INDEX('[1]salary allocation'!$E$6:$J$22,MATCH($H247,'[1]salary allocation'!$D$6:$D$22,0),MATCH(T$3,'[1]salary allocation'!$E$3:$J$3,0)),0)</f>
        <v>1525564</v>
      </c>
      <c r="U247" s="15">
        <f>-$K247*IFERROR(INDEX('[1]salary allocation'!$E$6:$J$22,MATCH($H247,'[1]salary allocation'!$D$6:$D$22,0),MATCH(U$3,'[1]salary allocation'!$E$3:$J$3,0)),0)</f>
        <v>1525564</v>
      </c>
      <c r="V247" s="15">
        <f>-$K247*IFERROR(INDEX('[1]salary allocation'!$E$6:$J$22,MATCH($H247,'[1]salary allocation'!$D$6:$D$22,0),MATCH(V$3,'[1]salary allocation'!$E$3:$J$3,0)),0)</f>
        <v>0</v>
      </c>
      <c r="W247" s="15">
        <f>-$K247*IFERROR(INDEX('[1]salary allocation'!$E$6:$J$22,MATCH($H247,'[1]salary allocation'!$D$6:$D$22,0),MATCH(W$3,'[1]salary allocation'!$E$3:$J$3,0)),0)</f>
        <v>3051128</v>
      </c>
      <c r="X247" s="15">
        <f>-$K247*IFERROR(INDEX('[1]salary allocation'!$E$6:$J$22,MATCH($H247,'[1]salary allocation'!$D$6:$D$22,0),MATCH(X$3,'[1]salary allocation'!$E$3:$J$3,0)),0)</f>
        <v>0</v>
      </c>
      <c r="Y247" s="15">
        <f>-$K247*IFERROR(INDEX('[1]salary allocation'!$E$6:$J$22,MATCH($H247,'[1]salary allocation'!$D$6:$D$22,0),MATCH(Y$3,'[1]salary allocation'!$E$3:$J$3,0)),0)</f>
        <v>0</v>
      </c>
      <c r="Z247" s="15">
        <f>-$K247*IFERROR(INDEX('[1]salary allocation'!$E$6:$J$22,MATCH($H247,'[1]salary allocation'!$D$6:$D$22,0),MATCH(Z$3,'[1]salary allocation'!$E$3:$J$3,0)),0)</f>
        <v>0</v>
      </c>
      <c r="AA247" s="15">
        <f>-$K247*IFERROR(INDEX('[1]salary allocation'!$E$6:$J$22,MATCH($H247,'[1]salary allocation'!$D$6:$D$22,0),MATCH(AA$3,'[1]salary allocation'!$E$3:$J$3,0)),0)</f>
        <v>0</v>
      </c>
      <c r="AB247" s="15">
        <f>-$K247*IFERROR(INDEX('[1]salary allocation'!$E$6:$J$22,MATCH($H247,'[1]salary allocation'!$D$6:$D$22,0),MATCH(AB$3,'[1]salary allocation'!$E$3:$J$3,0)),0)</f>
        <v>0</v>
      </c>
      <c r="AC247" s="18">
        <f>-$K247*IFERROR(INDEX('[1]salary allocation'!$E$6:$J$22,MATCH($H247,'[1]salary allocation'!$D$6:$D$22,0),MATCH(AC$3,'[1]salary allocation'!$E$3:$J$3,0)),0)</f>
        <v>0</v>
      </c>
      <c r="AD247" s="17"/>
      <c r="AE247" s="16"/>
      <c r="AF247" s="15">
        <f>-$K247</f>
        <v>15255640</v>
      </c>
      <c r="AG247" s="15"/>
      <c r="AH247" s="2">
        <f>K247+SUM(O247:AC247)</f>
        <v>0</v>
      </c>
      <c r="AI247" s="2">
        <f>K247+SUM(AF247:AG247)</f>
        <v>0</v>
      </c>
    </row>
    <row r="248" spans="1:35" x14ac:dyDescent="0.2">
      <c r="A248" s="1" t="s">
        <v>3</v>
      </c>
      <c r="B248" s="68">
        <v>45807</v>
      </c>
      <c r="H248" s="1" t="s">
        <v>55</v>
      </c>
      <c r="I248" s="1" t="s">
        <v>647</v>
      </c>
      <c r="K248" s="2">
        <v>-15395850</v>
      </c>
      <c r="L248" s="46">
        <v>52025</v>
      </c>
      <c r="M248" s="42" t="str">
        <f>LEFT(I248,(LEN(LEFT(I248,FIND(";",I248)))-8))</f>
        <v>VNHBC</v>
      </c>
      <c r="N248" s="42" t="s">
        <v>138</v>
      </c>
      <c r="O248" s="15">
        <f>-$K248*IFERROR(INDEX('[1]salary allocation'!$E$6:$J$22,MATCH($H248,'[1]salary allocation'!$D$6:$D$22,0),MATCH(O$3,'[1]salary allocation'!$E$3:$J$3,0)),0)</f>
        <v>0</v>
      </c>
      <c r="P248" s="15">
        <f>-$K248*IFERROR(INDEX('[1]salary allocation'!$E$6:$J$22,MATCH($H248,'[1]salary allocation'!$D$6:$D$22,0),MATCH(P$3,'[1]salary allocation'!$E$3:$J$3,0)),0)</f>
        <v>0</v>
      </c>
      <c r="Q248" s="15">
        <f>-$K248*IFERROR(INDEX('[1]salary allocation'!$E$6:$J$22,MATCH($H248,'[1]salary allocation'!$D$6:$D$22,0),MATCH(Q$3,'[1]salary allocation'!$E$3:$J$3,0)),0)</f>
        <v>0</v>
      </c>
      <c r="R248" s="15">
        <f>-$K248*IFERROR(INDEX('[1]salary allocation'!$E$6:$J$22,MATCH($H248,'[1]salary allocation'!$D$6:$D$22,0),MATCH(R$3,'[1]salary allocation'!$E$3:$J$3,0)),0)</f>
        <v>0</v>
      </c>
      <c r="S248" s="15">
        <f>-$K248*IFERROR(INDEX('[1]salary allocation'!$E$6:$J$22,MATCH($H248,'[1]salary allocation'!$D$6:$D$22,0),MATCH(S$3,'[1]salary allocation'!$E$3:$J$3,0)),0)</f>
        <v>3079170</v>
      </c>
      <c r="T248" s="15">
        <f>-$K248*IFERROR(INDEX('[1]salary allocation'!$E$6:$J$22,MATCH($H248,'[1]salary allocation'!$D$6:$D$22,0),MATCH(T$3,'[1]salary allocation'!$E$3:$J$3,0)),0)</f>
        <v>3079170</v>
      </c>
      <c r="U248" s="15">
        <f>-$K248*IFERROR(INDEX('[1]salary allocation'!$E$6:$J$22,MATCH($H248,'[1]salary allocation'!$D$6:$D$22,0),MATCH(U$3,'[1]salary allocation'!$E$3:$J$3,0)),0)</f>
        <v>3079170</v>
      </c>
      <c r="V248" s="15">
        <f>-$K248*IFERROR(INDEX('[1]salary allocation'!$E$6:$J$22,MATCH($H248,'[1]salary allocation'!$D$6:$D$22,0),MATCH(V$3,'[1]salary allocation'!$E$3:$J$3,0)),0)</f>
        <v>0</v>
      </c>
      <c r="W248" s="15">
        <f>-$K248*IFERROR(INDEX('[1]salary allocation'!$E$6:$J$22,MATCH($H248,'[1]salary allocation'!$D$6:$D$22,0),MATCH(W$3,'[1]salary allocation'!$E$3:$J$3,0)),0)</f>
        <v>6158340</v>
      </c>
      <c r="X248" s="15">
        <f>-$K248*IFERROR(INDEX('[1]salary allocation'!$E$6:$J$22,MATCH($H248,'[1]salary allocation'!$D$6:$D$22,0),MATCH(X$3,'[1]salary allocation'!$E$3:$J$3,0)),0)</f>
        <v>0</v>
      </c>
      <c r="Y248" s="15">
        <f>-$K248*IFERROR(INDEX('[1]salary allocation'!$E$6:$J$22,MATCH($H248,'[1]salary allocation'!$D$6:$D$22,0),MATCH(Y$3,'[1]salary allocation'!$E$3:$J$3,0)),0)</f>
        <v>0</v>
      </c>
      <c r="Z248" s="15">
        <f>-$K248*IFERROR(INDEX('[1]salary allocation'!$E$6:$J$22,MATCH($H248,'[1]salary allocation'!$D$6:$D$22,0),MATCH(Z$3,'[1]salary allocation'!$E$3:$J$3,0)),0)</f>
        <v>0</v>
      </c>
      <c r="AA248" s="15">
        <f>-$K248*IFERROR(INDEX('[1]salary allocation'!$E$6:$J$22,MATCH($H248,'[1]salary allocation'!$D$6:$D$22,0),MATCH(AA$3,'[1]salary allocation'!$E$3:$J$3,0)),0)</f>
        <v>0</v>
      </c>
      <c r="AB248" s="15">
        <f>-$K248*IFERROR(INDEX('[1]salary allocation'!$E$6:$J$22,MATCH($H248,'[1]salary allocation'!$D$6:$D$22,0),MATCH(AB$3,'[1]salary allocation'!$E$3:$J$3,0)),0)</f>
        <v>0</v>
      </c>
      <c r="AC248" s="18">
        <f>-$K248*IFERROR(INDEX('[1]salary allocation'!$E$6:$J$22,MATCH($H248,'[1]salary allocation'!$D$6:$D$22,0),MATCH(AC$3,'[1]salary allocation'!$E$3:$J$3,0)),0)</f>
        <v>0</v>
      </c>
      <c r="AD248" s="17"/>
      <c r="AE248" s="16"/>
      <c r="AF248" s="15"/>
      <c r="AG248" s="15">
        <f>-$K248</f>
        <v>15395850</v>
      </c>
      <c r="AH248" s="2">
        <f>K248+SUM(O248:AC248)</f>
        <v>0</v>
      </c>
      <c r="AI248" s="2">
        <f>K248+SUM(AF248:AG248)</f>
        <v>0</v>
      </c>
    </row>
    <row r="249" spans="1:35" x14ac:dyDescent="0.2">
      <c r="A249" s="1" t="s">
        <v>3</v>
      </c>
      <c r="B249" s="68">
        <v>45807</v>
      </c>
      <c r="H249" s="1" t="s">
        <v>53</v>
      </c>
      <c r="I249" s="1" t="s">
        <v>646</v>
      </c>
      <c r="K249" s="2">
        <v>-15135390</v>
      </c>
      <c r="L249" s="46">
        <v>52025</v>
      </c>
      <c r="M249" s="42" t="str">
        <f>LEFT(I249,(LEN(LEFT(I249,FIND(";",I249)))-8))</f>
        <v>VNOther</v>
      </c>
      <c r="N249" s="42" t="s">
        <v>138</v>
      </c>
      <c r="O249" s="15">
        <f>-$K249*IFERROR(INDEX('[1]salary allocation'!$E$6:$J$22,MATCH($H249,'[1]salary allocation'!$D$6:$D$22,0),MATCH(O$3,'[1]salary allocation'!$E$3:$J$3,0)),0)</f>
        <v>0</v>
      </c>
      <c r="P249" s="15">
        <f>-$K249*IFERROR(INDEX('[1]salary allocation'!$E$6:$J$22,MATCH($H249,'[1]salary allocation'!$D$6:$D$22,0),MATCH(P$3,'[1]salary allocation'!$E$3:$J$3,0)),0)</f>
        <v>2270308.5</v>
      </c>
      <c r="Q249" s="15">
        <f>-$K249*IFERROR(INDEX('[1]salary allocation'!$E$6:$J$22,MATCH($H249,'[1]salary allocation'!$D$6:$D$22,0),MATCH(Q$3,'[1]salary allocation'!$E$3:$J$3,0)),0)</f>
        <v>0</v>
      </c>
      <c r="R249" s="15">
        <f>-$K249*IFERROR(INDEX('[1]salary allocation'!$E$6:$J$22,MATCH($H249,'[1]salary allocation'!$D$6:$D$22,0),MATCH(R$3,'[1]salary allocation'!$E$3:$J$3,0)),0)</f>
        <v>0</v>
      </c>
      <c r="S249" s="15">
        <f>-$K249*IFERROR(INDEX('[1]salary allocation'!$E$6:$J$22,MATCH($H249,'[1]salary allocation'!$D$6:$D$22,0),MATCH(S$3,'[1]salary allocation'!$E$3:$J$3,0)),0)</f>
        <v>2573016.2999999998</v>
      </c>
      <c r="T249" s="15">
        <f>-$K249*IFERROR(INDEX('[1]salary allocation'!$E$6:$J$22,MATCH($H249,'[1]salary allocation'!$D$6:$D$22,0),MATCH(T$3,'[1]salary allocation'!$E$3:$J$3,0)),0)</f>
        <v>2573016.2999999998</v>
      </c>
      <c r="U249" s="15">
        <f>-$K249*IFERROR(INDEX('[1]salary allocation'!$E$6:$J$22,MATCH($H249,'[1]salary allocation'!$D$6:$D$22,0),MATCH(U$3,'[1]salary allocation'!$E$3:$J$3,0)),0)</f>
        <v>2573016.2999999998</v>
      </c>
      <c r="V249" s="15">
        <f>-$K249*IFERROR(INDEX('[1]salary allocation'!$E$6:$J$22,MATCH($H249,'[1]salary allocation'!$D$6:$D$22,0),MATCH(V$3,'[1]salary allocation'!$E$3:$J$3,0)),0)</f>
        <v>0</v>
      </c>
      <c r="W249" s="15">
        <f>-$K249*IFERROR(INDEX('[1]salary allocation'!$E$6:$J$22,MATCH($H249,'[1]salary allocation'!$D$6:$D$22,0),MATCH(W$3,'[1]salary allocation'!$E$3:$J$3,0)),0)</f>
        <v>5146032.5999999996</v>
      </c>
      <c r="X249" s="15">
        <f>-$K249*IFERROR(INDEX('[1]salary allocation'!$E$6:$J$22,MATCH($H249,'[1]salary allocation'!$D$6:$D$22,0),MATCH(X$3,'[1]salary allocation'!$E$3:$J$3,0)),0)</f>
        <v>0</v>
      </c>
      <c r="Y249" s="15">
        <f>-$K249*IFERROR(INDEX('[1]salary allocation'!$E$6:$J$22,MATCH($H249,'[1]salary allocation'!$D$6:$D$22,0),MATCH(Y$3,'[1]salary allocation'!$E$3:$J$3,0)),0)</f>
        <v>0</v>
      </c>
      <c r="Z249" s="15">
        <f>-$K249*IFERROR(INDEX('[1]salary allocation'!$E$6:$J$22,MATCH($H249,'[1]salary allocation'!$D$6:$D$22,0),MATCH(Z$3,'[1]salary allocation'!$E$3:$J$3,0)),0)</f>
        <v>0</v>
      </c>
      <c r="AA249" s="15">
        <f>-$K249*IFERROR(INDEX('[1]salary allocation'!$E$6:$J$22,MATCH($H249,'[1]salary allocation'!$D$6:$D$22,0),MATCH(AA$3,'[1]salary allocation'!$E$3:$J$3,0)),0)</f>
        <v>0</v>
      </c>
      <c r="AB249" s="15">
        <f>-$K249*IFERROR(INDEX('[1]salary allocation'!$E$6:$J$22,MATCH($H249,'[1]salary allocation'!$D$6:$D$22,0),MATCH(AB$3,'[1]salary allocation'!$E$3:$J$3,0)),0)</f>
        <v>0</v>
      </c>
      <c r="AC249" s="18">
        <f>-$K249*IFERROR(INDEX('[1]salary allocation'!$E$6:$J$22,MATCH($H249,'[1]salary allocation'!$D$6:$D$22,0),MATCH(AC$3,'[1]salary allocation'!$E$3:$J$3,0)),0)</f>
        <v>0</v>
      </c>
      <c r="AD249" s="17"/>
      <c r="AE249" s="16"/>
      <c r="AF249" s="15">
        <f>-$K249</f>
        <v>15135390</v>
      </c>
      <c r="AG249" s="15"/>
      <c r="AH249" s="2">
        <f>K249+SUM(O249:AC249)</f>
        <v>0</v>
      </c>
      <c r="AI249" s="2">
        <f>K249+SUM(AF249:AG249)</f>
        <v>0</v>
      </c>
    </row>
    <row r="250" spans="1:35" x14ac:dyDescent="0.2">
      <c r="A250" s="1" t="s">
        <v>3</v>
      </c>
      <c r="B250" s="68">
        <v>45807</v>
      </c>
      <c r="H250" s="1" t="s">
        <v>51</v>
      </c>
      <c r="I250" s="1" t="s">
        <v>645</v>
      </c>
      <c r="K250" s="2">
        <v>-13125207</v>
      </c>
      <c r="L250" s="46">
        <v>52025</v>
      </c>
      <c r="M250" s="42" t="str">
        <f>LEFT(I250,(LEN(LEFT(I250,FIND(";",I250)))-8))</f>
        <v>VNOther</v>
      </c>
      <c r="N250" s="42" t="s">
        <v>138</v>
      </c>
      <c r="O250" s="15">
        <f>-$K250*IFERROR(INDEX('[1]salary allocation'!$E$6:$J$22,MATCH($H250,'[1]salary allocation'!$D$6:$D$22,0),MATCH(O$3,'[1]salary allocation'!$E$3:$J$3,0)),0)</f>
        <v>0</v>
      </c>
      <c r="P250" s="15">
        <f>-$K250*IFERROR(INDEX('[1]salary allocation'!$E$6:$J$22,MATCH($H250,'[1]salary allocation'!$D$6:$D$22,0),MATCH(P$3,'[1]salary allocation'!$E$3:$J$3,0)),0)</f>
        <v>6562603.5</v>
      </c>
      <c r="Q250" s="15">
        <f>-$K250*IFERROR(INDEX('[1]salary allocation'!$E$6:$J$22,MATCH($H250,'[1]salary allocation'!$D$6:$D$22,0),MATCH(Q$3,'[1]salary allocation'!$E$3:$J$3,0)),0)</f>
        <v>0</v>
      </c>
      <c r="R250" s="15">
        <f>-$K250*IFERROR(INDEX('[1]salary allocation'!$E$6:$J$22,MATCH($H250,'[1]salary allocation'!$D$6:$D$22,0),MATCH(R$3,'[1]salary allocation'!$E$3:$J$3,0)),0)</f>
        <v>0</v>
      </c>
      <c r="S250" s="15">
        <f>-$K250*IFERROR(INDEX('[1]salary allocation'!$E$6:$J$22,MATCH($H250,'[1]salary allocation'!$D$6:$D$22,0),MATCH(S$3,'[1]salary allocation'!$E$3:$J$3,0)),0)</f>
        <v>1312520.7000000002</v>
      </c>
      <c r="T250" s="15">
        <f>-$K250*IFERROR(INDEX('[1]salary allocation'!$E$6:$J$22,MATCH($H250,'[1]salary allocation'!$D$6:$D$22,0),MATCH(T$3,'[1]salary allocation'!$E$3:$J$3,0)),0)</f>
        <v>1312520.7000000002</v>
      </c>
      <c r="U250" s="15">
        <f>-$K250*IFERROR(INDEX('[1]salary allocation'!$E$6:$J$22,MATCH($H250,'[1]salary allocation'!$D$6:$D$22,0),MATCH(U$3,'[1]salary allocation'!$E$3:$J$3,0)),0)</f>
        <v>1312520.7000000002</v>
      </c>
      <c r="V250" s="15">
        <f>-$K250*IFERROR(INDEX('[1]salary allocation'!$E$6:$J$22,MATCH($H250,'[1]salary allocation'!$D$6:$D$22,0),MATCH(V$3,'[1]salary allocation'!$E$3:$J$3,0)),0)</f>
        <v>0</v>
      </c>
      <c r="W250" s="15">
        <f>-$K250*IFERROR(INDEX('[1]salary allocation'!$E$6:$J$22,MATCH($H250,'[1]salary allocation'!$D$6:$D$22,0),MATCH(W$3,'[1]salary allocation'!$E$3:$J$3,0)),0)</f>
        <v>2625041.4000000004</v>
      </c>
      <c r="X250" s="15">
        <f>-$K250*IFERROR(INDEX('[1]salary allocation'!$E$6:$J$22,MATCH($H250,'[1]salary allocation'!$D$6:$D$22,0),MATCH(X$3,'[1]salary allocation'!$E$3:$J$3,0)),0)</f>
        <v>0</v>
      </c>
      <c r="Y250" s="15">
        <f>-$K250*IFERROR(INDEX('[1]salary allocation'!$E$6:$J$22,MATCH($H250,'[1]salary allocation'!$D$6:$D$22,0),MATCH(Y$3,'[1]salary allocation'!$E$3:$J$3,0)),0)</f>
        <v>0</v>
      </c>
      <c r="Z250" s="15">
        <f>-$K250*IFERROR(INDEX('[1]salary allocation'!$E$6:$J$22,MATCH($H250,'[1]salary allocation'!$D$6:$D$22,0),MATCH(Z$3,'[1]salary allocation'!$E$3:$J$3,0)),0)</f>
        <v>0</v>
      </c>
      <c r="AA250" s="15">
        <f>-$K250*IFERROR(INDEX('[1]salary allocation'!$E$6:$J$22,MATCH($H250,'[1]salary allocation'!$D$6:$D$22,0),MATCH(AA$3,'[1]salary allocation'!$E$3:$J$3,0)),0)</f>
        <v>0</v>
      </c>
      <c r="AB250" s="15">
        <f>-$K250*IFERROR(INDEX('[1]salary allocation'!$E$6:$J$22,MATCH($H250,'[1]salary allocation'!$D$6:$D$22,0),MATCH(AB$3,'[1]salary allocation'!$E$3:$J$3,0)),0)</f>
        <v>0</v>
      </c>
      <c r="AC250" s="18">
        <f>-$K250*IFERROR(INDEX('[1]salary allocation'!$E$6:$J$22,MATCH($H250,'[1]salary allocation'!$D$6:$D$22,0),MATCH(AC$3,'[1]salary allocation'!$E$3:$J$3,0)),0)</f>
        <v>0</v>
      </c>
      <c r="AD250" s="17"/>
      <c r="AE250" s="16"/>
      <c r="AF250" s="15">
        <f>-$K250</f>
        <v>13125207</v>
      </c>
      <c r="AG250" s="15"/>
      <c r="AH250" s="2">
        <f>K250+SUM(O250:AC250)</f>
        <v>0</v>
      </c>
      <c r="AI250" s="2">
        <f>K250+SUM(AF250:AG250)</f>
        <v>0</v>
      </c>
    </row>
    <row r="251" spans="1:35" x14ac:dyDescent="0.2">
      <c r="A251" s="1" t="s">
        <v>3</v>
      </c>
      <c r="B251" s="68">
        <v>45807</v>
      </c>
      <c r="H251" s="1" t="s">
        <v>49</v>
      </c>
      <c r="I251" s="1" t="s">
        <v>644</v>
      </c>
      <c r="K251" s="2">
        <v>-8342490</v>
      </c>
      <c r="L251" s="46">
        <v>52025</v>
      </c>
      <c r="M251" s="42" t="str">
        <f>LEFT(I251,(LEN(LEFT(I251,FIND(";",I251)))-8))</f>
        <v>VNMOET</v>
      </c>
      <c r="N251" s="42" t="s">
        <v>138</v>
      </c>
      <c r="O251" s="15">
        <f>-$K251*IFERROR(INDEX('[1]salary allocation'!$E$6:$J$22,MATCH($H251,'[1]salary allocation'!$D$6:$D$22,0),MATCH(O$3,'[1]salary allocation'!$E$3:$J$3,0)),0)</f>
        <v>0</v>
      </c>
      <c r="P251" s="15">
        <f>-$K251*IFERROR(INDEX('[1]salary allocation'!$E$6:$J$22,MATCH($H251,'[1]salary allocation'!$D$6:$D$22,0),MATCH(P$3,'[1]salary allocation'!$E$3:$J$3,0)),0)</f>
        <v>0</v>
      </c>
      <c r="Q251" s="15">
        <f>-$K251*IFERROR(INDEX('[1]salary allocation'!$E$6:$J$22,MATCH($H251,'[1]salary allocation'!$D$6:$D$22,0),MATCH(Q$3,'[1]salary allocation'!$E$3:$J$3,0)),0)</f>
        <v>0</v>
      </c>
      <c r="R251" s="15">
        <f>-$K251*IFERROR(INDEX('[1]salary allocation'!$E$6:$J$22,MATCH($H251,'[1]salary allocation'!$D$6:$D$22,0),MATCH(R$3,'[1]salary allocation'!$E$3:$J$3,0)),0)</f>
        <v>0</v>
      </c>
      <c r="S251" s="15">
        <f>-$K251*IFERROR(INDEX('[1]salary allocation'!$E$6:$J$22,MATCH($H251,'[1]salary allocation'!$D$6:$D$22,0),MATCH(S$3,'[1]salary allocation'!$E$3:$J$3,0)),0)</f>
        <v>1668498</v>
      </c>
      <c r="T251" s="15">
        <f>-$K251*IFERROR(INDEX('[1]salary allocation'!$E$6:$J$22,MATCH($H251,'[1]salary allocation'!$D$6:$D$22,0),MATCH(T$3,'[1]salary allocation'!$E$3:$J$3,0)),0)</f>
        <v>1668498</v>
      </c>
      <c r="U251" s="15">
        <f>-$K251*IFERROR(INDEX('[1]salary allocation'!$E$6:$J$22,MATCH($H251,'[1]salary allocation'!$D$6:$D$22,0),MATCH(U$3,'[1]salary allocation'!$E$3:$J$3,0)),0)</f>
        <v>1668498</v>
      </c>
      <c r="V251" s="15">
        <f>-$K251*IFERROR(INDEX('[1]salary allocation'!$E$6:$J$22,MATCH($H251,'[1]salary allocation'!$D$6:$D$22,0),MATCH(V$3,'[1]salary allocation'!$E$3:$J$3,0)),0)</f>
        <v>0</v>
      </c>
      <c r="W251" s="15">
        <f>-$K251*IFERROR(INDEX('[1]salary allocation'!$E$6:$J$22,MATCH($H251,'[1]salary allocation'!$D$6:$D$22,0),MATCH(W$3,'[1]salary allocation'!$E$3:$J$3,0)),0)</f>
        <v>3336996</v>
      </c>
      <c r="X251" s="15">
        <f>-$K251*IFERROR(INDEX('[1]salary allocation'!$E$6:$J$22,MATCH($H251,'[1]salary allocation'!$D$6:$D$22,0),MATCH(X$3,'[1]salary allocation'!$E$3:$J$3,0)),0)</f>
        <v>0</v>
      </c>
      <c r="Y251" s="15">
        <f>-$K251*IFERROR(INDEX('[1]salary allocation'!$E$6:$J$22,MATCH($H251,'[1]salary allocation'!$D$6:$D$22,0),MATCH(Y$3,'[1]salary allocation'!$E$3:$J$3,0)),0)</f>
        <v>0</v>
      </c>
      <c r="Z251" s="15">
        <f>-$K251*IFERROR(INDEX('[1]salary allocation'!$E$6:$J$22,MATCH($H251,'[1]salary allocation'!$D$6:$D$22,0),MATCH(Z$3,'[1]salary allocation'!$E$3:$J$3,0)),0)</f>
        <v>0</v>
      </c>
      <c r="AA251" s="15">
        <f>-$K251*IFERROR(INDEX('[1]salary allocation'!$E$6:$J$22,MATCH($H251,'[1]salary allocation'!$D$6:$D$22,0),MATCH(AA$3,'[1]salary allocation'!$E$3:$J$3,0)),0)</f>
        <v>0</v>
      </c>
      <c r="AB251" s="15">
        <f>-$K251*IFERROR(INDEX('[1]salary allocation'!$E$6:$J$22,MATCH($H251,'[1]salary allocation'!$D$6:$D$22,0),MATCH(AB$3,'[1]salary allocation'!$E$3:$J$3,0)),0)</f>
        <v>0</v>
      </c>
      <c r="AC251" s="18">
        <f>-$K251*IFERROR(INDEX('[1]salary allocation'!$E$6:$J$22,MATCH($H251,'[1]salary allocation'!$D$6:$D$22,0),MATCH(AC$3,'[1]salary allocation'!$E$3:$J$3,0)),0)</f>
        <v>0</v>
      </c>
      <c r="AD251" s="17"/>
      <c r="AE251" s="16"/>
      <c r="AF251" s="15"/>
      <c r="AG251" s="15">
        <f>-K251</f>
        <v>8342490</v>
      </c>
      <c r="AH251" s="2">
        <f>K251+SUM(O251:AC251)</f>
        <v>0</v>
      </c>
      <c r="AI251" s="2">
        <f>K251+SUM(AF251:AG251)</f>
        <v>0</v>
      </c>
    </row>
    <row r="252" spans="1:35" x14ac:dyDescent="0.2">
      <c r="A252" s="1" t="s">
        <v>3</v>
      </c>
      <c r="B252" s="68">
        <v>45807</v>
      </c>
      <c r="H252" s="1" t="s">
        <v>47</v>
      </c>
      <c r="I252" s="1" t="s">
        <v>643</v>
      </c>
      <c r="K252" s="2">
        <v>-15239574</v>
      </c>
      <c r="L252" s="46">
        <v>52025</v>
      </c>
      <c r="M252" s="42" t="str">
        <f>LEFT(I252,(LEN(LEFT(I252,FIND(";",I252)))-8))</f>
        <v>VNHBC</v>
      </c>
      <c r="N252" s="42" t="s">
        <v>138</v>
      </c>
      <c r="O252" s="15">
        <f>-$K252*IFERROR(INDEX('[1]salary allocation'!$E$6:$J$22,MATCH($H252,'[1]salary allocation'!$D$6:$D$22,0),MATCH(O$3,'[1]salary allocation'!$E$3:$J$3,0)),0)</f>
        <v>0</v>
      </c>
      <c r="P252" s="15">
        <f>-$K252*IFERROR(INDEX('[1]salary allocation'!$E$6:$J$22,MATCH($H252,'[1]salary allocation'!$D$6:$D$22,0),MATCH(P$3,'[1]salary allocation'!$E$3:$J$3,0)),0)</f>
        <v>0</v>
      </c>
      <c r="Q252" s="15">
        <f>-$K252*IFERROR(INDEX('[1]salary allocation'!$E$6:$J$22,MATCH($H252,'[1]salary allocation'!$D$6:$D$22,0),MATCH(Q$3,'[1]salary allocation'!$E$3:$J$3,0)),0)</f>
        <v>0</v>
      </c>
      <c r="R252" s="15">
        <f>-$K252*IFERROR(INDEX('[1]salary allocation'!$E$6:$J$22,MATCH($H252,'[1]salary allocation'!$D$6:$D$22,0),MATCH(R$3,'[1]salary allocation'!$E$3:$J$3,0)),0)</f>
        <v>0</v>
      </c>
      <c r="S252" s="15">
        <f>-$K252*IFERROR(INDEX('[1]salary allocation'!$E$6:$J$22,MATCH($H252,'[1]salary allocation'!$D$6:$D$22,0),MATCH(S$3,'[1]salary allocation'!$E$3:$J$3,0)),0)</f>
        <v>3047914.8000000003</v>
      </c>
      <c r="T252" s="15">
        <f>-$K252*IFERROR(INDEX('[1]salary allocation'!$E$6:$J$22,MATCH($H252,'[1]salary allocation'!$D$6:$D$22,0),MATCH(T$3,'[1]salary allocation'!$E$3:$J$3,0)),0)</f>
        <v>3047914.8000000003</v>
      </c>
      <c r="U252" s="15">
        <f>-$K252*IFERROR(INDEX('[1]salary allocation'!$E$6:$J$22,MATCH($H252,'[1]salary allocation'!$D$6:$D$22,0),MATCH(U$3,'[1]salary allocation'!$E$3:$J$3,0)),0)</f>
        <v>3047914.8000000003</v>
      </c>
      <c r="V252" s="15">
        <f>-$K252*IFERROR(INDEX('[1]salary allocation'!$E$6:$J$22,MATCH($H252,'[1]salary allocation'!$D$6:$D$22,0),MATCH(V$3,'[1]salary allocation'!$E$3:$J$3,0)),0)</f>
        <v>0</v>
      </c>
      <c r="W252" s="15">
        <f>-$K252*IFERROR(INDEX('[1]salary allocation'!$E$6:$J$22,MATCH($H252,'[1]salary allocation'!$D$6:$D$22,0),MATCH(W$3,'[1]salary allocation'!$E$3:$J$3,0)),0)</f>
        <v>6095829.6000000006</v>
      </c>
      <c r="X252" s="15">
        <f>-$K252*IFERROR(INDEX('[1]salary allocation'!$E$6:$J$22,MATCH($H252,'[1]salary allocation'!$D$6:$D$22,0),MATCH(X$3,'[1]salary allocation'!$E$3:$J$3,0)),0)</f>
        <v>0</v>
      </c>
      <c r="Y252" s="15">
        <f>-$K252*IFERROR(INDEX('[1]salary allocation'!$E$6:$J$22,MATCH($H252,'[1]salary allocation'!$D$6:$D$22,0),MATCH(Y$3,'[1]salary allocation'!$E$3:$J$3,0)),0)</f>
        <v>0</v>
      </c>
      <c r="Z252" s="15">
        <f>-$K252*IFERROR(INDEX('[1]salary allocation'!$E$6:$J$22,MATCH($H252,'[1]salary allocation'!$D$6:$D$22,0),MATCH(Z$3,'[1]salary allocation'!$E$3:$J$3,0)),0)</f>
        <v>0</v>
      </c>
      <c r="AA252" s="15">
        <f>-$K252*IFERROR(INDEX('[1]salary allocation'!$E$6:$J$22,MATCH($H252,'[1]salary allocation'!$D$6:$D$22,0),MATCH(AA$3,'[1]salary allocation'!$E$3:$J$3,0)),0)</f>
        <v>0</v>
      </c>
      <c r="AB252" s="15">
        <f>-$K252*IFERROR(INDEX('[1]salary allocation'!$E$6:$J$22,MATCH($H252,'[1]salary allocation'!$D$6:$D$22,0),MATCH(AB$3,'[1]salary allocation'!$E$3:$J$3,0)),0)</f>
        <v>0</v>
      </c>
      <c r="AC252" s="18">
        <f>-$K252*IFERROR(INDEX('[1]salary allocation'!$E$6:$J$22,MATCH($H252,'[1]salary allocation'!$D$6:$D$22,0),MATCH(AC$3,'[1]salary allocation'!$E$3:$J$3,0)),0)</f>
        <v>0</v>
      </c>
      <c r="AD252" s="17"/>
      <c r="AE252" s="16"/>
      <c r="AF252" s="15">
        <f>-$K252</f>
        <v>15239574</v>
      </c>
      <c r="AG252" s="15"/>
      <c r="AH252" s="2">
        <f>K252+SUM(O252:AC252)</f>
        <v>0</v>
      </c>
      <c r="AI252" s="2">
        <f>K252+SUM(AF252:AG252)</f>
        <v>0</v>
      </c>
    </row>
    <row r="253" spans="1:35" x14ac:dyDescent="0.2">
      <c r="A253" s="1" t="s">
        <v>3</v>
      </c>
      <c r="B253" s="68">
        <v>45807</v>
      </c>
      <c r="H253" s="1" t="s">
        <v>173</v>
      </c>
      <c r="I253" s="1" t="s">
        <v>642</v>
      </c>
      <c r="K253" s="2">
        <v>0</v>
      </c>
      <c r="L253" s="46">
        <v>52025</v>
      </c>
      <c r="M253" s="42" t="str">
        <f>LEFT(I253,(LEN(LEFT(I253,FIND(";",I253)))-8))</f>
        <v>VNELC</v>
      </c>
      <c r="N253" s="42" t="s">
        <v>138</v>
      </c>
      <c r="O253" s="15">
        <f>-$K253*IFERROR(INDEX('[1]salary allocation'!$E$6:$J$22,MATCH($H253,'[1]salary allocation'!$D$6:$D$22,0),MATCH(O$3,'[1]salary allocation'!$E$3:$J$3,0)),0)</f>
        <v>0</v>
      </c>
      <c r="P253" s="15">
        <f>-$K253*IFERROR(INDEX('[1]salary allocation'!$E$6:$J$22,MATCH($H253,'[1]salary allocation'!$D$6:$D$22,0),MATCH(P$3,'[1]salary allocation'!$E$3:$J$3,0)),0)</f>
        <v>0</v>
      </c>
      <c r="Q253" s="15">
        <f>-$K253*IFERROR(INDEX('[1]salary allocation'!$E$6:$J$22,MATCH($H253,'[1]salary allocation'!$D$6:$D$22,0),MATCH(Q$3,'[1]salary allocation'!$E$3:$J$3,0)),0)</f>
        <v>0</v>
      </c>
      <c r="R253" s="15">
        <f>-$K253*IFERROR(INDEX('[1]salary allocation'!$E$6:$J$22,MATCH($H253,'[1]salary allocation'!$D$6:$D$22,0),MATCH(R$3,'[1]salary allocation'!$E$3:$J$3,0)),0)</f>
        <v>0</v>
      </c>
      <c r="S253" s="15">
        <f>-$K253*IFERROR(INDEX('[1]salary allocation'!$E$6:$J$22,MATCH($H253,'[1]salary allocation'!$D$6:$D$22,0),MATCH(S$3,'[1]salary allocation'!$E$3:$J$3,0)),0)</f>
        <v>0</v>
      </c>
      <c r="T253" s="15">
        <f>-$K253*IFERROR(INDEX('[1]salary allocation'!$E$6:$J$22,MATCH($H253,'[1]salary allocation'!$D$6:$D$22,0),MATCH(T$3,'[1]salary allocation'!$E$3:$J$3,0)),0)</f>
        <v>0</v>
      </c>
      <c r="U253" s="15">
        <f>-$K253*IFERROR(INDEX('[1]salary allocation'!$E$6:$J$22,MATCH($H253,'[1]salary allocation'!$D$6:$D$22,0),MATCH(U$3,'[1]salary allocation'!$E$3:$J$3,0)),0)</f>
        <v>0</v>
      </c>
      <c r="V253" s="15">
        <f>-$K253*IFERROR(INDEX('[1]salary allocation'!$E$6:$J$22,MATCH($H253,'[1]salary allocation'!$D$6:$D$22,0),MATCH(V$3,'[1]salary allocation'!$E$3:$J$3,0)),0)</f>
        <v>0</v>
      </c>
      <c r="W253" s="15">
        <f>-$K253*IFERROR(INDEX('[1]salary allocation'!$E$6:$J$22,MATCH($H253,'[1]salary allocation'!$D$6:$D$22,0),MATCH(W$3,'[1]salary allocation'!$E$3:$J$3,0)),0)</f>
        <v>0</v>
      </c>
      <c r="X253" s="15">
        <f>-$K253*IFERROR(INDEX('[1]salary allocation'!$E$6:$J$22,MATCH($H253,'[1]salary allocation'!$D$6:$D$22,0),MATCH(X$3,'[1]salary allocation'!$E$3:$J$3,0)),0)</f>
        <v>0</v>
      </c>
      <c r="Y253" s="15">
        <f>-$K253*IFERROR(INDEX('[1]salary allocation'!$E$6:$J$22,MATCH($H253,'[1]salary allocation'!$D$6:$D$22,0),MATCH(Y$3,'[1]salary allocation'!$E$3:$J$3,0)),0)</f>
        <v>0</v>
      </c>
      <c r="Z253" s="15">
        <f>-$K253*IFERROR(INDEX('[1]salary allocation'!$E$6:$J$22,MATCH($H253,'[1]salary allocation'!$D$6:$D$22,0),MATCH(Z$3,'[1]salary allocation'!$E$3:$J$3,0)),0)</f>
        <v>0</v>
      </c>
      <c r="AA253" s="15">
        <f>-$K253*IFERROR(INDEX('[1]salary allocation'!$E$6:$J$22,MATCH($H253,'[1]salary allocation'!$D$6:$D$22,0),MATCH(AA$3,'[1]salary allocation'!$E$3:$J$3,0)),0)</f>
        <v>0</v>
      </c>
      <c r="AB253" s="15">
        <f>-$K253*IFERROR(INDEX('[1]salary allocation'!$E$6:$J$22,MATCH($H253,'[1]salary allocation'!$D$6:$D$22,0),MATCH(AB$3,'[1]salary allocation'!$E$3:$J$3,0)),0)</f>
        <v>0</v>
      </c>
      <c r="AC253" s="18">
        <f>-$K253*IFERROR(INDEX('[1]salary allocation'!$E$6:$J$22,MATCH($H253,'[1]salary allocation'!$D$6:$D$22,0),MATCH(AC$3,'[1]salary allocation'!$E$3:$J$3,0)),0)</f>
        <v>0</v>
      </c>
      <c r="AD253" s="17"/>
      <c r="AE253" s="16"/>
      <c r="AF253" s="15"/>
      <c r="AG253" s="15">
        <f>-$K253</f>
        <v>0</v>
      </c>
      <c r="AH253" s="2">
        <f>K253+SUM(O253:AC253)</f>
        <v>0</v>
      </c>
      <c r="AI253" s="2">
        <f>K253+SUM(AF253:AG253)</f>
        <v>0</v>
      </c>
    </row>
    <row r="254" spans="1:35" x14ac:dyDescent="0.2">
      <c r="A254" s="1" t="s">
        <v>3</v>
      </c>
      <c r="B254" s="68">
        <v>45807</v>
      </c>
      <c r="H254" s="1" t="s">
        <v>45</v>
      </c>
      <c r="I254" s="1" t="s">
        <v>641</v>
      </c>
      <c r="K254" s="2">
        <v>-6013447</v>
      </c>
      <c r="L254" s="46">
        <v>52025</v>
      </c>
      <c r="M254" s="42" t="str">
        <f>LEFT(I254,(LEN(LEFT(I254,FIND(";",I254)))-9))</f>
        <v>VNHBC</v>
      </c>
      <c r="N254" s="42" t="s">
        <v>138</v>
      </c>
      <c r="O254" s="15">
        <f>-$K254*IFERROR(INDEX('[1]salary allocation'!$E$6:$J$22,MATCH($H254,'[1]salary allocation'!$D$6:$D$22,0),MATCH(O$3,'[1]salary allocation'!$E$3:$J$3,0)),0)</f>
        <v>0</v>
      </c>
      <c r="P254" s="15">
        <f>-$K254*IFERROR(INDEX('[1]salary allocation'!$E$6:$J$22,MATCH($H254,'[1]salary allocation'!$D$6:$D$22,0),MATCH(P$3,'[1]salary allocation'!$E$3:$J$3,0)),0)</f>
        <v>0</v>
      </c>
      <c r="Q254" s="15">
        <f>-$K254*IFERROR(INDEX('[1]salary allocation'!$E$6:$J$22,MATCH($H254,'[1]salary allocation'!$D$6:$D$22,0),MATCH(Q$3,'[1]salary allocation'!$E$3:$J$3,0)),0)</f>
        <v>0</v>
      </c>
      <c r="R254" s="15">
        <f>-$K254*IFERROR(INDEX('[1]salary allocation'!$E$6:$J$22,MATCH($H254,'[1]salary allocation'!$D$6:$D$22,0),MATCH(R$3,'[1]salary allocation'!$E$3:$J$3,0)),0)</f>
        <v>0</v>
      </c>
      <c r="S254" s="15">
        <f>-$K254*IFERROR(INDEX('[1]salary allocation'!$E$6:$J$22,MATCH($H254,'[1]salary allocation'!$D$6:$D$22,0),MATCH(S$3,'[1]salary allocation'!$E$3:$J$3,0)),0)</f>
        <v>1202689.4000000001</v>
      </c>
      <c r="T254" s="15">
        <f>-$K254*IFERROR(INDEX('[1]salary allocation'!$E$6:$J$22,MATCH($H254,'[1]salary allocation'!$D$6:$D$22,0),MATCH(T$3,'[1]salary allocation'!$E$3:$J$3,0)),0)</f>
        <v>1202689.4000000001</v>
      </c>
      <c r="U254" s="15">
        <f>-$K254*IFERROR(INDEX('[1]salary allocation'!$E$6:$J$22,MATCH($H254,'[1]salary allocation'!$D$6:$D$22,0),MATCH(U$3,'[1]salary allocation'!$E$3:$J$3,0)),0)</f>
        <v>1202689.4000000001</v>
      </c>
      <c r="V254" s="15">
        <f>-$K254*IFERROR(INDEX('[1]salary allocation'!$E$6:$J$22,MATCH($H254,'[1]salary allocation'!$D$6:$D$22,0),MATCH(V$3,'[1]salary allocation'!$E$3:$J$3,0)),0)</f>
        <v>0</v>
      </c>
      <c r="W254" s="15">
        <f>-$K254*IFERROR(INDEX('[1]salary allocation'!$E$6:$J$22,MATCH($H254,'[1]salary allocation'!$D$6:$D$22,0),MATCH(W$3,'[1]salary allocation'!$E$3:$J$3,0)),0)</f>
        <v>2405378.8000000003</v>
      </c>
      <c r="X254" s="15">
        <f>-$K254*IFERROR(INDEX('[1]salary allocation'!$E$6:$J$22,MATCH($H254,'[1]salary allocation'!$D$6:$D$22,0),MATCH(X$3,'[1]salary allocation'!$E$3:$J$3,0)),0)</f>
        <v>0</v>
      </c>
      <c r="Y254" s="15">
        <f>-$K254*IFERROR(INDEX('[1]salary allocation'!$E$6:$J$22,MATCH($H254,'[1]salary allocation'!$D$6:$D$22,0),MATCH(Y$3,'[1]salary allocation'!$E$3:$J$3,0)),0)</f>
        <v>0</v>
      </c>
      <c r="Z254" s="15">
        <f>-$K254*IFERROR(INDEX('[1]salary allocation'!$E$6:$J$22,MATCH($H254,'[1]salary allocation'!$D$6:$D$22,0),MATCH(Z$3,'[1]salary allocation'!$E$3:$J$3,0)),0)</f>
        <v>0</v>
      </c>
      <c r="AA254" s="15">
        <f>-$K254*IFERROR(INDEX('[1]salary allocation'!$E$6:$J$22,MATCH($H254,'[1]salary allocation'!$D$6:$D$22,0),MATCH(AA$3,'[1]salary allocation'!$E$3:$J$3,0)),0)</f>
        <v>0</v>
      </c>
      <c r="AB254" s="15">
        <f>-$K254*IFERROR(INDEX('[1]salary allocation'!$E$6:$J$22,MATCH($H254,'[1]salary allocation'!$D$6:$D$22,0),MATCH(AB$3,'[1]salary allocation'!$E$3:$J$3,0)),0)</f>
        <v>0</v>
      </c>
      <c r="AC254" s="18">
        <f>-$K254*IFERROR(INDEX('[1]salary allocation'!$E$6:$J$22,MATCH($H254,'[1]salary allocation'!$D$6:$D$22,0),MATCH(AC$3,'[1]salary allocation'!$E$3:$J$3,0)),0)</f>
        <v>0</v>
      </c>
      <c r="AD254" s="17"/>
      <c r="AE254" s="16"/>
      <c r="AF254" s="15"/>
      <c r="AG254" s="15">
        <f>-K254</f>
        <v>6013447</v>
      </c>
      <c r="AH254" s="2">
        <f>K254+SUM(O254:AC254)</f>
        <v>0</v>
      </c>
      <c r="AI254" s="2">
        <f>K254+SUM(AF254:AG254)</f>
        <v>0</v>
      </c>
    </row>
    <row r="255" spans="1:35" x14ac:dyDescent="0.2">
      <c r="A255" s="1" t="s">
        <v>3</v>
      </c>
      <c r="B255" s="68">
        <v>45807</v>
      </c>
      <c r="H255" s="1" t="s">
        <v>43</v>
      </c>
      <c r="I255" s="1" t="s">
        <v>640</v>
      </c>
      <c r="K255" s="2">
        <v>-15052628</v>
      </c>
      <c r="L255" s="46">
        <v>52025</v>
      </c>
      <c r="M255" s="42" t="str">
        <f>LEFT(I255,(LEN(LEFT(I255,FIND(";",I255)))-8))</f>
        <v>VNMOET</v>
      </c>
      <c r="N255" s="42" t="s">
        <v>138</v>
      </c>
      <c r="O255" s="15">
        <f>-$K255*IFERROR(INDEX('[1]salary allocation'!$E$6:$J$22,MATCH($H255,'[1]salary allocation'!$D$6:$D$22,0),MATCH(O$3,'[1]salary allocation'!$E$3:$J$3,0)),0)</f>
        <v>0</v>
      </c>
      <c r="P255" s="15">
        <f>-$K255*IFERROR(INDEX('[1]salary allocation'!$E$6:$J$22,MATCH($H255,'[1]salary allocation'!$D$6:$D$22,0),MATCH(P$3,'[1]salary allocation'!$E$3:$J$3,0)),0)</f>
        <v>0</v>
      </c>
      <c r="Q255" s="15">
        <f>-$K255*IFERROR(INDEX('[1]salary allocation'!$E$6:$J$22,MATCH($H255,'[1]salary allocation'!$D$6:$D$22,0),MATCH(Q$3,'[1]salary allocation'!$E$3:$J$3,0)),0)</f>
        <v>0</v>
      </c>
      <c r="R255" s="15">
        <f>-$K255*IFERROR(INDEX('[1]salary allocation'!$E$6:$J$22,MATCH($H255,'[1]salary allocation'!$D$6:$D$22,0),MATCH(R$3,'[1]salary allocation'!$E$3:$J$3,0)),0)</f>
        <v>0</v>
      </c>
      <c r="S255" s="15">
        <f>-$K255*IFERROR(INDEX('[1]salary allocation'!$E$6:$J$22,MATCH($H255,'[1]salary allocation'!$D$6:$D$22,0),MATCH(S$3,'[1]salary allocation'!$E$3:$J$3,0)),0)</f>
        <v>3010525.6</v>
      </c>
      <c r="T255" s="15">
        <f>-$K255*IFERROR(INDEX('[1]salary allocation'!$E$6:$J$22,MATCH($H255,'[1]salary allocation'!$D$6:$D$22,0),MATCH(T$3,'[1]salary allocation'!$E$3:$J$3,0)),0)</f>
        <v>3010525.6</v>
      </c>
      <c r="U255" s="15">
        <f>-$K255*IFERROR(INDEX('[1]salary allocation'!$E$6:$J$22,MATCH($H255,'[1]salary allocation'!$D$6:$D$22,0),MATCH(U$3,'[1]salary allocation'!$E$3:$J$3,0)),0)</f>
        <v>3010525.6</v>
      </c>
      <c r="V255" s="15">
        <f>-$K255*IFERROR(INDEX('[1]salary allocation'!$E$6:$J$22,MATCH($H255,'[1]salary allocation'!$D$6:$D$22,0),MATCH(V$3,'[1]salary allocation'!$E$3:$J$3,0)),0)</f>
        <v>0</v>
      </c>
      <c r="W255" s="15">
        <f>-$K255*IFERROR(INDEX('[1]salary allocation'!$E$6:$J$22,MATCH($H255,'[1]salary allocation'!$D$6:$D$22,0),MATCH(W$3,'[1]salary allocation'!$E$3:$J$3,0)),0)</f>
        <v>6021051.2000000002</v>
      </c>
      <c r="X255" s="15">
        <f>-$K255*IFERROR(INDEX('[1]salary allocation'!$E$6:$J$22,MATCH($H255,'[1]salary allocation'!$D$6:$D$22,0),MATCH(X$3,'[1]salary allocation'!$E$3:$J$3,0)),0)</f>
        <v>0</v>
      </c>
      <c r="Y255" s="15">
        <f>-$K255*IFERROR(INDEX('[1]salary allocation'!$E$6:$J$22,MATCH($H255,'[1]salary allocation'!$D$6:$D$22,0),MATCH(Y$3,'[1]salary allocation'!$E$3:$J$3,0)),0)</f>
        <v>0</v>
      </c>
      <c r="Z255" s="15">
        <f>-$K255*IFERROR(INDEX('[1]salary allocation'!$E$6:$J$22,MATCH($H255,'[1]salary allocation'!$D$6:$D$22,0),MATCH(Z$3,'[1]salary allocation'!$E$3:$J$3,0)),0)</f>
        <v>0</v>
      </c>
      <c r="AA255" s="15">
        <f>-$K255*IFERROR(INDEX('[1]salary allocation'!$E$6:$J$22,MATCH($H255,'[1]salary allocation'!$D$6:$D$22,0),MATCH(AA$3,'[1]salary allocation'!$E$3:$J$3,0)),0)</f>
        <v>0</v>
      </c>
      <c r="AB255" s="15">
        <f>-$K255*IFERROR(INDEX('[1]salary allocation'!$E$6:$J$22,MATCH($H255,'[1]salary allocation'!$D$6:$D$22,0),MATCH(AB$3,'[1]salary allocation'!$E$3:$J$3,0)),0)</f>
        <v>0</v>
      </c>
      <c r="AC255" s="18">
        <f>-$K255*IFERROR(INDEX('[1]salary allocation'!$E$6:$J$22,MATCH($H255,'[1]salary allocation'!$D$6:$D$22,0),MATCH(AC$3,'[1]salary allocation'!$E$3:$J$3,0)),0)</f>
        <v>0</v>
      </c>
      <c r="AD255" s="17"/>
      <c r="AE255" s="16"/>
      <c r="AF255" s="15">
        <f>-$K255</f>
        <v>15052628</v>
      </c>
      <c r="AG255" s="15"/>
      <c r="AH255" s="2">
        <f>K255+SUM(O255:AC255)</f>
        <v>0</v>
      </c>
      <c r="AI255" s="2">
        <f>K255+SUM(AF255:AG255)</f>
        <v>0</v>
      </c>
    </row>
    <row r="256" spans="1:35" x14ac:dyDescent="0.2">
      <c r="A256" s="1" t="s">
        <v>3</v>
      </c>
      <c r="B256" s="68">
        <v>45807</v>
      </c>
      <c r="H256" s="1" t="s">
        <v>41</v>
      </c>
      <c r="I256" s="1" t="s">
        <v>639</v>
      </c>
      <c r="K256" s="2">
        <v>-15001996</v>
      </c>
      <c r="L256" s="46">
        <v>52025</v>
      </c>
      <c r="M256" s="42" t="str">
        <f>LEFT(I256,(LEN(LEFT(I256,FIND(";",I256)))-8))</f>
        <v>VNMOET</v>
      </c>
      <c r="N256" s="42" t="s">
        <v>138</v>
      </c>
      <c r="O256" s="15">
        <f>-$K256*IFERROR(INDEX('[1]salary allocation'!$E$6:$J$22,MATCH($H256,'[1]salary allocation'!$D$6:$D$22,0),MATCH(O$3,'[1]salary allocation'!$E$3:$J$3,0)),0)</f>
        <v>0</v>
      </c>
      <c r="P256" s="15">
        <f>-$K256*IFERROR(INDEX('[1]salary allocation'!$E$6:$J$22,MATCH($H256,'[1]salary allocation'!$D$6:$D$22,0),MATCH(P$3,'[1]salary allocation'!$E$3:$J$3,0)),0)</f>
        <v>0</v>
      </c>
      <c r="Q256" s="15">
        <f>-$K256*IFERROR(INDEX('[1]salary allocation'!$E$6:$J$22,MATCH($H256,'[1]salary allocation'!$D$6:$D$22,0),MATCH(Q$3,'[1]salary allocation'!$E$3:$J$3,0)),0)</f>
        <v>0</v>
      </c>
      <c r="R256" s="15">
        <f>-$K256*IFERROR(INDEX('[1]salary allocation'!$E$6:$J$22,MATCH($H256,'[1]salary allocation'!$D$6:$D$22,0),MATCH(R$3,'[1]salary allocation'!$E$3:$J$3,0)),0)</f>
        <v>0</v>
      </c>
      <c r="S256" s="15">
        <f>-$K256*IFERROR(INDEX('[1]salary allocation'!$E$6:$J$22,MATCH($H256,'[1]salary allocation'!$D$6:$D$22,0),MATCH(S$3,'[1]salary allocation'!$E$3:$J$3,0)),0)</f>
        <v>0</v>
      </c>
      <c r="T256" s="15">
        <f>-$K256*IFERROR(INDEX('[1]salary allocation'!$E$6:$J$22,MATCH($H256,'[1]salary allocation'!$D$6:$D$22,0),MATCH(T$3,'[1]salary allocation'!$E$3:$J$3,0)),0)</f>
        <v>0</v>
      </c>
      <c r="U256" s="15">
        <f>-$K256*IFERROR(INDEX('[1]salary allocation'!$E$6:$J$22,MATCH($H256,'[1]salary allocation'!$D$6:$D$22,0),MATCH(U$3,'[1]salary allocation'!$E$3:$J$3,0)),0)</f>
        <v>0</v>
      </c>
      <c r="V256" s="15">
        <f>-$K256*IFERROR(INDEX('[1]salary allocation'!$E$6:$J$22,MATCH($H256,'[1]salary allocation'!$D$6:$D$22,0),MATCH(V$3,'[1]salary allocation'!$E$3:$J$3,0)),0)</f>
        <v>0</v>
      </c>
      <c r="W256" s="15">
        <f>-$K256*IFERROR(INDEX('[1]salary allocation'!$E$6:$J$22,MATCH($H256,'[1]salary allocation'!$D$6:$D$22,0),MATCH(W$3,'[1]salary allocation'!$E$3:$J$3,0)),0)</f>
        <v>15001996</v>
      </c>
      <c r="X256" s="15">
        <f>-$K256*IFERROR(INDEX('[1]salary allocation'!$E$6:$J$22,MATCH($H256,'[1]salary allocation'!$D$6:$D$22,0),MATCH(X$3,'[1]salary allocation'!$E$3:$J$3,0)),0)</f>
        <v>0</v>
      </c>
      <c r="Y256" s="15">
        <f>-$K256*IFERROR(INDEX('[1]salary allocation'!$E$6:$J$22,MATCH($H256,'[1]salary allocation'!$D$6:$D$22,0),MATCH(Y$3,'[1]salary allocation'!$E$3:$J$3,0)),0)</f>
        <v>0</v>
      </c>
      <c r="Z256" s="15">
        <f>-$K256*IFERROR(INDEX('[1]salary allocation'!$E$6:$J$22,MATCH($H256,'[1]salary allocation'!$D$6:$D$22,0),MATCH(Z$3,'[1]salary allocation'!$E$3:$J$3,0)),0)</f>
        <v>0</v>
      </c>
      <c r="AA256" s="15">
        <f>-$K256*IFERROR(INDEX('[1]salary allocation'!$E$6:$J$22,MATCH($H256,'[1]salary allocation'!$D$6:$D$22,0),MATCH(AA$3,'[1]salary allocation'!$E$3:$J$3,0)),0)</f>
        <v>0</v>
      </c>
      <c r="AB256" s="15">
        <f>-$K256*IFERROR(INDEX('[1]salary allocation'!$E$6:$J$22,MATCH($H256,'[1]salary allocation'!$D$6:$D$22,0),MATCH(AB$3,'[1]salary allocation'!$E$3:$J$3,0)),0)</f>
        <v>0</v>
      </c>
      <c r="AC256" s="18">
        <f>-$K256*IFERROR(INDEX('[1]salary allocation'!$E$6:$J$22,MATCH($H256,'[1]salary allocation'!$D$6:$D$22,0),MATCH(AC$3,'[1]salary allocation'!$E$3:$J$3,0)),0)</f>
        <v>0</v>
      </c>
      <c r="AD256" s="17"/>
      <c r="AE256" s="16"/>
      <c r="AF256" s="15">
        <f>-$K256</f>
        <v>15001996</v>
      </c>
      <c r="AG256" s="15"/>
      <c r="AH256" s="2">
        <f>K256+SUM(O256:AC256)</f>
        <v>0</v>
      </c>
      <c r="AI256" s="2">
        <f>K256+SUM(AF256:AG256)</f>
        <v>0</v>
      </c>
    </row>
    <row r="257" spans="1:35" x14ac:dyDescent="0.2">
      <c r="A257" s="1" t="s">
        <v>3</v>
      </c>
      <c r="B257" s="68">
        <v>45807</v>
      </c>
      <c r="H257" s="1" t="s">
        <v>39</v>
      </c>
      <c r="I257" s="1" t="s">
        <v>638</v>
      </c>
      <c r="K257" s="2">
        <v>-15052628</v>
      </c>
      <c r="L257" s="46">
        <v>52025</v>
      </c>
      <c r="M257" s="42" t="str">
        <f>LEFT(I257,(LEN(LEFT(I257,FIND(";",I257)))-8))</f>
        <v>VNMOET</v>
      </c>
      <c r="N257" s="42" t="s">
        <v>138</v>
      </c>
      <c r="O257" s="15">
        <f>-$K257*IFERROR(INDEX('[1]salary allocation'!$E$6:$J$22,MATCH($H257,'[1]salary allocation'!$D$6:$D$22,0),MATCH(O$3,'[1]salary allocation'!$E$3:$J$3,0)),0)</f>
        <v>0</v>
      </c>
      <c r="P257" s="15">
        <f>-$K257*IFERROR(INDEX('[1]salary allocation'!$E$6:$J$22,MATCH($H257,'[1]salary allocation'!$D$6:$D$22,0),MATCH(P$3,'[1]salary allocation'!$E$3:$J$3,0)),0)</f>
        <v>0</v>
      </c>
      <c r="Q257" s="15">
        <f>-$K257*IFERROR(INDEX('[1]salary allocation'!$E$6:$J$22,MATCH($H257,'[1]salary allocation'!$D$6:$D$22,0),MATCH(Q$3,'[1]salary allocation'!$E$3:$J$3,0)),0)</f>
        <v>0</v>
      </c>
      <c r="R257" s="15">
        <f>-$K257*IFERROR(INDEX('[1]salary allocation'!$E$6:$J$22,MATCH($H257,'[1]salary allocation'!$D$6:$D$22,0),MATCH(R$3,'[1]salary allocation'!$E$3:$J$3,0)),0)</f>
        <v>0</v>
      </c>
      <c r="S257" s="15">
        <f>-$K257*IFERROR(INDEX('[1]salary allocation'!$E$6:$J$22,MATCH($H257,'[1]salary allocation'!$D$6:$D$22,0),MATCH(S$3,'[1]salary allocation'!$E$3:$J$3,0)),0)</f>
        <v>0</v>
      </c>
      <c r="T257" s="15">
        <f>-$K257*IFERROR(INDEX('[1]salary allocation'!$E$6:$J$22,MATCH($H257,'[1]salary allocation'!$D$6:$D$22,0),MATCH(T$3,'[1]salary allocation'!$E$3:$J$3,0)),0)</f>
        <v>0</v>
      </c>
      <c r="U257" s="15">
        <f>-$K257*IFERROR(INDEX('[1]salary allocation'!$E$6:$J$22,MATCH($H257,'[1]salary allocation'!$D$6:$D$22,0),MATCH(U$3,'[1]salary allocation'!$E$3:$J$3,0)),0)</f>
        <v>0</v>
      </c>
      <c r="V257" s="15">
        <f>-$K257*IFERROR(INDEX('[1]salary allocation'!$E$6:$J$22,MATCH($H257,'[1]salary allocation'!$D$6:$D$22,0),MATCH(V$3,'[1]salary allocation'!$E$3:$J$3,0)),0)</f>
        <v>0</v>
      </c>
      <c r="W257" s="15">
        <f>-$K257*IFERROR(INDEX('[1]salary allocation'!$E$6:$J$22,MATCH($H257,'[1]salary allocation'!$D$6:$D$22,0),MATCH(W$3,'[1]salary allocation'!$E$3:$J$3,0)),0)</f>
        <v>15052628</v>
      </c>
      <c r="X257" s="15">
        <f>-$K257*IFERROR(INDEX('[1]salary allocation'!$E$6:$J$22,MATCH($H257,'[1]salary allocation'!$D$6:$D$22,0),MATCH(X$3,'[1]salary allocation'!$E$3:$J$3,0)),0)</f>
        <v>0</v>
      </c>
      <c r="Y257" s="15">
        <f>-$K257*IFERROR(INDEX('[1]salary allocation'!$E$6:$J$22,MATCH($H257,'[1]salary allocation'!$D$6:$D$22,0),MATCH(Y$3,'[1]salary allocation'!$E$3:$J$3,0)),0)</f>
        <v>0</v>
      </c>
      <c r="Z257" s="15">
        <f>-$K257*IFERROR(INDEX('[1]salary allocation'!$E$6:$J$22,MATCH($H257,'[1]salary allocation'!$D$6:$D$22,0),MATCH(Z$3,'[1]salary allocation'!$E$3:$J$3,0)),0)</f>
        <v>0</v>
      </c>
      <c r="AA257" s="15">
        <f>-$K257*IFERROR(INDEX('[1]salary allocation'!$E$6:$J$22,MATCH($H257,'[1]salary allocation'!$D$6:$D$22,0),MATCH(AA$3,'[1]salary allocation'!$E$3:$J$3,0)),0)</f>
        <v>0</v>
      </c>
      <c r="AB257" s="15">
        <f>-$K257*IFERROR(INDEX('[1]salary allocation'!$E$6:$J$22,MATCH($H257,'[1]salary allocation'!$D$6:$D$22,0),MATCH(AB$3,'[1]salary allocation'!$E$3:$J$3,0)),0)</f>
        <v>0</v>
      </c>
      <c r="AC257" s="18">
        <f>-$K257*IFERROR(INDEX('[1]salary allocation'!$E$6:$J$22,MATCH($H257,'[1]salary allocation'!$D$6:$D$22,0),MATCH(AC$3,'[1]salary allocation'!$E$3:$J$3,0)),0)</f>
        <v>0</v>
      </c>
      <c r="AD257" s="17"/>
      <c r="AE257" s="16"/>
      <c r="AF257" s="15">
        <f>-$K257</f>
        <v>15052628</v>
      </c>
      <c r="AG257" s="15"/>
      <c r="AH257" s="2">
        <f>K257+SUM(O257:AC257)</f>
        <v>0</v>
      </c>
      <c r="AI257" s="2">
        <f>K257+SUM(AF257:AG257)</f>
        <v>0</v>
      </c>
    </row>
    <row r="258" spans="1:35" x14ac:dyDescent="0.2">
      <c r="A258" s="1" t="s">
        <v>3</v>
      </c>
      <c r="B258" s="68">
        <v>45807</v>
      </c>
      <c r="H258" s="1" t="s">
        <v>37</v>
      </c>
      <c r="I258" s="1" t="s">
        <v>637</v>
      </c>
      <c r="K258" s="2">
        <v>-13242048</v>
      </c>
      <c r="L258" s="46">
        <v>52025</v>
      </c>
      <c r="M258" s="42" t="str">
        <f>LEFT(I258,(LEN(LEFT(I258,FIND(";",I258)))-8))</f>
        <v>VNOther</v>
      </c>
      <c r="N258" s="42" t="s">
        <v>138</v>
      </c>
      <c r="O258" s="15">
        <f>-$K258*IFERROR(INDEX('[1]salary allocation'!$E$6:$J$22,MATCH($H258,'[1]salary allocation'!$D$6:$D$22,0),MATCH(O$3,'[1]salary allocation'!$E$3:$J$3,0)),0)</f>
        <v>0</v>
      </c>
      <c r="P258" s="15">
        <f>-$K258*IFERROR(INDEX('[1]salary allocation'!$E$6:$J$22,MATCH($H258,'[1]salary allocation'!$D$6:$D$22,0),MATCH(P$3,'[1]salary allocation'!$E$3:$J$3,0)),0)</f>
        <v>1986307.2</v>
      </c>
      <c r="Q258" s="15">
        <f>-$K258*IFERROR(INDEX('[1]salary allocation'!$E$6:$J$22,MATCH($H258,'[1]salary allocation'!$D$6:$D$22,0),MATCH(Q$3,'[1]salary allocation'!$E$3:$J$3,0)),0)</f>
        <v>0</v>
      </c>
      <c r="R258" s="15">
        <f>-$K258*IFERROR(INDEX('[1]salary allocation'!$E$6:$J$22,MATCH($H258,'[1]salary allocation'!$D$6:$D$22,0),MATCH(R$3,'[1]salary allocation'!$E$3:$J$3,0)),0)</f>
        <v>0</v>
      </c>
      <c r="S258" s="15">
        <f>-$K258*IFERROR(INDEX('[1]salary allocation'!$E$6:$J$22,MATCH($H258,'[1]salary allocation'!$D$6:$D$22,0),MATCH(S$3,'[1]salary allocation'!$E$3:$J$3,0)),0)</f>
        <v>2251148.1599999997</v>
      </c>
      <c r="T258" s="15">
        <f>-$K258*IFERROR(INDEX('[1]salary allocation'!$E$6:$J$22,MATCH($H258,'[1]salary allocation'!$D$6:$D$22,0),MATCH(T$3,'[1]salary allocation'!$E$3:$J$3,0)),0)</f>
        <v>2251148.1599999997</v>
      </c>
      <c r="U258" s="15">
        <f>-$K258*IFERROR(INDEX('[1]salary allocation'!$E$6:$J$22,MATCH($H258,'[1]salary allocation'!$D$6:$D$22,0),MATCH(U$3,'[1]salary allocation'!$E$3:$J$3,0)),0)</f>
        <v>2251148.1599999997</v>
      </c>
      <c r="V258" s="15">
        <f>-$K258*IFERROR(INDEX('[1]salary allocation'!$E$6:$J$22,MATCH($H258,'[1]salary allocation'!$D$6:$D$22,0),MATCH(V$3,'[1]salary allocation'!$E$3:$J$3,0)),0)</f>
        <v>0</v>
      </c>
      <c r="W258" s="15">
        <f>-$K258*IFERROR(INDEX('[1]salary allocation'!$E$6:$J$22,MATCH($H258,'[1]salary allocation'!$D$6:$D$22,0),MATCH(W$3,'[1]salary allocation'!$E$3:$J$3,0)),0)</f>
        <v>4502296.3199999994</v>
      </c>
      <c r="X258" s="15">
        <f>-$K258*IFERROR(INDEX('[1]salary allocation'!$E$6:$J$22,MATCH($H258,'[1]salary allocation'!$D$6:$D$22,0),MATCH(X$3,'[1]salary allocation'!$E$3:$J$3,0)),0)</f>
        <v>0</v>
      </c>
      <c r="Y258" s="15">
        <f>-$K258*IFERROR(INDEX('[1]salary allocation'!$E$6:$J$22,MATCH($H258,'[1]salary allocation'!$D$6:$D$22,0),MATCH(Y$3,'[1]salary allocation'!$E$3:$J$3,0)),0)</f>
        <v>0</v>
      </c>
      <c r="Z258" s="15">
        <f>-$K258*IFERROR(INDEX('[1]salary allocation'!$E$6:$J$22,MATCH($H258,'[1]salary allocation'!$D$6:$D$22,0),MATCH(Z$3,'[1]salary allocation'!$E$3:$J$3,0)),0)</f>
        <v>0</v>
      </c>
      <c r="AA258" s="15">
        <f>-$K258*IFERROR(INDEX('[1]salary allocation'!$E$6:$J$22,MATCH($H258,'[1]salary allocation'!$D$6:$D$22,0),MATCH(AA$3,'[1]salary allocation'!$E$3:$J$3,0)),0)</f>
        <v>0</v>
      </c>
      <c r="AB258" s="15">
        <f>-$K258*IFERROR(INDEX('[1]salary allocation'!$E$6:$J$22,MATCH($H258,'[1]salary allocation'!$D$6:$D$22,0),MATCH(AB$3,'[1]salary allocation'!$E$3:$J$3,0)),0)</f>
        <v>0</v>
      </c>
      <c r="AC258" s="18">
        <f>-$K258*IFERROR(INDEX('[1]salary allocation'!$E$6:$J$22,MATCH($H258,'[1]salary allocation'!$D$6:$D$22,0),MATCH(AC$3,'[1]salary allocation'!$E$3:$J$3,0)),0)</f>
        <v>0</v>
      </c>
      <c r="AD258" s="17"/>
      <c r="AE258" s="16"/>
      <c r="AF258" s="15">
        <f>-K258</f>
        <v>13242048</v>
      </c>
      <c r="AG258" s="15"/>
      <c r="AH258" s="2">
        <f>K258+SUM(O258:AC258)</f>
        <v>0</v>
      </c>
      <c r="AI258" s="2">
        <f>K258+SUM(AF258:AG258)</f>
        <v>0</v>
      </c>
    </row>
    <row r="259" spans="1:35" x14ac:dyDescent="0.2">
      <c r="A259" s="1" t="s">
        <v>3</v>
      </c>
      <c r="B259" s="68">
        <v>45807</v>
      </c>
      <c r="H259" s="1" t="s">
        <v>35</v>
      </c>
      <c r="I259" s="1" t="s">
        <v>636</v>
      </c>
      <c r="K259" s="2">
        <v>-15444534</v>
      </c>
      <c r="L259" s="46">
        <v>52025</v>
      </c>
      <c r="M259" s="42" t="str">
        <f>LEFT(I259,(LEN(LEFT(I259,FIND(";",I259)))-8))</f>
        <v>VNOther</v>
      </c>
      <c r="N259" s="42" t="s">
        <v>138</v>
      </c>
      <c r="O259" s="15">
        <f>-$K259*IFERROR(INDEX('[1]salary allocation'!$E$6:$J$22,MATCH($H259,'[1]salary allocation'!$D$6:$D$22,0),MATCH(O$3,'[1]salary allocation'!$E$3:$J$3,0)),0)</f>
        <v>0</v>
      </c>
      <c r="P259" s="15">
        <f>-$K259*IFERROR(INDEX('[1]salary allocation'!$E$6:$J$22,MATCH($H259,'[1]salary allocation'!$D$6:$D$22,0),MATCH(P$3,'[1]salary allocation'!$E$3:$J$3,0)),0)</f>
        <v>2316680.1</v>
      </c>
      <c r="Q259" s="15">
        <f>-$K259*IFERROR(INDEX('[1]salary allocation'!$E$6:$J$22,MATCH($H259,'[1]salary allocation'!$D$6:$D$22,0),MATCH(Q$3,'[1]salary allocation'!$E$3:$J$3,0)),0)</f>
        <v>0</v>
      </c>
      <c r="R259" s="15">
        <f>-$K259*IFERROR(INDEX('[1]salary allocation'!$E$6:$J$22,MATCH($H259,'[1]salary allocation'!$D$6:$D$22,0),MATCH(R$3,'[1]salary allocation'!$E$3:$J$3,0)),0)</f>
        <v>0</v>
      </c>
      <c r="S259" s="15">
        <f>-$K259*IFERROR(INDEX('[1]salary allocation'!$E$6:$J$22,MATCH($H259,'[1]salary allocation'!$D$6:$D$22,0),MATCH(S$3,'[1]salary allocation'!$E$3:$J$3,0)),0)</f>
        <v>2625570.7799999998</v>
      </c>
      <c r="T259" s="15">
        <f>-$K259*IFERROR(INDEX('[1]salary allocation'!$E$6:$J$22,MATCH($H259,'[1]salary allocation'!$D$6:$D$22,0),MATCH(T$3,'[1]salary allocation'!$E$3:$J$3,0)),0)</f>
        <v>2625570.7799999998</v>
      </c>
      <c r="U259" s="15">
        <f>-$K259*IFERROR(INDEX('[1]salary allocation'!$E$6:$J$22,MATCH($H259,'[1]salary allocation'!$D$6:$D$22,0),MATCH(U$3,'[1]salary allocation'!$E$3:$J$3,0)),0)</f>
        <v>2625570.7799999998</v>
      </c>
      <c r="V259" s="15">
        <f>-$K259*IFERROR(INDEX('[1]salary allocation'!$E$6:$J$22,MATCH($H259,'[1]salary allocation'!$D$6:$D$22,0),MATCH(V$3,'[1]salary allocation'!$E$3:$J$3,0)),0)</f>
        <v>0</v>
      </c>
      <c r="W259" s="15">
        <f>-$K259*IFERROR(INDEX('[1]salary allocation'!$E$6:$J$22,MATCH($H259,'[1]salary allocation'!$D$6:$D$22,0),MATCH(W$3,'[1]salary allocation'!$E$3:$J$3,0)),0)</f>
        <v>5251141.5599999996</v>
      </c>
      <c r="X259" s="15">
        <f>-$K259*IFERROR(INDEX('[1]salary allocation'!$E$6:$J$22,MATCH($H259,'[1]salary allocation'!$D$6:$D$22,0),MATCH(X$3,'[1]salary allocation'!$E$3:$J$3,0)),0)</f>
        <v>0</v>
      </c>
      <c r="Y259" s="15">
        <f>-$K259*IFERROR(INDEX('[1]salary allocation'!$E$6:$J$22,MATCH($H259,'[1]salary allocation'!$D$6:$D$22,0),MATCH(Y$3,'[1]salary allocation'!$E$3:$J$3,0)),0)</f>
        <v>0</v>
      </c>
      <c r="Z259" s="15">
        <f>-$K259*IFERROR(INDEX('[1]salary allocation'!$E$6:$J$22,MATCH($H259,'[1]salary allocation'!$D$6:$D$22,0),MATCH(Z$3,'[1]salary allocation'!$E$3:$J$3,0)),0)</f>
        <v>0</v>
      </c>
      <c r="AA259" s="15">
        <f>-$K259*IFERROR(INDEX('[1]salary allocation'!$E$6:$J$22,MATCH($H259,'[1]salary allocation'!$D$6:$D$22,0),MATCH(AA$3,'[1]salary allocation'!$E$3:$J$3,0)),0)</f>
        <v>0</v>
      </c>
      <c r="AB259" s="15">
        <f>-$K259*IFERROR(INDEX('[1]salary allocation'!$E$6:$J$22,MATCH($H259,'[1]salary allocation'!$D$6:$D$22,0),MATCH(AB$3,'[1]salary allocation'!$E$3:$J$3,0)),0)</f>
        <v>0</v>
      </c>
      <c r="AC259" s="18">
        <f>-$K259*IFERROR(INDEX('[1]salary allocation'!$E$6:$J$22,MATCH($H259,'[1]salary allocation'!$D$6:$D$22,0),MATCH(AC$3,'[1]salary allocation'!$E$3:$J$3,0)),0)</f>
        <v>0</v>
      </c>
      <c r="AD259" s="17"/>
      <c r="AE259" s="16"/>
      <c r="AF259" s="15">
        <f>-$K259</f>
        <v>15444534</v>
      </c>
      <c r="AG259" s="15"/>
      <c r="AH259" s="2">
        <f>K259+SUM(O259:AC259)</f>
        <v>0</v>
      </c>
      <c r="AI259" s="2">
        <f>K259+SUM(AF259:AG259)</f>
        <v>0</v>
      </c>
    </row>
    <row r="260" spans="1:35" x14ac:dyDescent="0.2">
      <c r="A260" s="1" t="s">
        <v>3</v>
      </c>
      <c r="B260" s="68">
        <v>45807</v>
      </c>
      <c r="H260" s="1" t="s">
        <v>121</v>
      </c>
      <c r="I260" s="1" t="s">
        <v>635</v>
      </c>
      <c r="K260" s="2">
        <v>-4308352</v>
      </c>
      <c r="L260" s="46">
        <v>52025</v>
      </c>
      <c r="M260" s="42" t="str">
        <f>LEFT(I260,(LEN(LEFT(I260,FIND(";",I260)))-8))</f>
        <v>VNLA</v>
      </c>
      <c r="N260" s="42" t="s">
        <v>138</v>
      </c>
      <c r="O260" s="2">
        <f>IF($M260=O$3,-$K260,0)</f>
        <v>0</v>
      </c>
      <c r="P260" s="2">
        <f>IF($M260=P$3,-$K260,0)</f>
        <v>0</v>
      </c>
      <c r="Q260" s="2">
        <f>IF($M260=Q$3,-$K260,0)</f>
        <v>0</v>
      </c>
      <c r="R260" s="2">
        <f>IF($M260=R$3,-$K260,0)</f>
        <v>0</v>
      </c>
      <c r="S260" s="2">
        <f>IF($M260=S$3,-$K260,0)</f>
        <v>0</v>
      </c>
      <c r="T260" s="2">
        <f>IF($M260=T$3,-$K260,0)</f>
        <v>0</v>
      </c>
      <c r="U260" s="2">
        <f>IF($M260=U$3,-$K260,0)</f>
        <v>0</v>
      </c>
      <c r="V260" s="2">
        <f>IF($M260=V$3,-$K260,0)</f>
        <v>0</v>
      </c>
      <c r="W260" s="2">
        <f>IF($M260=W$3,-$K260,0)</f>
        <v>0</v>
      </c>
      <c r="X260" s="2">
        <f>IF($M260=X$3,-$K260,0)</f>
        <v>4308352</v>
      </c>
      <c r="Y260" s="2">
        <f>IF($M260=Y$3,-$K260,0)</f>
        <v>0</v>
      </c>
      <c r="Z260" s="2">
        <f>IF($M260=Z$3,-$K260,0)</f>
        <v>0</v>
      </c>
      <c r="AA260" s="2">
        <f>IF($M260=AA$3,-$K260,0)</f>
        <v>0</v>
      </c>
      <c r="AB260" s="2">
        <f>IF($M260=AB$3,-$K260,0)</f>
        <v>0</v>
      </c>
      <c r="AC260" s="21">
        <f>IF($M260=AC$3,-$K260,0)</f>
        <v>0</v>
      </c>
      <c r="AD260" s="20"/>
      <c r="AE260" s="19"/>
      <c r="AF260" s="2"/>
      <c r="AG260" s="2">
        <f>-$K260</f>
        <v>4308352</v>
      </c>
      <c r="AH260" s="2">
        <f>K260+SUM(O260:AC260)</f>
        <v>0</v>
      </c>
      <c r="AI260" s="2">
        <f>K260+SUM(AF260:AG260)</f>
        <v>0</v>
      </c>
    </row>
    <row r="261" spans="1:35" x14ac:dyDescent="0.2">
      <c r="A261" s="1" t="s">
        <v>3</v>
      </c>
      <c r="B261" s="68">
        <v>45807</v>
      </c>
      <c r="H261" s="1" t="s">
        <v>33</v>
      </c>
      <c r="I261" s="1" t="s">
        <v>634</v>
      </c>
      <c r="K261" s="2">
        <v>-3984832</v>
      </c>
      <c r="L261" s="46">
        <v>52025</v>
      </c>
      <c r="M261" s="42" t="str">
        <f>LEFT(I261,(LEN(LEFT(I261,FIND(";",I261)))-8))</f>
        <v>VNDN</v>
      </c>
      <c r="N261" s="42" t="s">
        <v>138</v>
      </c>
      <c r="O261" s="2">
        <f>IF($M261=O$3,-$K261,0)</f>
        <v>0</v>
      </c>
      <c r="P261" s="2">
        <f>IF($M261=P$3,-$K261,0)</f>
        <v>0</v>
      </c>
      <c r="Q261" s="2">
        <f>IF($M261=Q$3,-$K261,0)</f>
        <v>0</v>
      </c>
      <c r="R261" s="2">
        <f>IF($M261=R$3,-$K261,0)</f>
        <v>0</v>
      </c>
      <c r="S261" s="2">
        <f>IF($M261=S$3,-$K261,0)</f>
        <v>3984832</v>
      </c>
      <c r="T261" s="2">
        <f>IF($M261=T$3,-$K261,0)</f>
        <v>0</v>
      </c>
      <c r="U261" s="2">
        <f>IF($M261=U$3,-$K261,0)</f>
        <v>0</v>
      </c>
      <c r="V261" s="2">
        <f>IF($M261=V$3,-$K261,0)</f>
        <v>0</v>
      </c>
      <c r="W261" s="2">
        <f>IF($M261=W$3,-$K261,0)</f>
        <v>0</v>
      </c>
      <c r="X261" s="2">
        <f>IF($M261=X$3,-$K261,0)</f>
        <v>0</v>
      </c>
      <c r="Y261" s="2">
        <f>IF($M261=Y$3,-$K261,0)</f>
        <v>0</v>
      </c>
      <c r="Z261" s="2">
        <f>IF($M261=Z$3,-$K261,0)</f>
        <v>0</v>
      </c>
      <c r="AA261" s="2">
        <f>IF($M261=AA$3,-$K261,0)</f>
        <v>0</v>
      </c>
      <c r="AB261" s="2">
        <f>IF($M261=AB$3,-$K261,0)</f>
        <v>0</v>
      </c>
      <c r="AC261" s="21">
        <f>IF($M261=AC$3,-$K261,0)</f>
        <v>0</v>
      </c>
      <c r="AD261" s="20"/>
      <c r="AE261" s="19"/>
      <c r="AF261" s="2"/>
      <c r="AG261" s="2">
        <f>-$K261</f>
        <v>3984832</v>
      </c>
      <c r="AH261" s="2">
        <f>K261+SUM(O261:AC261)</f>
        <v>0</v>
      </c>
      <c r="AI261" s="2">
        <f>K261+SUM(AF261:AG261)</f>
        <v>0</v>
      </c>
    </row>
    <row r="262" spans="1:35" x14ac:dyDescent="0.2">
      <c r="A262" s="1" t="s">
        <v>3</v>
      </c>
      <c r="B262" s="68">
        <v>45807</v>
      </c>
      <c r="H262" s="1" t="s">
        <v>31</v>
      </c>
      <c r="I262" s="1" t="s">
        <v>633</v>
      </c>
      <c r="K262" s="2">
        <v>-5064512</v>
      </c>
      <c r="L262" s="46">
        <v>52025</v>
      </c>
      <c r="M262" s="42" t="str">
        <f>LEFT(I262,(LEN(LEFT(I262,FIND(";",I262)))-8))</f>
        <v>VNDN</v>
      </c>
      <c r="N262" s="42" t="s">
        <v>138</v>
      </c>
      <c r="O262" s="2">
        <f>IF($M262=O$3,-$K262,0)</f>
        <v>0</v>
      </c>
      <c r="P262" s="2">
        <f>IF($M262=P$3,-$K262,0)</f>
        <v>0</v>
      </c>
      <c r="Q262" s="2">
        <f>IF($M262=Q$3,-$K262,0)</f>
        <v>0</v>
      </c>
      <c r="R262" s="2">
        <f>IF($M262=R$3,-$K262,0)</f>
        <v>0</v>
      </c>
      <c r="S262" s="2">
        <f>IF($M262=S$3,-$K262,0)</f>
        <v>5064512</v>
      </c>
      <c r="T262" s="2">
        <f>IF($M262=T$3,-$K262,0)</f>
        <v>0</v>
      </c>
      <c r="U262" s="2">
        <f>IF($M262=U$3,-$K262,0)</f>
        <v>0</v>
      </c>
      <c r="V262" s="2">
        <f>IF($M262=V$3,-$K262,0)</f>
        <v>0</v>
      </c>
      <c r="W262" s="2">
        <f>IF($M262=W$3,-$K262,0)</f>
        <v>0</v>
      </c>
      <c r="X262" s="2">
        <f>IF($M262=X$3,-$K262,0)</f>
        <v>0</v>
      </c>
      <c r="Y262" s="2">
        <f>IF($M262=Y$3,-$K262,0)</f>
        <v>0</v>
      </c>
      <c r="Z262" s="2">
        <f>IF($M262=Z$3,-$K262,0)</f>
        <v>0</v>
      </c>
      <c r="AA262" s="2">
        <f>IF($M262=AA$3,-$K262,0)</f>
        <v>0</v>
      </c>
      <c r="AB262" s="2">
        <f>IF($M262=AB$3,-$K262,0)</f>
        <v>0</v>
      </c>
      <c r="AC262" s="21">
        <f>IF($M262=AC$3,-$K262,0)</f>
        <v>0</v>
      </c>
      <c r="AD262" s="20"/>
      <c r="AE262" s="19"/>
      <c r="AF262" s="2"/>
      <c r="AG262" s="2">
        <f>-$K262</f>
        <v>5064512</v>
      </c>
      <c r="AH262" s="2">
        <f>K262+SUM(O262:AC262)</f>
        <v>0</v>
      </c>
      <c r="AI262" s="2">
        <f>K262+SUM(AF262:AG262)</f>
        <v>0</v>
      </c>
    </row>
    <row r="263" spans="1:35" x14ac:dyDescent="0.2">
      <c r="A263" s="1" t="s">
        <v>3</v>
      </c>
      <c r="B263" s="68">
        <v>45807</v>
      </c>
      <c r="H263" s="1" t="s">
        <v>29</v>
      </c>
      <c r="I263" s="1" t="s">
        <v>632</v>
      </c>
      <c r="K263" s="2">
        <v>-6516352</v>
      </c>
      <c r="L263" s="46">
        <v>52025</v>
      </c>
      <c r="M263" s="42" t="str">
        <f>LEFT(I263,(LEN(LEFT(I263,FIND(";",I263)))-8))</f>
        <v>VNDN</v>
      </c>
      <c r="N263" s="42" t="s">
        <v>138</v>
      </c>
      <c r="O263" s="2">
        <f>IF($M263=O$3,-$K263,0)</f>
        <v>0</v>
      </c>
      <c r="P263" s="2">
        <f>IF($M263=P$3,-$K263,0)</f>
        <v>0</v>
      </c>
      <c r="Q263" s="2">
        <f>IF($M263=Q$3,-$K263,0)</f>
        <v>0</v>
      </c>
      <c r="R263" s="2">
        <f>IF($M263=R$3,-$K263,0)</f>
        <v>0</v>
      </c>
      <c r="S263" s="2">
        <f>IF($M263=S$3,-$K263,0)</f>
        <v>6516352</v>
      </c>
      <c r="T263" s="2">
        <f>IF($M263=T$3,-$K263,0)</f>
        <v>0</v>
      </c>
      <c r="U263" s="2">
        <f>IF($M263=U$3,-$K263,0)</f>
        <v>0</v>
      </c>
      <c r="V263" s="2">
        <f>IF($M263=V$3,-$K263,0)</f>
        <v>0</v>
      </c>
      <c r="W263" s="2">
        <f>IF($M263=W$3,-$K263,0)</f>
        <v>0</v>
      </c>
      <c r="X263" s="2">
        <f>IF($M263=X$3,-$K263,0)</f>
        <v>0</v>
      </c>
      <c r="Y263" s="2">
        <f>IF($M263=Y$3,-$K263,0)</f>
        <v>0</v>
      </c>
      <c r="Z263" s="2">
        <f>IF($M263=Z$3,-$K263,0)</f>
        <v>0</v>
      </c>
      <c r="AA263" s="2">
        <f>IF($M263=AA$3,-$K263,0)</f>
        <v>0</v>
      </c>
      <c r="AB263" s="2">
        <f>IF($M263=AB$3,-$K263,0)</f>
        <v>0</v>
      </c>
      <c r="AC263" s="21">
        <f>IF($M263=AC$3,-$K263,0)</f>
        <v>0</v>
      </c>
      <c r="AD263" s="20"/>
      <c r="AE263" s="19"/>
      <c r="AF263" s="2"/>
      <c r="AG263" s="2">
        <f>-$K263</f>
        <v>6516352</v>
      </c>
      <c r="AH263" s="2">
        <f>K263+SUM(O263:AC263)</f>
        <v>0</v>
      </c>
      <c r="AI263" s="2">
        <f>K263+SUM(AF263:AG263)</f>
        <v>0</v>
      </c>
    </row>
    <row r="264" spans="1:35" x14ac:dyDescent="0.2">
      <c r="A264" s="1" t="s">
        <v>3</v>
      </c>
      <c r="B264" s="68">
        <v>45807</v>
      </c>
      <c r="H264" s="1" t="s">
        <v>27</v>
      </c>
      <c r="I264" s="1" t="s">
        <v>631</v>
      </c>
      <c r="K264" s="2">
        <v>-4564352</v>
      </c>
      <c r="L264" s="46">
        <v>52025</v>
      </c>
      <c r="M264" s="42" t="str">
        <f>LEFT(I264,(LEN(LEFT(I264,FIND(";",I264)))-8))</f>
        <v>VNDN</v>
      </c>
      <c r="N264" s="42" t="s">
        <v>138</v>
      </c>
      <c r="O264" s="2">
        <f>IF($M264=O$3,-$K264,0)</f>
        <v>0</v>
      </c>
      <c r="P264" s="2">
        <f>IF($M264=P$3,-$K264,0)</f>
        <v>0</v>
      </c>
      <c r="Q264" s="2">
        <f>IF($M264=Q$3,-$K264,0)</f>
        <v>0</v>
      </c>
      <c r="R264" s="2">
        <f>IF($M264=R$3,-$K264,0)</f>
        <v>0</v>
      </c>
      <c r="S264" s="2">
        <f>IF($M264=S$3,-$K264,0)</f>
        <v>4564352</v>
      </c>
      <c r="T264" s="2">
        <f>IF($M264=T$3,-$K264,0)</f>
        <v>0</v>
      </c>
      <c r="U264" s="2">
        <f>IF($M264=U$3,-$K264,0)</f>
        <v>0</v>
      </c>
      <c r="V264" s="2">
        <f>IF($M264=V$3,-$K264,0)</f>
        <v>0</v>
      </c>
      <c r="W264" s="2">
        <f>IF($M264=W$3,-$K264,0)</f>
        <v>0</v>
      </c>
      <c r="X264" s="2">
        <f>IF($M264=X$3,-$K264,0)</f>
        <v>0</v>
      </c>
      <c r="Y264" s="2">
        <f>IF($M264=Y$3,-$K264,0)</f>
        <v>0</v>
      </c>
      <c r="Z264" s="2">
        <f>IF($M264=Z$3,-$K264,0)</f>
        <v>0</v>
      </c>
      <c r="AA264" s="2">
        <f>IF($M264=AA$3,-$K264,0)</f>
        <v>0</v>
      </c>
      <c r="AB264" s="2">
        <f>IF($M264=AB$3,-$K264,0)</f>
        <v>0</v>
      </c>
      <c r="AC264" s="21">
        <f>IF($M264=AC$3,-$K264,0)</f>
        <v>0</v>
      </c>
      <c r="AD264" s="20"/>
      <c r="AE264" s="19"/>
      <c r="AF264" s="2"/>
      <c r="AG264" s="2">
        <f>-$K264</f>
        <v>4564352</v>
      </c>
      <c r="AH264" s="2">
        <f>K264+SUM(O264:AC264)</f>
        <v>0</v>
      </c>
      <c r="AI264" s="2">
        <f>K264+SUM(AF264:AG264)</f>
        <v>0</v>
      </c>
    </row>
    <row r="265" spans="1:35" x14ac:dyDescent="0.2">
      <c r="A265" s="1" t="s">
        <v>3</v>
      </c>
      <c r="B265" s="68">
        <v>45807</v>
      </c>
      <c r="H265" s="1" t="s">
        <v>25</v>
      </c>
      <c r="I265" s="1" t="s">
        <v>630</v>
      </c>
      <c r="K265" s="2">
        <v>0</v>
      </c>
      <c r="L265" s="46">
        <v>52025</v>
      </c>
      <c r="M265" s="42" t="str">
        <f>LEFT(I265,(LEN(LEFT(I265,FIND(";",I265)))-8))</f>
        <v>VNQN</v>
      </c>
      <c r="N265" s="42" t="s">
        <v>138</v>
      </c>
      <c r="O265" s="2">
        <f>IF($M265=O$3,-$K265,0)</f>
        <v>0</v>
      </c>
      <c r="P265" s="2">
        <f>IF($M265=P$3,-$K265,0)</f>
        <v>0</v>
      </c>
      <c r="Q265" s="2">
        <f>IF($M265=Q$3,-$K265,0)</f>
        <v>0</v>
      </c>
      <c r="R265" s="2">
        <f>IF($M265=R$3,-$K265,0)</f>
        <v>0</v>
      </c>
      <c r="S265" s="2">
        <f>IF($M265=S$3,-$K265,0)</f>
        <v>0</v>
      </c>
      <c r="T265" s="2">
        <f>IF($M265=T$3,-$K265,0)</f>
        <v>0</v>
      </c>
      <c r="U265" s="2">
        <f>IF($M265=U$3,-$K265,0)</f>
        <v>0</v>
      </c>
      <c r="V265" s="2">
        <f>IF($M265=V$3,-$K265,0)</f>
        <v>0</v>
      </c>
      <c r="W265" s="2">
        <f>IF($M265=W$3,-$K265,0)</f>
        <v>0</v>
      </c>
      <c r="X265" s="2">
        <f>IF($M265=X$3,-$K265,0)</f>
        <v>0</v>
      </c>
      <c r="Y265" s="2">
        <f>IF($M265=Y$3,-$K265,0)</f>
        <v>0</v>
      </c>
      <c r="Z265" s="2">
        <f>IF($M265=Z$3,-$K265,0)</f>
        <v>0</v>
      </c>
      <c r="AA265" s="2">
        <f>IF($M265=AA$3,-$K265,0)</f>
        <v>0</v>
      </c>
      <c r="AB265" s="2">
        <f>IF($M265=AB$3,-$K265,0)</f>
        <v>0</v>
      </c>
      <c r="AC265" s="21">
        <f>IF($M265=AC$3,-$K265,0)</f>
        <v>0</v>
      </c>
      <c r="AD265" s="20"/>
      <c r="AE265" s="19"/>
      <c r="AF265" s="2"/>
      <c r="AG265" s="2">
        <f>-$K265</f>
        <v>0</v>
      </c>
      <c r="AH265" s="2">
        <f>K265+SUM(O265:AC265)</f>
        <v>0</v>
      </c>
      <c r="AI265" s="2">
        <f>K265+SUM(AF265:AG265)</f>
        <v>0</v>
      </c>
    </row>
    <row r="266" spans="1:35" x14ac:dyDescent="0.2">
      <c r="A266" s="1" t="s">
        <v>3</v>
      </c>
      <c r="B266" s="68">
        <v>45807</v>
      </c>
      <c r="H266" s="1" t="s">
        <v>81</v>
      </c>
      <c r="I266" s="1" t="s">
        <v>629</v>
      </c>
      <c r="K266" s="2">
        <v>-4069952</v>
      </c>
      <c r="L266" s="46">
        <v>52025</v>
      </c>
      <c r="M266" s="42" t="str">
        <f>LEFT(I266,(LEN(LEFT(I266,FIND(";",I266)))-8))</f>
        <v>VNQN</v>
      </c>
      <c r="N266" s="42" t="s">
        <v>138</v>
      </c>
      <c r="O266" s="2">
        <f>IF($M266=O$3,-$K266,0)</f>
        <v>0</v>
      </c>
      <c r="P266" s="2">
        <f>IF($M266=P$3,-$K266,0)</f>
        <v>0</v>
      </c>
      <c r="Q266" s="2">
        <f>IF($M266=Q$3,-$K266,0)</f>
        <v>0</v>
      </c>
      <c r="R266" s="2">
        <f>IF($M266=R$3,-$K266,0)</f>
        <v>0</v>
      </c>
      <c r="S266" s="2">
        <f>IF($M266=S$3,-$K266,0)</f>
        <v>0</v>
      </c>
      <c r="T266" s="2">
        <f>IF($M266=T$3,-$K266,0)</f>
        <v>4069952</v>
      </c>
      <c r="U266" s="2">
        <f>IF($M266=U$3,-$K266,0)</f>
        <v>0</v>
      </c>
      <c r="V266" s="2">
        <f>IF($M266=V$3,-$K266,0)</f>
        <v>0</v>
      </c>
      <c r="W266" s="2">
        <f>IF($M266=W$3,-$K266,0)</f>
        <v>0</v>
      </c>
      <c r="X266" s="2">
        <f>IF($M266=X$3,-$K266,0)</f>
        <v>0</v>
      </c>
      <c r="Y266" s="2">
        <f>IF($M266=Y$3,-$K266,0)</f>
        <v>0</v>
      </c>
      <c r="Z266" s="2">
        <f>IF($M266=Z$3,-$K266,0)</f>
        <v>0</v>
      </c>
      <c r="AA266" s="2">
        <f>IF($M266=AA$3,-$K266,0)</f>
        <v>0</v>
      </c>
      <c r="AB266" s="2">
        <f>IF($M266=AB$3,-$K266,0)</f>
        <v>0</v>
      </c>
      <c r="AC266" s="21">
        <f>IF($M266=AC$3,-$K266,0)</f>
        <v>0</v>
      </c>
      <c r="AD266" s="20"/>
      <c r="AE266" s="19"/>
      <c r="AF266" s="2"/>
      <c r="AG266" s="2">
        <f>-$K266</f>
        <v>4069952</v>
      </c>
      <c r="AH266" s="2">
        <f>K266+SUM(O266:AC266)</f>
        <v>0</v>
      </c>
      <c r="AI266" s="2">
        <f>K266+SUM(AF266:AG266)</f>
        <v>0</v>
      </c>
    </row>
    <row r="267" spans="1:35" x14ac:dyDescent="0.2">
      <c r="A267" s="1" t="s">
        <v>3</v>
      </c>
      <c r="B267" s="68">
        <v>45807</v>
      </c>
      <c r="H267" s="1" t="s">
        <v>23</v>
      </c>
      <c r="I267" s="1" t="s">
        <v>628</v>
      </c>
      <c r="K267" s="2">
        <v>-4069952</v>
      </c>
      <c r="L267" s="46">
        <v>52025</v>
      </c>
      <c r="M267" s="42" t="str">
        <f>LEFT(I267,(LEN(LEFT(I267,FIND(";",I267)))-8))</f>
        <v>VNHD</v>
      </c>
      <c r="N267" s="42" t="s">
        <v>138</v>
      </c>
      <c r="O267" s="2">
        <f>IF($M267=O$3,-$K267,0)</f>
        <v>0</v>
      </c>
      <c r="P267" s="2">
        <f>IF($M267=P$3,-$K267,0)</f>
        <v>0</v>
      </c>
      <c r="Q267" s="2">
        <f>IF($M267=Q$3,-$K267,0)</f>
        <v>0</v>
      </c>
      <c r="R267" s="2">
        <f>IF($M267=R$3,-$K267,0)</f>
        <v>0</v>
      </c>
      <c r="S267" s="2">
        <f>IF($M267=S$3,-$K267,0)</f>
        <v>0</v>
      </c>
      <c r="T267" s="2">
        <f>IF($M267=T$3,-$K267,0)</f>
        <v>0</v>
      </c>
      <c r="U267" s="2">
        <f>IF($M267=U$3,-$K267,0)</f>
        <v>4069952</v>
      </c>
      <c r="V267" s="2">
        <f>IF($M267=V$3,-$K267,0)</f>
        <v>0</v>
      </c>
      <c r="W267" s="2">
        <f>IF($M267=W$3,-$K267,0)</f>
        <v>0</v>
      </c>
      <c r="X267" s="2">
        <f>IF($M267=X$3,-$K267,0)</f>
        <v>0</v>
      </c>
      <c r="Y267" s="2">
        <f>IF($M267=Y$3,-$K267,0)</f>
        <v>0</v>
      </c>
      <c r="Z267" s="2">
        <f>IF($M267=Z$3,-$K267,0)</f>
        <v>0</v>
      </c>
      <c r="AA267" s="2">
        <f>IF($M267=AA$3,-$K267,0)</f>
        <v>0</v>
      </c>
      <c r="AB267" s="2">
        <f>IF($M267=AB$3,-$K267,0)</f>
        <v>0</v>
      </c>
      <c r="AC267" s="21">
        <f>IF($M267=AC$3,-$K267,0)</f>
        <v>0</v>
      </c>
      <c r="AD267" s="20"/>
      <c r="AE267" s="19"/>
      <c r="AF267" s="2"/>
      <c r="AG267" s="2">
        <f>-$K267</f>
        <v>4069952</v>
      </c>
      <c r="AH267" s="2">
        <f>K267+SUM(O267:AC267)</f>
        <v>0</v>
      </c>
      <c r="AI267" s="2">
        <f>K267+SUM(AF267:AG267)</f>
        <v>0</v>
      </c>
    </row>
    <row r="268" spans="1:35" x14ac:dyDescent="0.2">
      <c r="A268" s="1" t="s">
        <v>3</v>
      </c>
      <c r="B268" s="68">
        <v>45807</v>
      </c>
      <c r="H268" s="1" t="s">
        <v>21</v>
      </c>
      <c r="I268" s="1" t="s">
        <v>627</v>
      </c>
      <c r="K268" s="2">
        <v>-4564352</v>
      </c>
      <c r="L268" s="46">
        <v>52025</v>
      </c>
      <c r="M268" s="42" t="str">
        <f>LEFT(I268,(LEN(LEFT(I268,FIND(";",I268)))-8))</f>
        <v>VNHCM</v>
      </c>
      <c r="N268" s="42" t="s">
        <v>138</v>
      </c>
      <c r="O268" s="2">
        <f>IF($M268=O$3,-$K268,0)</f>
        <v>0</v>
      </c>
      <c r="P268" s="2">
        <f>IF($M268=P$3,-$K268,0)</f>
        <v>0</v>
      </c>
      <c r="Q268" s="2">
        <f>IF($M268=Q$3,-$K268,0)</f>
        <v>0</v>
      </c>
      <c r="R268" s="2">
        <f>IF($M268=R$3,-$K268,0)</f>
        <v>0</v>
      </c>
      <c r="S268" s="2">
        <f>IF($M268=S$3,-$K268,0)</f>
        <v>0</v>
      </c>
      <c r="T268" s="2">
        <f>IF($M268=T$3,-$K268,0)</f>
        <v>0</v>
      </c>
      <c r="U268" s="2">
        <f>IF($M268=U$3,-$K268,0)</f>
        <v>0</v>
      </c>
      <c r="V268" s="2">
        <f>IF($M268=V$3,-$K268,0)</f>
        <v>0</v>
      </c>
      <c r="W268" s="2">
        <f>IF($M268=W$3,-$K268,0)</f>
        <v>0</v>
      </c>
      <c r="X268" s="2">
        <f>IF($M268=X$3,-$K268,0)</f>
        <v>0</v>
      </c>
      <c r="Y268" s="2">
        <f>IF($M268=Y$3,-$K268,0)</f>
        <v>4564352</v>
      </c>
      <c r="Z268" s="2">
        <f>IF($M268=Z$3,-$K268,0)</f>
        <v>0</v>
      </c>
      <c r="AA268" s="2">
        <f>IF($M268=AA$3,-$K268,0)</f>
        <v>0</v>
      </c>
      <c r="AB268" s="2">
        <f>IF($M268=AB$3,-$K268,0)</f>
        <v>0</v>
      </c>
      <c r="AC268" s="21">
        <f>IF($M268=AC$3,-$K268,0)</f>
        <v>0</v>
      </c>
      <c r="AD268" s="20"/>
      <c r="AE268" s="19"/>
      <c r="AF268" s="2"/>
      <c r="AG268" s="2">
        <f>-$K268</f>
        <v>4564352</v>
      </c>
      <c r="AH268" s="2">
        <f>K268+SUM(O268:AC268)</f>
        <v>0</v>
      </c>
      <c r="AI268" s="2">
        <f>K268+SUM(AF268:AG268)</f>
        <v>0</v>
      </c>
    </row>
    <row r="269" spans="1:35" x14ac:dyDescent="0.2">
      <c r="A269" s="1" t="s">
        <v>3</v>
      </c>
      <c r="B269" s="68">
        <v>45807</v>
      </c>
      <c r="H269" s="1" t="s">
        <v>156</v>
      </c>
      <c r="I269" s="1" t="s">
        <v>626</v>
      </c>
      <c r="K269" s="2">
        <v>0</v>
      </c>
      <c r="L269" s="46">
        <v>52025</v>
      </c>
      <c r="M269" s="42" t="str">
        <f>LEFT(I269,(LEN(LEFT(I269,FIND(";",I269)))-8))</f>
        <v>VNBG</v>
      </c>
      <c r="N269" s="42" t="s">
        <v>138</v>
      </c>
      <c r="O269" s="2">
        <f>IF($M269=O$3,-$K269,0)</f>
        <v>0</v>
      </c>
      <c r="P269" s="2">
        <f>IF($M269=P$3,-$K269,0)</f>
        <v>0</v>
      </c>
      <c r="Q269" s="2">
        <f>IF($M269=Q$3,-$K269,0)</f>
        <v>0</v>
      </c>
      <c r="R269" s="2">
        <f>IF($M269=R$3,-$K269,0)</f>
        <v>0</v>
      </c>
      <c r="S269" s="2">
        <f>IF($M269=S$3,-$K269,0)</f>
        <v>0</v>
      </c>
      <c r="T269" s="2">
        <f>IF($M269=T$3,-$K269,0)</f>
        <v>0</v>
      </c>
      <c r="U269" s="2">
        <f>IF($M269=U$3,-$K269,0)</f>
        <v>0</v>
      </c>
      <c r="V269" s="2">
        <f>IF($M269=V$3,-$K269,0)</f>
        <v>0</v>
      </c>
      <c r="W269" s="2">
        <f>IF($M269=W$3,-$K269,0)</f>
        <v>0</v>
      </c>
      <c r="X269" s="2">
        <f>IF($M269=X$3,-$K269,0)</f>
        <v>0</v>
      </c>
      <c r="Y269" s="2">
        <f>IF($M269=Y$3,-$K269,0)</f>
        <v>0</v>
      </c>
      <c r="Z269" s="2">
        <f>IF($M269=Z$3,-$K269,0)</f>
        <v>0</v>
      </c>
      <c r="AA269" s="2">
        <f>IF($M269=AA$3,-$K269,0)</f>
        <v>0</v>
      </c>
      <c r="AB269" s="2">
        <f>IF($M269=AB$3,-$K269,0)</f>
        <v>0</v>
      </c>
      <c r="AC269" s="21">
        <f>IF($M269=AC$3,-$K269,0)</f>
        <v>0</v>
      </c>
      <c r="AD269" s="20"/>
      <c r="AE269" s="19"/>
      <c r="AF269" s="2"/>
      <c r="AG269" s="2"/>
      <c r="AH269" s="2">
        <f>K269+SUM(O269:AC269)</f>
        <v>0</v>
      </c>
      <c r="AI269" s="2">
        <f>K269+SUM(AF269:AG269)</f>
        <v>0</v>
      </c>
    </row>
    <row r="270" spans="1:35" x14ac:dyDescent="0.2">
      <c r="A270" s="1" t="s">
        <v>3</v>
      </c>
      <c r="B270" s="68">
        <v>45807</v>
      </c>
      <c r="H270" s="1" t="s">
        <v>19</v>
      </c>
      <c r="I270" s="1" t="s">
        <v>625</v>
      </c>
      <c r="K270" s="2">
        <v>-4564352</v>
      </c>
      <c r="L270" s="46">
        <v>52025</v>
      </c>
      <c r="M270" s="42" t="str">
        <f>LEFT(I270,(LEN(LEFT(I270,FIND(";",I270)))-8))</f>
        <v>VNQN</v>
      </c>
      <c r="N270" s="42" t="s">
        <v>138</v>
      </c>
      <c r="O270" s="2">
        <f>IF($M270=O$3,-$K270,0)</f>
        <v>0</v>
      </c>
      <c r="P270" s="2">
        <f>IF($M270=P$3,-$K270,0)</f>
        <v>0</v>
      </c>
      <c r="Q270" s="2">
        <f>IF($M270=Q$3,-$K270,0)</f>
        <v>0</v>
      </c>
      <c r="R270" s="2">
        <f>IF($M270=R$3,-$K270,0)</f>
        <v>0</v>
      </c>
      <c r="S270" s="2">
        <f>IF($M270=S$3,-$K270,0)</f>
        <v>0</v>
      </c>
      <c r="T270" s="2">
        <f>IF($M270=T$3,-$K270,0)</f>
        <v>4564352</v>
      </c>
      <c r="U270" s="2">
        <f>IF($M270=U$3,-$K270,0)</f>
        <v>0</v>
      </c>
      <c r="V270" s="2">
        <f>IF($M270=V$3,-$K270,0)</f>
        <v>0</v>
      </c>
      <c r="W270" s="2">
        <f>IF($M270=W$3,-$K270,0)</f>
        <v>0</v>
      </c>
      <c r="X270" s="2">
        <f>IF($M270=X$3,-$K270,0)</f>
        <v>0</v>
      </c>
      <c r="Y270" s="2">
        <f>IF($M270=Y$3,-$K270,0)</f>
        <v>0</v>
      </c>
      <c r="Z270" s="2">
        <f>IF($M270=Z$3,-$K270,0)</f>
        <v>0</v>
      </c>
      <c r="AA270" s="2">
        <f>IF($M270=AA$3,-$K270,0)</f>
        <v>0</v>
      </c>
      <c r="AB270" s="2">
        <f>IF($M270=AB$3,-$K270,0)</f>
        <v>0</v>
      </c>
      <c r="AC270" s="21">
        <f>IF($M270=AC$3,-$K270,0)</f>
        <v>0</v>
      </c>
      <c r="AD270" s="20"/>
      <c r="AE270" s="19"/>
      <c r="AF270" s="2"/>
      <c r="AG270" s="2">
        <f>-$K270</f>
        <v>4564352</v>
      </c>
      <c r="AH270" s="2">
        <f>K270+SUM(O270:AC270)</f>
        <v>0</v>
      </c>
      <c r="AI270" s="2">
        <f>K270+SUM(AF270:AG270)</f>
        <v>0</v>
      </c>
    </row>
    <row r="271" spans="1:35" x14ac:dyDescent="0.2">
      <c r="A271" s="1" t="s">
        <v>3</v>
      </c>
      <c r="B271" s="68">
        <v>45807</v>
      </c>
      <c r="H271" s="1" t="s">
        <v>153</v>
      </c>
      <c r="I271" s="1" t="s">
        <v>624</v>
      </c>
      <c r="K271" s="2">
        <v>-4244352</v>
      </c>
      <c r="L271" s="46">
        <v>52025</v>
      </c>
      <c r="M271" s="42" t="str">
        <f>LEFT(I271,(LEN(LEFT(I271,FIND(";",I271)))-8))</f>
        <v>VNBN</v>
      </c>
      <c r="N271" s="42" t="s">
        <v>138</v>
      </c>
      <c r="O271" s="2">
        <f>IF($M271=O$3,-$K271,0)</f>
        <v>0</v>
      </c>
      <c r="P271" s="2">
        <f>IF($M271=P$3,-$K271,0)</f>
        <v>0</v>
      </c>
      <c r="Q271" s="2">
        <f>IF($M271=Q$3,-$K271,0)</f>
        <v>0</v>
      </c>
      <c r="R271" s="2">
        <f>IF($M271=R$3,-$K271,0)</f>
        <v>0</v>
      </c>
      <c r="S271" s="2">
        <f>IF($M271=S$3,-$K271,0)</f>
        <v>0</v>
      </c>
      <c r="T271" s="2">
        <f>IF($M271=T$3,-$K271,0)</f>
        <v>0</v>
      </c>
      <c r="U271" s="2">
        <f>IF($M271=U$3,-$K271,0)</f>
        <v>0</v>
      </c>
      <c r="V271" s="2">
        <f>IF($M271=V$3,-$K271,0)</f>
        <v>0</v>
      </c>
      <c r="W271" s="2">
        <f>IF($M271=W$3,-$K271,0)</f>
        <v>0</v>
      </c>
      <c r="X271" s="2">
        <f>IF($M271=X$3,-$K271,0)</f>
        <v>0</v>
      </c>
      <c r="Y271" s="2">
        <f>IF($M271=Y$3,-$K271,0)</f>
        <v>0</v>
      </c>
      <c r="Z271" s="2">
        <f>IF($M271=Z$3,-$K271,0)</f>
        <v>0</v>
      </c>
      <c r="AA271" s="2">
        <f>IF($M271=AA$3,-$K271,0)</f>
        <v>4244352</v>
      </c>
      <c r="AB271" s="2">
        <f>IF($M271=AB$3,-$K271,0)</f>
        <v>0</v>
      </c>
      <c r="AC271" s="21">
        <f>IF($M271=AC$3,-$K271,0)</f>
        <v>0</v>
      </c>
      <c r="AD271" s="20"/>
      <c r="AE271" s="19"/>
      <c r="AF271" s="2"/>
      <c r="AG271" s="2">
        <f>-K271</f>
        <v>4244352</v>
      </c>
      <c r="AH271" s="2">
        <f>K271+SUM(O271:AC271)</f>
        <v>0</v>
      </c>
      <c r="AI271" s="2">
        <f>K271+SUM(AF271:AG271)</f>
        <v>0</v>
      </c>
    </row>
    <row r="272" spans="1:35" x14ac:dyDescent="0.2">
      <c r="A272" s="1" t="s">
        <v>3</v>
      </c>
      <c r="B272" s="68">
        <v>45807</v>
      </c>
      <c r="H272" s="1" t="s">
        <v>151</v>
      </c>
      <c r="I272" s="1" t="s">
        <v>623</v>
      </c>
      <c r="K272" s="2">
        <v>-3924352</v>
      </c>
      <c r="L272" s="46">
        <v>52025</v>
      </c>
      <c r="M272" s="42" t="str">
        <f>LEFT(I272,(LEN(LEFT(I272,FIND(";",I272)))-8))</f>
        <v>VNQN</v>
      </c>
      <c r="N272" s="42" t="s">
        <v>138</v>
      </c>
      <c r="O272" s="2">
        <f>IF($M272=O$3,-$K272,0)</f>
        <v>0</v>
      </c>
      <c r="P272" s="2">
        <f>IF($M272=P$3,-$K272,0)</f>
        <v>0</v>
      </c>
      <c r="Q272" s="2">
        <f>IF($M272=Q$3,-$K272,0)</f>
        <v>0</v>
      </c>
      <c r="R272" s="2">
        <f>IF($M272=R$3,-$K272,0)</f>
        <v>0</v>
      </c>
      <c r="S272" s="2">
        <f>IF($M272=S$3,-$K272,0)</f>
        <v>0</v>
      </c>
      <c r="T272" s="2">
        <f>IF($M272=T$3,-$K272,0)</f>
        <v>3924352</v>
      </c>
      <c r="U272" s="2">
        <f>IF($M272=U$3,-$K272,0)</f>
        <v>0</v>
      </c>
      <c r="V272" s="2">
        <f>IF($M272=V$3,-$K272,0)</f>
        <v>0</v>
      </c>
      <c r="W272" s="2">
        <f>IF($M272=W$3,-$K272,0)</f>
        <v>0</v>
      </c>
      <c r="X272" s="2">
        <f>IF($M272=X$3,-$K272,0)</f>
        <v>0</v>
      </c>
      <c r="Y272" s="2">
        <f>IF($M272=Y$3,-$K272,0)</f>
        <v>0</v>
      </c>
      <c r="Z272" s="2">
        <f>IF($M272=Z$3,-$K272,0)</f>
        <v>0</v>
      </c>
      <c r="AA272" s="2">
        <f>IF($M272=AA$3,-$K272,0)</f>
        <v>0</v>
      </c>
      <c r="AB272" s="2">
        <f>IF($M272=AB$3,-$K272,0)</f>
        <v>0</v>
      </c>
      <c r="AC272" s="21">
        <f>IF($M272=AC$3,-$K272,0)</f>
        <v>0</v>
      </c>
      <c r="AD272" s="20"/>
      <c r="AE272" s="19"/>
      <c r="AF272" s="2"/>
      <c r="AG272" s="2">
        <f>-$K272</f>
        <v>3924352</v>
      </c>
      <c r="AH272" s="2">
        <f>K272+SUM(O272:AC272)</f>
        <v>0</v>
      </c>
      <c r="AI272" s="2">
        <f>K272+SUM(AF272:AG272)</f>
        <v>0</v>
      </c>
    </row>
    <row r="273" spans="1:35" x14ac:dyDescent="0.2">
      <c r="A273" s="1" t="s">
        <v>3</v>
      </c>
      <c r="B273" s="68">
        <v>45807</v>
      </c>
      <c r="H273" s="1" t="s">
        <v>76</v>
      </c>
      <c r="I273" s="1" t="s">
        <v>622</v>
      </c>
      <c r="K273" s="2">
        <v>0</v>
      </c>
      <c r="L273" s="46">
        <v>52025</v>
      </c>
      <c r="M273" s="42" t="str">
        <f>LEFT(I273,(LEN(LEFT(I273,FIND(";",I273)))-8))</f>
        <v>VNMOET</v>
      </c>
      <c r="N273" s="42" t="s">
        <v>138</v>
      </c>
      <c r="O273" s="2">
        <f>IF($M273=O$3,-$K273,0)</f>
        <v>0</v>
      </c>
      <c r="P273" s="2">
        <f>IF($M273=P$3,-$K273,0)</f>
        <v>0</v>
      </c>
      <c r="Q273" s="2">
        <f>IF($M273=Q$3,-$K273,0)</f>
        <v>0</v>
      </c>
      <c r="R273" s="2">
        <f>IF($M273=R$3,-$K273,0)</f>
        <v>0</v>
      </c>
      <c r="S273" s="2">
        <f>IF($M273=S$3,-$K273,0)</f>
        <v>0</v>
      </c>
      <c r="T273" s="2">
        <f>IF($M273=T$3,-$K273,0)</f>
        <v>0</v>
      </c>
      <c r="U273" s="2">
        <f>IF($M273=U$3,-$K273,0)</f>
        <v>0</v>
      </c>
      <c r="V273" s="2">
        <f>IF($M273=V$3,-$K273,0)</f>
        <v>0</v>
      </c>
      <c r="W273" s="2">
        <f>IF($M273=W$3,-$K273,0)</f>
        <v>0</v>
      </c>
      <c r="X273" s="2">
        <f>IF($M273=X$3,-$K273,0)</f>
        <v>0</v>
      </c>
      <c r="Y273" s="2">
        <f>IF($M273=Y$3,-$K273,0)</f>
        <v>0</v>
      </c>
      <c r="Z273" s="2">
        <f>IF($M273=Z$3,-$K273,0)</f>
        <v>0</v>
      </c>
      <c r="AA273" s="2">
        <f>IF($M273=AA$3,-$K273,0)</f>
        <v>0</v>
      </c>
      <c r="AB273" s="2">
        <f>IF($M273=AB$3,-$K273,0)</f>
        <v>0</v>
      </c>
      <c r="AC273" s="21">
        <f>IF($M273=AC$3,-$K273,0)</f>
        <v>0</v>
      </c>
      <c r="AD273" s="20"/>
      <c r="AE273" s="19"/>
      <c r="AF273" s="2">
        <f>-$K273</f>
        <v>0</v>
      </c>
      <c r="AG273" s="2"/>
      <c r="AH273" s="2">
        <f>K273+SUM(O273:AC273)</f>
        <v>0</v>
      </c>
      <c r="AI273" s="2">
        <f>K273+SUM(AF273:AG273)</f>
        <v>0</v>
      </c>
    </row>
    <row r="274" spans="1:35" x14ac:dyDescent="0.2">
      <c r="A274" s="1" t="s">
        <v>3</v>
      </c>
      <c r="B274" s="68">
        <v>45807</v>
      </c>
      <c r="H274" s="1" t="s">
        <v>17</v>
      </c>
      <c r="I274" s="1" t="s">
        <v>621</v>
      </c>
      <c r="K274" s="2">
        <v>-3604352</v>
      </c>
      <c r="L274" s="46">
        <v>52025</v>
      </c>
      <c r="M274" s="42" t="str">
        <f>LEFT(I274,(LEN(LEFT(I274,FIND(";",I274)))-8))</f>
        <v>VNQN</v>
      </c>
      <c r="N274" s="42" t="s">
        <v>138</v>
      </c>
      <c r="O274" s="2">
        <f>IF($M274=O$3,-$K274,0)</f>
        <v>0</v>
      </c>
      <c r="P274" s="2">
        <f>IF($M274=P$3,-$K274,0)</f>
        <v>0</v>
      </c>
      <c r="Q274" s="2">
        <f>IF($M274=Q$3,-$K274,0)</f>
        <v>0</v>
      </c>
      <c r="R274" s="2">
        <f>IF($M274=R$3,-$K274,0)</f>
        <v>0</v>
      </c>
      <c r="S274" s="2">
        <f>IF($M274=S$3,-$K274,0)</f>
        <v>0</v>
      </c>
      <c r="T274" s="2">
        <f>IF($M274=T$3,-$K274,0)</f>
        <v>3604352</v>
      </c>
      <c r="U274" s="2">
        <f>IF($M274=U$3,-$K274,0)</f>
        <v>0</v>
      </c>
      <c r="V274" s="2">
        <f>IF($M274=V$3,-$K274,0)</f>
        <v>0</v>
      </c>
      <c r="W274" s="2">
        <f>IF($M274=W$3,-$K274,0)</f>
        <v>0</v>
      </c>
      <c r="X274" s="2">
        <f>IF($M274=X$3,-$K274,0)</f>
        <v>0</v>
      </c>
      <c r="Y274" s="2">
        <f>IF($M274=Y$3,-$K274,0)</f>
        <v>0</v>
      </c>
      <c r="Z274" s="2">
        <f>IF($M274=Z$3,-$K274,0)</f>
        <v>0</v>
      </c>
      <c r="AA274" s="2">
        <f>IF($M274=AA$3,-$K274,0)</f>
        <v>0</v>
      </c>
      <c r="AB274" s="2">
        <f>IF($M274=AB$3,-$K274,0)</f>
        <v>0</v>
      </c>
      <c r="AC274" s="21">
        <f>IF($M274=AC$3,-$K274,0)</f>
        <v>0</v>
      </c>
      <c r="AD274" s="20"/>
      <c r="AE274" s="19"/>
      <c r="AF274" s="2"/>
      <c r="AG274" s="2">
        <f>-$K274</f>
        <v>3604352</v>
      </c>
      <c r="AH274" s="2">
        <f>K274+SUM(O274:AC274)</f>
        <v>0</v>
      </c>
      <c r="AI274" s="2">
        <f>K274+SUM(AF274:AG274)</f>
        <v>0</v>
      </c>
    </row>
    <row r="275" spans="1:35" x14ac:dyDescent="0.2">
      <c r="A275" s="69" t="s">
        <v>61</v>
      </c>
      <c r="B275" s="68">
        <v>45797</v>
      </c>
      <c r="H275" s="1" t="s">
        <v>135</v>
      </c>
      <c r="I275" s="1" t="s">
        <v>620</v>
      </c>
      <c r="K275" s="2">
        <v>-47070416</v>
      </c>
      <c r="L275" s="46">
        <v>52025</v>
      </c>
      <c r="M275" s="2" t="str">
        <f>VLOOKUP(H275,$H$132:$M$160,6,0)</f>
        <v>VNOther</v>
      </c>
      <c r="N275" s="2" t="s">
        <v>138</v>
      </c>
      <c r="O275" s="15">
        <f>-$K275*IFERROR(INDEX('[1]salary allocation'!$E$6:$J$22,MATCH($H275,'[1]salary allocation'!$D$6:$D$22,0),MATCH(O$3,'[1]salary allocation'!$E$3:$J$3,0)),0)</f>
        <v>0</v>
      </c>
      <c r="P275" s="15">
        <f>-$K275*IFERROR(INDEX('[1]salary allocation'!$E$6:$J$22,MATCH($H275,'[1]salary allocation'!$D$6:$D$22,0),MATCH(P$3,'[1]salary allocation'!$E$3:$J$3,0)),0)</f>
        <v>23535208</v>
      </c>
      <c r="Q275" s="15">
        <f>-$K275*IFERROR(INDEX('[1]salary allocation'!$E$6:$J$22,MATCH($H275,'[1]salary allocation'!$D$6:$D$22,0),MATCH(Q$3,'[1]salary allocation'!$E$3:$J$3,0)),0)</f>
        <v>0</v>
      </c>
      <c r="R275" s="15">
        <f>-$K275*IFERROR(INDEX('[1]salary allocation'!$E$6:$J$22,MATCH($H275,'[1]salary allocation'!$D$6:$D$22,0),MATCH(R$3,'[1]salary allocation'!$E$3:$J$3,0)),0)</f>
        <v>0</v>
      </c>
      <c r="S275" s="15">
        <f>-$K275*IFERROR(INDEX('[1]salary allocation'!$E$6:$J$22,MATCH($H275,'[1]salary allocation'!$D$6:$D$22,0),MATCH(S$3,'[1]salary allocation'!$E$3:$J$3,0)),0)</f>
        <v>4707041.6000000006</v>
      </c>
      <c r="T275" s="15">
        <f>-$K275*IFERROR(INDEX('[1]salary allocation'!$E$6:$J$22,MATCH($H275,'[1]salary allocation'!$D$6:$D$22,0),MATCH(T$3,'[1]salary allocation'!$E$3:$J$3,0)),0)</f>
        <v>4707041.6000000006</v>
      </c>
      <c r="U275" s="15">
        <f>-$K275*IFERROR(INDEX('[1]salary allocation'!$E$6:$J$22,MATCH($H275,'[1]salary allocation'!$D$6:$D$22,0),MATCH(U$3,'[1]salary allocation'!$E$3:$J$3,0)),0)</f>
        <v>4707041.6000000006</v>
      </c>
      <c r="V275" s="15">
        <f>-$K275*IFERROR(INDEX('[1]salary allocation'!$E$6:$J$22,MATCH($H275,'[1]salary allocation'!$D$6:$D$22,0),MATCH(V$3,'[1]salary allocation'!$E$3:$J$3,0)),0)</f>
        <v>0</v>
      </c>
      <c r="W275" s="15">
        <f>-$K275*IFERROR(INDEX('[1]salary allocation'!$E$6:$J$22,MATCH($H275,'[1]salary allocation'!$D$6:$D$22,0),MATCH(W$3,'[1]salary allocation'!$E$3:$J$3,0)),0)</f>
        <v>9414083.2000000011</v>
      </c>
      <c r="X275" s="15">
        <f>-$K275*IFERROR(INDEX('[1]salary allocation'!$E$6:$J$22,MATCH($H275,'[1]salary allocation'!$D$6:$D$22,0),MATCH(X$3,'[1]salary allocation'!$E$3:$J$3,0)),0)</f>
        <v>0</v>
      </c>
      <c r="Y275" s="15">
        <f>-$K275*IFERROR(INDEX('[1]salary allocation'!$E$6:$J$22,MATCH($H275,'[1]salary allocation'!$D$6:$D$22,0),MATCH(Y$3,'[1]salary allocation'!$E$3:$J$3,0)),0)</f>
        <v>0</v>
      </c>
      <c r="Z275" s="15">
        <f>-$K275*IFERROR(INDEX('[1]salary allocation'!$E$6:$J$22,MATCH($H275,'[1]salary allocation'!$D$6:$D$22,0),MATCH(Z$3,'[1]salary allocation'!$E$3:$J$3,0)),0)</f>
        <v>0</v>
      </c>
      <c r="AA275" s="15">
        <f>-$K275*IFERROR(INDEX('[1]salary allocation'!$E$6:$J$22,MATCH($H275,'[1]salary allocation'!$D$6:$D$22,0),MATCH(AA$3,'[1]salary allocation'!$E$3:$J$3,0)),0)</f>
        <v>0</v>
      </c>
      <c r="AB275" s="15">
        <f>-$K275*IFERROR(INDEX('[1]salary allocation'!$E$6:$J$22,MATCH($H275,'[1]salary allocation'!$D$6:$D$22,0),MATCH(AB$3,'[1]salary allocation'!$E$3:$J$3,0)),0)</f>
        <v>0</v>
      </c>
      <c r="AC275" s="18">
        <f>-$K275*IFERROR(INDEX('[1]salary allocation'!$E$6:$J$22,MATCH($H275,'[1]salary allocation'!$D$6:$D$22,0),MATCH(AC$3,'[1]salary allocation'!$E$3:$J$3,0)),0)</f>
        <v>0</v>
      </c>
      <c r="AD275" s="17"/>
      <c r="AE275" s="16"/>
      <c r="AF275" s="15">
        <f>-$K275</f>
        <v>47070416</v>
      </c>
      <c r="AG275" s="15"/>
      <c r="AH275" s="2">
        <f>K275+SUM(O275:AC275)</f>
        <v>0</v>
      </c>
      <c r="AI275" s="2">
        <f>K275+SUM(AF275:AG275)</f>
        <v>0</v>
      </c>
    </row>
    <row r="276" spans="1:35" x14ac:dyDescent="0.2">
      <c r="A276" s="69" t="s">
        <v>61</v>
      </c>
      <c r="B276" s="68">
        <v>45797</v>
      </c>
      <c r="H276" s="1" t="s">
        <v>57</v>
      </c>
      <c r="I276" s="1" t="s">
        <v>619</v>
      </c>
      <c r="K276" s="2">
        <v>-6598498</v>
      </c>
      <c r="L276" s="46">
        <v>52025</v>
      </c>
      <c r="M276" s="2" t="str">
        <f>VLOOKUP(H276,$H$132:$M$160,6,0)</f>
        <v>VNOther</v>
      </c>
      <c r="N276" s="2" t="s">
        <v>138</v>
      </c>
      <c r="O276" s="15">
        <f>-$K276*IFERROR(INDEX('[1]salary allocation'!$E$6:$J$22,MATCH($H276,'[1]salary allocation'!$D$6:$D$22,0),MATCH(O$3,'[1]salary allocation'!$E$3:$J$3,0)),0)</f>
        <v>0</v>
      </c>
      <c r="P276" s="15">
        <f>-$K276*IFERROR(INDEX('[1]salary allocation'!$E$6:$J$22,MATCH($H276,'[1]salary allocation'!$D$6:$D$22,0),MATCH(P$3,'[1]salary allocation'!$E$3:$J$3,0)),0)</f>
        <v>3299249</v>
      </c>
      <c r="Q276" s="15">
        <f>-$K276*IFERROR(INDEX('[1]salary allocation'!$E$6:$J$22,MATCH($H276,'[1]salary allocation'!$D$6:$D$22,0),MATCH(Q$3,'[1]salary allocation'!$E$3:$J$3,0)),0)</f>
        <v>0</v>
      </c>
      <c r="R276" s="15">
        <f>-$K276*IFERROR(INDEX('[1]salary allocation'!$E$6:$J$22,MATCH($H276,'[1]salary allocation'!$D$6:$D$22,0),MATCH(R$3,'[1]salary allocation'!$E$3:$J$3,0)),0)</f>
        <v>0</v>
      </c>
      <c r="S276" s="15">
        <f>-$K276*IFERROR(INDEX('[1]salary allocation'!$E$6:$J$22,MATCH($H276,'[1]salary allocation'!$D$6:$D$22,0),MATCH(S$3,'[1]salary allocation'!$E$3:$J$3,0)),0)</f>
        <v>659849.80000000005</v>
      </c>
      <c r="T276" s="15">
        <f>-$K276*IFERROR(INDEX('[1]salary allocation'!$E$6:$J$22,MATCH($H276,'[1]salary allocation'!$D$6:$D$22,0),MATCH(T$3,'[1]salary allocation'!$E$3:$J$3,0)),0)</f>
        <v>659849.80000000005</v>
      </c>
      <c r="U276" s="15">
        <f>-$K276*IFERROR(INDEX('[1]salary allocation'!$E$6:$J$22,MATCH($H276,'[1]salary allocation'!$D$6:$D$22,0),MATCH(U$3,'[1]salary allocation'!$E$3:$J$3,0)),0)</f>
        <v>659849.80000000005</v>
      </c>
      <c r="V276" s="15">
        <f>-$K276*IFERROR(INDEX('[1]salary allocation'!$E$6:$J$22,MATCH($H276,'[1]salary allocation'!$D$6:$D$22,0),MATCH(V$3,'[1]salary allocation'!$E$3:$J$3,0)),0)</f>
        <v>0</v>
      </c>
      <c r="W276" s="15">
        <f>-$K276*IFERROR(INDEX('[1]salary allocation'!$E$6:$J$22,MATCH($H276,'[1]salary allocation'!$D$6:$D$22,0),MATCH(W$3,'[1]salary allocation'!$E$3:$J$3,0)),0)</f>
        <v>1319699.6000000001</v>
      </c>
      <c r="X276" s="15">
        <f>-$K276*IFERROR(INDEX('[1]salary allocation'!$E$6:$J$22,MATCH($H276,'[1]salary allocation'!$D$6:$D$22,0),MATCH(X$3,'[1]salary allocation'!$E$3:$J$3,0)),0)</f>
        <v>0</v>
      </c>
      <c r="Y276" s="15">
        <f>-$K276*IFERROR(INDEX('[1]salary allocation'!$E$6:$J$22,MATCH($H276,'[1]salary allocation'!$D$6:$D$22,0),MATCH(Y$3,'[1]salary allocation'!$E$3:$J$3,0)),0)</f>
        <v>0</v>
      </c>
      <c r="Z276" s="15">
        <f>-$K276*IFERROR(INDEX('[1]salary allocation'!$E$6:$J$22,MATCH($H276,'[1]salary allocation'!$D$6:$D$22,0),MATCH(Z$3,'[1]salary allocation'!$E$3:$J$3,0)),0)</f>
        <v>0</v>
      </c>
      <c r="AA276" s="15">
        <f>-$K276*IFERROR(INDEX('[1]salary allocation'!$E$6:$J$22,MATCH($H276,'[1]salary allocation'!$D$6:$D$22,0),MATCH(AA$3,'[1]salary allocation'!$E$3:$J$3,0)),0)</f>
        <v>0</v>
      </c>
      <c r="AB276" s="15">
        <f>-$K276*IFERROR(INDEX('[1]salary allocation'!$E$6:$J$22,MATCH($H276,'[1]salary allocation'!$D$6:$D$22,0),MATCH(AB$3,'[1]salary allocation'!$E$3:$J$3,0)),0)</f>
        <v>0</v>
      </c>
      <c r="AC276" s="18">
        <f>-$K276*IFERROR(INDEX('[1]salary allocation'!$E$6:$J$22,MATCH($H276,'[1]salary allocation'!$D$6:$D$22,0),MATCH(AC$3,'[1]salary allocation'!$E$3:$J$3,0)),0)</f>
        <v>0</v>
      </c>
      <c r="AD276" s="17"/>
      <c r="AE276" s="16"/>
      <c r="AF276" s="15">
        <f>-$K276</f>
        <v>6598498</v>
      </c>
      <c r="AG276" s="15"/>
      <c r="AH276" s="2">
        <f>K276+SUM(O276:AC276)</f>
        <v>0</v>
      </c>
      <c r="AI276" s="2">
        <f>K276+SUM(AF276:AG276)</f>
        <v>0</v>
      </c>
    </row>
    <row r="277" spans="1:35" x14ac:dyDescent="0.2">
      <c r="A277" s="69" t="s">
        <v>61</v>
      </c>
      <c r="B277" s="68">
        <v>45797</v>
      </c>
      <c r="H277" s="1" t="s">
        <v>55</v>
      </c>
      <c r="I277" s="1" t="s">
        <v>618</v>
      </c>
      <c r="K277" s="2">
        <v>-8433531</v>
      </c>
      <c r="L277" s="46">
        <v>52025</v>
      </c>
      <c r="M277" s="2" t="str">
        <f>VLOOKUP(H277,$H$132:$M$160,6,0)</f>
        <v>VNHBC</v>
      </c>
      <c r="N277" s="2" t="s">
        <v>138</v>
      </c>
      <c r="O277" s="15">
        <f>-$K277*IFERROR(INDEX('[1]salary allocation'!$E$6:$J$22,MATCH($H277,'[1]salary allocation'!$D$6:$D$22,0),MATCH(O$3,'[1]salary allocation'!$E$3:$J$3,0)),0)</f>
        <v>0</v>
      </c>
      <c r="P277" s="15">
        <f>-$K277*IFERROR(INDEX('[1]salary allocation'!$E$6:$J$22,MATCH($H277,'[1]salary allocation'!$D$6:$D$22,0),MATCH(P$3,'[1]salary allocation'!$E$3:$J$3,0)),0)</f>
        <v>0</v>
      </c>
      <c r="Q277" s="15">
        <f>-$K277*IFERROR(INDEX('[1]salary allocation'!$E$6:$J$22,MATCH($H277,'[1]salary allocation'!$D$6:$D$22,0),MATCH(Q$3,'[1]salary allocation'!$E$3:$J$3,0)),0)</f>
        <v>0</v>
      </c>
      <c r="R277" s="15">
        <f>-$K277*IFERROR(INDEX('[1]salary allocation'!$E$6:$J$22,MATCH($H277,'[1]salary allocation'!$D$6:$D$22,0),MATCH(R$3,'[1]salary allocation'!$E$3:$J$3,0)),0)</f>
        <v>0</v>
      </c>
      <c r="S277" s="15">
        <f>-$K277*IFERROR(INDEX('[1]salary allocation'!$E$6:$J$22,MATCH($H277,'[1]salary allocation'!$D$6:$D$22,0),MATCH(S$3,'[1]salary allocation'!$E$3:$J$3,0)),0)</f>
        <v>1686706.2000000002</v>
      </c>
      <c r="T277" s="15">
        <f>-$K277*IFERROR(INDEX('[1]salary allocation'!$E$6:$J$22,MATCH($H277,'[1]salary allocation'!$D$6:$D$22,0),MATCH(T$3,'[1]salary allocation'!$E$3:$J$3,0)),0)</f>
        <v>1686706.2000000002</v>
      </c>
      <c r="U277" s="15">
        <f>-$K277*IFERROR(INDEX('[1]salary allocation'!$E$6:$J$22,MATCH($H277,'[1]salary allocation'!$D$6:$D$22,0),MATCH(U$3,'[1]salary allocation'!$E$3:$J$3,0)),0)</f>
        <v>1686706.2000000002</v>
      </c>
      <c r="V277" s="15">
        <f>-$K277*IFERROR(INDEX('[1]salary allocation'!$E$6:$J$22,MATCH($H277,'[1]salary allocation'!$D$6:$D$22,0),MATCH(V$3,'[1]salary allocation'!$E$3:$J$3,0)),0)</f>
        <v>0</v>
      </c>
      <c r="W277" s="15">
        <f>-$K277*IFERROR(INDEX('[1]salary allocation'!$E$6:$J$22,MATCH($H277,'[1]salary allocation'!$D$6:$D$22,0),MATCH(W$3,'[1]salary allocation'!$E$3:$J$3,0)),0)</f>
        <v>3373412.4000000004</v>
      </c>
      <c r="X277" s="15">
        <f>-$K277*IFERROR(INDEX('[1]salary allocation'!$E$6:$J$22,MATCH($H277,'[1]salary allocation'!$D$6:$D$22,0),MATCH(X$3,'[1]salary allocation'!$E$3:$J$3,0)),0)</f>
        <v>0</v>
      </c>
      <c r="Y277" s="15">
        <f>-$K277*IFERROR(INDEX('[1]salary allocation'!$E$6:$J$22,MATCH($H277,'[1]salary allocation'!$D$6:$D$22,0),MATCH(Y$3,'[1]salary allocation'!$E$3:$J$3,0)),0)</f>
        <v>0</v>
      </c>
      <c r="Z277" s="15">
        <f>-$K277*IFERROR(INDEX('[1]salary allocation'!$E$6:$J$22,MATCH($H277,'[1]salary allocation'!$D$6:$D$22,0),MATCH(Z$3,'[1]salary allocation'!$E$3:$J$3,0)),0)</f>
        <v>0</v>
      </c>
      <c r="AA277" s="15">
        <f>-$K277*IFERROR(INDEX('[1]salary allocation'!$E$6:$J$22,MATCH($H277,'[1]salary allocation'!$D$6:$D$22,0),MATCH(AA$3,'[1]salary allocation'!$E$3:$J$3,0)),0)</f>
        <v>0</v>
      </c>
      <c r="AB277" s="15">
        <f>-$K277*IFERROR(INDEX('[1]salary allocation'!$E$6:$J$22,MATCH($H277,'[1]salary allocation'!$D$6:$D$22,0),MATCH(AB$3,'[1]salary allocation'!$E$3:$J$3,0)),0)</f>
        <v>0</v>
      </c>
      <c r="AC277" s="18">
        <f>-$K277*IFERROR(INDEX('[1]salary allocation'!$E$6:$J$22,MATCH($H277,'[1]salary allocation'!$D$6:$D$22,0),MATCH(AC$3,'[1]salary allocation'!$E$3:$J$3,0)),0)</f>
        <v>0</v>
      </c>
      <c r="AD277" s="17"/>
      <c r="AE277" s="16"/>
      <c r="AF277" s="15"/>
      <c r="AG277" s="15">
        <f>-$K277</f>
        <v>8433531</v>
      </c>
      <c r="AH277" s="2">
        <f>K277+SUM(O277:AC277)</f>
        <v>0</v>
      </c>
      <c r="AI277" s="2">
        <f>K277+SUM(AF277:AG277)</f>
        <v>0</v>
      </c>
    </row>
    <row r="278" spans="1:35" x14ac:dyDescent="0.2">
      <c r="A278" s="69" t="s">
        <v>61</v>
      </c>
      <c r="B278" s="68">
        <v>45797</v>
      </c>
      <c r="H278" s="1" t="s">
        <v>53</v>
      </c>
      <c r="I278" s="1" t="s">
        <v>617</v>
      </c>
      <c r="K278" s="2">
        <v>-5024701</v>
      </c>
      <c r="L278" s="46">
        <v>52025</v>
      </c>
      <c r="M278" s="2" t="str">
        <f>VLOOKUP(H278,$H$132:$M$160,6,0)</f>
        <v>VNOther</v>
      </c>
      <c r="N278" s="2" t="s">
        <v>138</v>
      </c>
      <c r="O278" s="15">
        <f>-$K278*IFERROR(INDEX('[1]salary allocation'!$E$6:$J$22,MATCH($H278,'[1]salary allocation'!$D$6:$D$22,0),MATCH(O$3,'[1]salary allocation'!$E$3:$J$3,0)),0)</f>
        <v>0</v>
      </c>
      <c r="P278" s="15">
        <f>-$K278*IFERROR(INDEX('[1]salary allocation'!$E$6:$J$22,MATCH($H278,'[1]salary allocation'!$D$6:$D$22,0),MATCH(P$3,'[1]salary allocation'!$E$3:$J$3,0)),0)</f>
        <v>753705.15</v>
      </c>
      <c r="Q278" s="15">
        <f>-$K278*IFERROR(INDEX('[1]salary allocation'!$E$6:$J$22,MATCH($H278,'[1]salary allocation'!$D$6:$D$22,0),MATCH(Q$3,'[1]salary allocation'!$E$3:$J$3,0)),0)</f>
        <v>0</v>
      </c>
      <c r="R278" s="15">
        <f>-$K278*IFERROR(INDEX('[1]salary allocation'!$E$6:$J$22,MATCH($H278,'[1]salary allocation'!$D$6:$D$22,0),MATCH(R$3,'[1]salary allocation'!$E$3:$J$3,0)),0)</f>
        <v>0</v>
      </c>
      <c r="S278" s="15">
        <f>-$K278*IFERROR(INDEX('[1]salary allocation'!$E$6:$J$22,MATCH($H278,'[1]salary allocation'!$D$6:$D$22,0),MATCH(S$3,'[1]salary allocation'!$E$3:$J$3,0)),0)</f>
        <v>854199.16999999993</v>
      </c>
      <c r="T278" s="15">
        <f>-$K278*IFERROR(INDEX('[1]salary allocation'!$E$6:$J$22,MATCH($H278,'[1]salary allocation'!$D$6:$D$22,0),MATCH(T$3,'[1]salary allocation'!$E$3:$J$3,0)),0)</f>
        <v>854199.16999999993</v>
      </c>
      <c r="U278" s="15">
        <f>-$K278*IFERROR(INDEX('[1]salary allocation'!$E$6:$J$22,MATCH($H278,'[1]salary allocation'!$D$6:$D$22,0),MATCH(U$3,'[1]salary allocation'!$E$3:$J$3,0)),0)</f>
        <v>854199.16999999993</v>
      </c>
      <c r="V278" s="15">
        <f>-$K278*IFERROR(INDEX('[1]salary allocation'!$E$6:$J$22,MATCH($H278,'[1]salary allocation'!$D$6:$D$22,0),MATCH(V$3,'[1]salary allocation'!$E$3:$J$3,0)),0)</f>
        <v>0</v>
      </c>
      <c r="W278" s="15">
        <f>-$K278*IFERROR(INDEX('[1]salary allocation'!$E$6:$J$22,MATCH($H278,'[1]salary allocation'!$D$6:$D$22,0),MATCH(W$3,'[1]salary allocation'!$E$3:$J$3,0)),0)</f>
        <v>1708398.3399999999</v>
      </c>
      <c r="X278" s="15">
        <f>-$K278*IFERROR(INDEX('[1]salary allocation'!$E$6:$J$22,MATCH($H278,'[1]salary allocation'!$D$6:$D$22,0),MATCH(X$3,'[1]salary allocation'!$E$3:$J$3,0)),0)</f>
        <v>0</v>
      </c>
      <c r="Y278" s="15">
        <f>-$K278*IFERROR(INDEX('[1]salary allocation'!$E$6:$J$22,MATCH($H278,'[1]salary allocation'!$D$6:$D$22,0),MATCH(Y$3,'[1]salary allocation'!$E$3:$J$3,0)),0)</f>
        <v>0</v>
      </c>
      <c r="Z278" s="15">
        <f>-$K278*IFERROR(INDEX('[1]salary allocation'!$E$6:$J$22,MATCH($H278,'[1]salary allocation'!$D$6:$D$22,0),MATCH(Z$3,'[1]salary allocation'!$E$3:$J$3,0)),0)</f>
        <v>0</v>
      </c>
      <c r="AA278" s="15">
        <f>-$K278*IFERROR(INDEX('[1]salary allocation'!$E$6:$J$22,MATCH($H278,'[1]salary allocation'!$D$6:$D$22,0),MATCH(AA$3,'[1]salary allocation'!$E$3:$J$3,0)),0)</f>
        <v>0</v>
      </c>
      <c r="AB278" s="15">
        <f>-$K278*IFERROR(INDEX('[1]salary allocation'!$E$6:$J$22,MATCH($H278,'[1]salary allocation'!$D$6:$D$22,0),MATCH(AB$3,'[1]salary allocation'!$E$3:$J$3,0)),0)</f>
        <v>0</v>
      </c>
      <c r="AC278" s="18">
        <f>-$K278*IFERROR(INDEX('[1]salary allocation'!$E$6:$J$22,MATCH($H278,'[1]salary allocation'!$D$6:$D$22,0),MATCH(AC$3,'[1]salary allocation'!$E$3:$J$3,0)),0)</f>
        <v>0</v>
      </c>
      <c r="AD278" s="17"/>
      <c r="AE278" s="16"/>
      <c r="AF278" s="15">
        <f>-$K278</f>
        <v>5024701</v>
      </c>
      <c r="AG278" s="15"/>
      <c r="AH278" s="2">
        <f>K278+SUM(O278:AC278)</f>
        <v>0</v>
      </c>
      <c r="AI278" s="2">
        <f>K278+SUM(AF278:AG278)</f>
        <v>0</v>
      </c>
    </row>
    <row r="279" spans="1:35" x14ac:dyDescent="0.2">
      <c r="A279" s="69" t="s">
        <v>61</v>
      </c>
      <c r="B279" s="68">
        <v>45797</v>
      </c>
      <c r="H279" s="1" t="s">
        <v>51</v>
      </c>
      <c r="I279" s="1" t="s">
        <v>616</v>
      </c>
      <c r="K279" s="2">
        <v>-2199668</v>
      </c>
      <c r="L279" s="46">
        <v>52025</v>
      </c>
      <c r="M279" s="2" t="str">
        <f>VLOOKUP(H279,$H$132:$M$160,6,0)</f>
        <v>VNOther</v>
      </c>
      <c r="N279" s="2" t="s">
        <v>138</v>
      </c>
      <c r="O279" s="15">
        <f>-$K279*IFERROR(INDEX('[1]salary allocation'!$E$6:$J$22,MATCH($H279,'[1]salary allocation'!$D$6:$D$22,0),MATCH(O$3,'[1]salary allocation'!$E$3:$J$3,0)),0)</f>
        <v>0</v>
      </c>
      <c r="P279" s="15">
        <f>-$K279*IFERROR(INDEX('[1]salary allocation'!$E$6:$J$22,MATCH($H279,'[1]salary allocation'!$D$6:$D$22,0),MATCH(P$3,'[1]salary allocation'!$E$3:$J$3,0)),0)</f>
        <v>1099834</v>
      </c>
      <c r="Q279" s="15">
        <f>-$K279*IFERROR(INDEX('[1]salary allocation'!$E$6:$J$22,MATCH($H279,'[1]salary allocation'!$D$6:$D$22,0),MATCH(Q$3,'[1]salary allocation'!$E$3:$J$3,0)),0)</f>
        <v>0</v>
      </c>
      <c r="R279" s="15">
        <f>-$K279*IFERROR(INDEX('[1]salary allocation'!$E$6:$J$22,MATCH($H279,'[1]salary allocation'!$D$6:$D$22,0),MATCH(R$3,'[1]salary allocation'!$E$3:$J$3,0)),0)</f>
        <v>0</v>
      </c>
      <c r="S279" s="15">
        <f>-$K279*IFERROR(INDEX('[1]salary allocation'!$E$6:$J$22,MATCH($H279,'[1]salary allocation'!$D$6:$D$22,0),MATCH(S$3,'[1]salary allocation'!$E$3:$J$3,0)),0)</f>
        <v>219966.80000000002</v>
      </c>
      <c r="T279" s="15">
        <f>-$K279*IFERROR(INDEX('[1]salary allocation'!$E$6:$J$22,MATCH($H279,'[1]salary allocation'!$D$6:$D$22,0),MATCH(T$3,'[1]salary allocation'!$E$3:$J$3,0)),0)</f>
        <v>219966.80000000002</v>
      </c>
      <c r="U279" s="15">
        <f>-$K279*IFERROR(INDEX('[1]salary allocation'!$E$6:$J$22,MATCH($H279,'[1]salary allocation'!$D$6:$D$22,0),MATCH(U$3,'[1]salary allocation'!$E$3:$J$3,0)),0)</f>
        <v>219966.80000000002</v>
      </c>
      <c r="V279" s="15">
        <f>-$K279*IFERROR(INDEX('[1]salary allocation'!$E$6:$J$22,MATCH($H279,'[1]salary allocation'!$D$6:$D$22,0),MATCH(V$3,'[1]salary allocation'!$E$3:$J$3,0)),0)</f>
        <v>0</v>
      </c>
      <c r="W279" s="15">
        <f>-$K279*IFERROR(INDEX('[1]salary allocation'!$E$6:$J$22,MATCH($H279,'[1]salary allocation'!$D$6:$D$22,0),MATCH(W$3,'[1]salary allocation'!$E$3:$J$3,0)),0)</f>
        <v>439933.60000000003</v>
      </c>
      <c r="X279" s="15">
        <f>-$K279*IFERROR(INDEX('[1]salary allocation'!$E$6:$J$22,MATCH($H279,'[1]salary allocation'!$D$6:$D$22,0),MATCH(X$3,'[1]salary allocation'!$E$3:$J$3,0)),0)</f>
        <v>0</v>
      </c>
      <c r="Y279" s="15">
        <f>-$K279*IFERROR(INDEX('[1]salary allocation'!$E$6:$J$22,MATCH($H279,'[1]salary allocation'!$D$6:$D$22,0),MATCH(Y$3,'[1]salary allocation'!$E$3:$J$3,0)),0)</f>
        <v>0</v>
      </c>
      <c r="Z279" s="15">
        <f>-$K279*IFERROR(INDEX('[1]salary allocation'!$E$6:$J$22,MATCH($H279,'[1]salary allocation'!$D$6:$D$22,0),MATCH(Z$3,'[1]salary allocation'!$E$3:$J$3,0)),0)</f>
        <v>0</v>
      </c>
      <c r="AA279" s="15">
        <f>-$K279*IFERROR(INDEX('[1]salary allocation'!$E$6:$J$22,MATCH($H279,'[1]salary allocation'!$D$6:$D$22,0),MATCH(AA$3,'[1]salary allocation'!$E$3:$J$3,0)),0)</f>
        <v>0</v>
      </c>
      <c r="AB279" s="15">
        <f>-$K279*IFERROR(INDEX('[1]salary allocation'!$E$6:$J$22,MATCH($H279,'[1]salary allocation'!$D$6:$D$22,0),MATCH(AB$3,'[1]salary allocation'!$E$3:$J$3,0)),0)</f>
        <v>0</v>
      </c>
      <c r="AC279" s="18">
        <f>-$K279*IFERROR(INDEX('[1]salary allocation'!$E$6:$J$22,MATCH($H279,'[1]salary allocation'!$D$6:$D$22,0),MATCH(AC$3,'[1]salary allocation'!$E$3:$J$3,0)),0)</f>
        <v>0</v>
      </c>
      <c r="AD279" s="17"/>
      <c r="AE279" s="16"/>
      <c r="AF279" s="15">
        <f>-$K279</f>
        <v>2199668</v>
      </c>
      <c r="AG279" s="15"/>
      <c r="AH279" s="2">
        <f>K279+SUM(O279:AC279)</f>
        <v>0</v>
      </c>
      <c r="AI279" s="2">
        <f>K279+SUM(AF279:AG279)</f>
        <v>0</v>
      </c>
    </row>
    <row r="280" spans="1:35" x14ac:dyDescent="0.2">
      <c r="A280" s="69" t="s">
        <v>61</v>
      </c>
      <c r="B280" s="68">
        <v>45797</v>
      </c>
      <c r="H280" s="1" t="s">
        <v>49</v>
      </c>
      <c r="I280" s="1" t="s">
        <v>615</v>
      </c>
      <c r="K280" s="2">
        <v>-1322918</v>
      </c>
      <c r="L280" s="46">
        <v>52025</v>
      </c>
      <c r="M280" s="2" t="str">
        <f>VLOOKUP(H280,$H$132:$M$160,6,0)</f>
        <v>VNMOET</v>
      </c>
      <c r="N280" s="2" t="s">
        <v>138</v>
      </c>
      <c r="O280" s="15">
        <f>-$K280*IFERROR(INDEX('[1]salary allocation'!$E$6:$J$22,MATCH($H280,'[1]salary allocation'!$D$6:$D$22,0),MATCH(O$3,'[1]salary allocation'!$E$3:$J$3,0)),0)</f>
        <v>0</v>
      </c>
      <c r="P280" s="15">
        <f>-$K280*IFERROR(INDEX('[1]salary allocation'!$E$6:$J$22,MATCH($H280,'[1]salary allocation'!$D$6:$D$22,0),MATCH(P$3,'[1]salary allocation'!$E$3:$J$3,0)),0)</f>
        <v>0</v>
      </c>
      <c r="Q280" s="15">
        <f>-$K280*IFERROR(INDEX('[1]salary allocation'!$E$6:$J$22,MATCH($H280,'[1]salary allocation'!$D$6:$D$22,0),MATCH(Q$3,'[1]salary allocation'!$E$3:$J$3,0)),0)</f>
        <v>0</v>
      </c>
      <c r="R280" s="15">
        <f>-$K280*IFERROR(INDEX('[1]salary allocation'!$E$6:$J$22,MATCH($H280,'[1]salary allocation'!$D$6:$D$22,0),MATCH(R$3,'[1]salary allocation'!$E$3:$J$3,0)),0)</f>
        <v>0</v>
      </c>
      <c r="S280" s="15">
        <f>-$K280*IFERROR(INDEX('[1]salary allocation'!$E$6:$J$22,MATCH($H280,'[1]salary allocation'!$D$6:$D$22,0),MATCH(S$3,'[1]salary allocation'!$E$3:$J$3,0)),0)</f>
        <v>264583.60000000003</v>
      </c>
      <c r="T280" s="15">
        <f>-$K280*IFERROR(INDEX('[1]salary allocation'!$E$6:$J$22,MATCH($H280,'[1]salary allocation'!$D$6:$D$22,0),MATCH(T$3,'[1]salary allocation'!$E$3:$J$3,0)),0)</f>
        <v>264583.60000000003</v>
      </c>
      <c r="U280" s="15">
        <f>-$K280*IFERROR(INDEX('[1]salary allocation'!$E$6:$J$22,MATCH($H280,'[1]salary allocation'!$D$6:$D$22,0),MATCH(U$3,'[1]salary allocation'!$E$3:$J$3,0)),0)</f>
        <v>264583.60000000003</v>
      </c>
      <c r="V280" s="15">
        <f>-$K280*IFERROR(INDEX('[1]salary allocation'!$E$6:$J$22,MATCH($H280,'[1]salary allocation'!$D$6:$D$22,0),MATCH(V$3,'[1]salary allocation'!$E$3:$J$3,0)),0)</f>
        <v>0</v>
      </c>
      <c r="W280" s="15">
        <f>-$K280*IFERROR(INDEX('[1]salary allocation'!$E$6:$J$22,MATCH($H280,'[1]salary allocation'!$D$6:$D$22,0),MATCH(W$3,'[1]salary allocation'!$E$3:$J$3,0)),0)</f>
        <v>529167.20000000007</v>
      </c>
      <c r="X280" s="15">
        <f>-$K280*IFERROR(INDEX('[1]salary allocation'!$E$6:$J$22,MATCH($H280,'[1]salary allocation'!$D$6:$D$22,0),MATCH(X$3,'[1]salary allocation'!$E$3:$J$3,0)),0)</f>
        <v>0</v>
      </c>
      <c r="Y280" s="15">
        <f>-$K280*IFERROR(INDEX('[1]salary allocation'!$E$6:$J$22,MATCH($H280,'[1]salary allocation'!$D$6:$D$22,0),MATCH(Y$3,'[1]salary allocation'!$E$3:$J$3,0)),0)</f>
        <v>0</v>
      </c>
      <c r="Z280" s="15">
        <f>-$K280*IFERROR(INDEX('[1]salary allocation'!$E$6:$J$22,MATCH($H280,'[1]salary allocation'!$D$6:$D$22,0),MATCH(Z$3,'[1]salary allocation'!$E$3:$J$3,0)),0)</f>
        <v>0</v>
      </c>
      <c r="AA280" s="15">
        <f>-$K280*IFERROR(INDEX('[1]salary allocation'!$E$6:$J$22,MATCH($H280,'[1]salary allocation'!$D$6:$D$22,0),MATCH(AA$3,'[1]salary allocation'!$E$3:$J$3,0)),0)</f>
        <v>0</v>
      </c>
      <c r="AB280" s="15">
        <f>-$K280*IFERROR(INDEX('[1]salary allocation'!$E$6:$J$22,MATCH($H280,'[1]salary allocation'!$D$6:$D$22,0),MATCH(AB$3,'[1]salary allocation'!$E$3:$J$3,0)),0)</f>
        <v>0</v>
      </c>
      <c r="AC280" s="18">
        <f>-$K280*IFERROR(INDEX('[1]salary allocation'!$E$6:$J$22,MATCH($H280,'[1]salary allocation'!$D$6:$D$22,0),MATCH(AC$3,'[1]salary allocation'!$E$3:$J$3,0)),0)</f>
        <v>0</v>
      </c>
      <c r="AD280" s="17"/>
      <c r="AE280" s="16"/>
      <c r="AF280" s="15"/>
      <c r="AG280" s="15">
        <f>-K280</f>
        <v>1322918</v>
      </c>
      <c r="AH280" s="2">
        <f>K280+SUM(O280:AC280)</f>
        <v>0</v>
      </c>
      <c r="AI280" s="2">
        <f>K280+SUM(AF280:AG280)</f>
        <v>0</v>
      </c>
    </row>
    <row r="281" spans="1:35" x14ac:dyDescent="0.2">
      <c r="A281" s="69" t="s">
        <v>61</v>
      </c>
      <c r="B281" s="68">
        <v>45797</v>
      </c>
      <c r="H281" s="1" t="s">
        <v>47</v>
      </c>
      <c r="I281" s="1" t="s">
        <v>614</v>
      </c>
      <c r="K281" s="2">
        <v>-4300587</v>
      </c>
      <c r="L281" s="46">
        <v>52025</v>
      </c>
      <c r="M281" s="2" t="str">
        <f>VLOOKUP(H281,$H$132:$M$160,6,0)</f>
        <v>VNHBC</v>
      </c>
      <c r="N281" s="2" t="s">
        <v>138</v>
      </c>
      <c r="O281" s="15">
        <f>-$K281*IFERROR(INDEX('[1]salary allocation'!$E$6:$J$22,MATCH($H281,'[1]salary allocation'!$D$6:$D$22,0),MATCH(O$3,'[1]salary allocation'!$E$3:$J$3,0)),0)</f>
        <v>0</v>
      </c>
      <c r="P281" s="15">
        <f>-$K281*IFERROR(INDEX('[1]salary allocation'!$E$6:$J$22,MATCH($H281,'[1]salary allocation'!$D$6:$D$22,0),MATCH(P$3,'[1]salary allocation'!$E$3:$J$3,0)),0)</f>
        <v>0</v>
      </c>
      <c r="Q281" s="15">
        <f>-$K281*IFERROR(INDEX('[1]salary allocation'!$E$6:$J$22,MATCH($H281,'[1]salary allocation'!$D$6:$D$22,0),MATCH(Q$3,'[1]salary allocation'!$E$3:$J$3,0)),0)</f>
        <v>0</v>
      </c>
      <c r="R281" s="15">
        <f>-$K281*IFERROR(INDEX('[1]salary allocation'!$E$6:$J$22,MATCH($H281,'[1]salary allocation'!$D$6:$D$22,0),MATCH(R$3,'[1]salary allocation'!$E$3:$J$3,0)),0)</f>
        <v>0</v>
      </c>
      <c r="S281" s="15">
        <f>-$K281*IFERROR(INDEX('[1]salary allocation'!$E$6:$J$22,MATCH($H281,'[1]salary allocation'!$D$6:$D$22,0),MATCH(S$3,'[1]salary allocation'!$E$3:$J$3,0)),0)</f>
        <v>860117.4</v>
      </c>
      <c r="T281" s="15">
        <f>-$K281*IFERROR(INDEX('[1]salary allocation'!$E$6:$J$22,MATCH($H281,'[1]salary allocation'!$D$6:$D$22,0),MATCH(T$3,'[1]salary allocation'!$E$3:$J$3,0)),0)</f>
        <v>860117.4</v>
      </c>
      <c r="U281" s="15">
        <f>-$K281*IFERROR(INDEX('[1]salary allocation'!$E$6:$J$22,MATCH($H281,'[1]salary allocation'!$D$6:$D$22,0),MATCH(U$3,'[1]salary allocation'!$E$3:$J$3,0)),0)</f>
        <v>860117.4</v>
      </c>
      <c r="V281" s="15">
        <f>-$K281*IFERROR(INDEX('[1]salary allocation'!$E$6:$J$22,MATCH($H281,'[1]salary allocation'!$D$6:$D$22,0),MATCH(V$3,'[1]salary allocation'!$E$3:$J$3,0)),0)</f>
        <v>0</v>
      </c>
      <c r="W281" s="15">
        <f>-$K281*IFERROR(INDEX('[1]salary allocation'!$E$6:$J$22,MATCH($H281,'[1]salary allocation'!$D$6:$D$22,0),MATCH(W$3,'[1]salary allocation'!$E$3:$J$3,0)),0)</f>
        <v>1720234.8</v>
      </c>
      <c r="X281" s="15">
        <f>-$K281*IFERROR(INDEX('[1]salary allocation'!$E$6:$J$22,MATCH($H281,'[1]salary allocation'!$D$6:$D$22,0),MATCH(X$3,'[1]salary allocation'!$E$3:$J$3,0)),0)</f>
        <v>0</v>
      </c>
      <c r="Y281" s="15">
        <f>-$K281*IFERROR(INDEX('[1]salary allocation'!$E$6:$J$22,MATCH($H281,'[1]salary allocation'!$D$6:$D$22,0),MATCH(Y$3,'[1]salary allocation'!$E$3:$J$3,0)),0)</f>
        <v>0</v>
      </c>
      <c r="Z281" s="15">
        <f>-$K281*IFERROR(INDEX('[1]salary allocation'!$E$6:$J$22,MATCH($H281,'[1]salary allocation'!$D$6:$D$22,0),MATCH(Z$3,'[1]salary allocation'!$E$3:$J$3,0)),0)</f>
        <v>0</v>
      </c>
      <c r="AA281" s="15">
        <f>-$K281*IFERROR(INDEX('[1]salary allocation'!$E$6:$J$22,MATCH($H281,'[1]salary allocation'!$D$6:$D$22,0),MATCH(AA$3,'[1]salary allocation'!$E$3:$J$3,0)),0)</f>
        <v>0</v>
      </c>
      <c r="AB281" s="15">
        <f>-$K281*IFERROR(INDEX('[1]salary allocation'!$E$6:$J$22,MATCH($H281,'[1]salary allocation'!$D$6:$D$22,0),MATCH(AB$3,'[1]salary allocation'!$E$3:$J$3,0)),0)</f>
        <v>0</v>
      </c>
      <c r="AC281" s="18">
        <f>-$K281*IFERROR(INDEX('[1]salary allocation'!$E$6:$J$22,MATCH($H281,'[1]salary allocation'!$D$6:$D$22,0),MATCH(AC$3,'[1]salary allocation'!$E$3:$J$3,0)),0)</f>
        <v>0</v>
      </c>
      <c r="AD281" s="17"/>
      <c r="AE281" s="16"/>
      <c r="AF281" s="15">
        <f>-$K281</f>
        <v>4300587</v>
      </c>
      <c r="AG281" s="15"/>
      <c r="AH281" s="2">
        <f>K281+SUM(O281:AC281)</f>
        <v>0</v>
      </c>
      <c r="AI281" s="2">
        <f>K281+SUM(AF281:AG281)</f>
        <v>0</v>
      </c>
    </row>
    <row r="282" spans="1:35" x14ac:dyDescent="0.2">
      <c r="A282" s="69" t="s">
        <v>61</v>
      </c>
      <c r="B282" s="68">
        <v>45797</v>
      </c>
      <c r="H282" s="1" t="s">
        <v>45</v>
      </c>
      <c r="I282" s="1" t="s">
        <v>613</v>
      </c>
      <c r="K282" s="2">
        <v>-124520</v>
      </c>
      <c r="L282" s="46">
        <v>52025</v>
      </c>
      <c r="M282" s="2" t="str">
        <f>VLOOKUP(H282,$H$132:$M$160,6,0)</f>
        <v>VNHBC</v>
      </c>
      <c r="N282" s="2" t="s">
        <v>138</v>
      </c>
      <c r="O282" s="15">
        <f>-$K282*IFERROR(INDEX('[1]salary allocation'!$E$6:$J$22,MATCH($H282,'[1]salary allocation'!$D$6:$D$22,0),MATCH(O$3,'[1]salary allocation'!$E$3:$J$3,0)),0)</f>
        <v>0</v>
      </c>
      <c r="P282" s="15">
        <f>-$K282*IFERROR(INDEX('[1]salary allocation'!$E$6:$J$22,MATCH($H282,'[1]salary allocation'!$D$6:$D$22,0),MATCH(P$3,'[1]salary allocation'!$E$3:$J$3,0)),0)</f>
        <v>0</v>
      </c>
      <c r="Q282" s="15">
        <f>-$K282*IFERROR(INDEX('[1]salary allocation'!$E$6:$J$22,MATCH($H282,'[1]salary allocation'!$D$6:$D$22,0),MATCH(Q$3,'[1]salary allocation'!$E$3:$J$3,0)),0)</f>
        <v>0</v>
      </c>
      <c r="R282" s="15">
        <f>-$K282*IFERROR(INDEX('[1]salary allocation'!$E$6:$J$22,MATCH($H282,'[1]salary allocation'!$D$6:$D$22,0),MATCH(R$3,'[1]salary allocation'!$E$3:$J$3,0)),0)</f>
        <v>0</v>
      </c>
      <c r="S282" s="15">
        <f>-$K282*IFERROR(INDEX('[1]salary allocation'!$E$6:$J$22,MATCH($H282,'[1]salary allocation'!$D$6:$D$22,0),MATCH(S$3,'[1]salary allocation'!$E$3:$J$3,0)),0)</f>
        <v>24904</v>
      </c>
      <c r="T282" s="15">
        <f>-$K282*IFERROR(INDEX('[1]salary allocation'!$E$6:$J$22,MATCH($H282,'[1]salary allocation'!$D$6:$D$22,0),MATCH(T$3,'[1]salary allocation'!$E$3:$J$3,0)),0)</f>
        <v>24904</v>
      </c>
      <c r="U282" s="15">
        <f>-$K282*IFERROR(INDEX('[1]salary allocation'!$E$6:$J$22,MATCH($H282,'[1]salary allocation'!$D$6:$D$22,0),MATCH(U$3,'[1]salary allocation'!$E$3:$J$3,0)),0)</f>
        <v>24904</v>
      </c>
      <c r="V282" s="15">
        <f>-$K282*IFERROR(INDEX('[1]salary allocation'!$E$6:$J$22,MATCH($H282,'[1]salary allocation'!$D$6:$D$22,0),MATCH(V$3,'[1]salary allocation'!$E$3:$J$3,0)),0)</f>
        <v>0</v>
      </c>
      <c r="W282" s="15">
        <f>-$K282*IFERROR(INDEX('[1]salary allocation'!$E$6:$J$22,MATCH($H282,'[1]salary allocation'!$D$6:$D$22,0),MATCH(W$3,'[1]salary allocation'!$E$3:$J$3,0)),0)</f>
        <v>49808</v>
      </c>
      <c r="X282" s="15">
        <f>-$K282*IFERROR(INDEX('[1]salary allocation'!$E$6:$J$22,MATCH($H282,'[1]salary allocation'!$D$6:$D$22,0),MATCH(X$3,'[1]salary allocation'!$E$3:$J$3,0)),0)</f>
        <v>0</v>
      </c>
      <c r="Y282" s="15">
        <f>-$K282*IFERROR(INDEX('[1]salary allocation'!$E$6:$J$22,MATCH($H282,'[1]salary allocation'!$D$6:$D$22,0),MATCH(Y$3,'[1]salary allocation'!$E$3:$J$3,0)),0)</f>
        <v>0</v>
      </c>
      <c r="Z282" s="15">
        <f>-$K282*IFERROR(INDEX('[1]salary allocation'!$E$6:$J$22,MATCH($H282,'[1]salary allocation'!$D$6:$D$22,0),MATCH(Z$3,'[1]salary allocation'!$E$3:$J$3,0)),0)</f>
        <v>0</v>
      </c>
      <c r="AA282" s="15">
        <f>-$K282*IFERROR(INDEX('[1]salary allocation'!$E$6:$J$22,MATCH($H282,'[1]salary allocation'!$D$6:$D$22,0),MATCH(AA$3,'[1]salary allocation'!$E$3:$J$3,0)),0)</f>
        <v>0</v>
      </c>
      <c r="AB282" s="15">
        <f>-$K282*IFERROR(INDEX('[1]salary allocation'!$E$6:$J$22,MATCH($H282,'[1]salary allocation'!$D$6:$D$22,0),MATCH(AB$3,'[1]salary allocation'!$E$3:$J$3,0)),0)</f>
        <v>0</v>
      </c>
      <c r="AC282" s="18">
        <f>-$K282*IFERROR(INDEX('[1]salary allocation'!$E$6:$J$22,MATCH($H282,'[1]salary allocation'!$D$6:$D$22,0),MATCH(AC$3,'[1]salary allocation'!$E$3:$J$3,0)),0)</f>
        <v>0</v>
      </c>
      <c r="AD282" s="17"/>
      <c r="AE282" s="16"/>
      <c r="AF282" s="15"/>
      <c r="AG282" s="15">
        <f>-K282</f>
        <v>124520</v>
      </c>
      <c r="AH282" s="2">
        <f>K282+SUM(O282:AC282)</f>
        <v>0</v>
      </c>
      <c r="AI282" s="2">
        <f>K282+SUM(AF282:AG282)</f>
        <v>0</v>
      </c>
    </row>
    <row r="283" spans="1:35" x14ac:dyDescent="0.2">
      <c r="A283" s="69" t="s">
        <v>61</v>
      </c>
      <c r="B283" s="68">
        <v>45797</v>
      </c>
      <c r="H283" s="1" t="s">
        <v>43</v>
      </c>
      <c r="I283" s="1" t="s">
        <v>612</v>
      </c>
      <c r="K283" s="2">
        <v>-5041522</v>
      </c>
      <c r="L283" s="46">
        <v>52025</v>
      </c>
      <c r="M283" s="2" t="str">
        <f>VLOOKUP(H283,$H$132:$M$160,6,0)</f>
        <v>VNMOET</v>
      </c>
      <c r="N283" s="2" t="s">
        <v>138</v>
      </c>
      <c r="O283" s="15">
        <f>-$K283*IFERROR(INDEX('[1]salary allocation'!$E$6:$J$22,MATCH($H283,'[1]salary allocation'!$D$6:$D$22,0),MATCH(O$3,'[1]salary allocation'!$E$3:$J$3,0)),0)</f>
        <v>0</v>
      </c>
      <c r="P283" s="15">
        <f>-$K283*IFERROR(INDEX('[1]salary allocation'!$E$6:$J$22,MATCH($H283,'[1]salary allocation'!$D$6:$D$22,0),MATCH(P$3,'[1]salary allocation'!$E$3:$J$3,0)),0)</f>
        <v>0</v>
      </c>
      <c r="Q283" s="15">
        <f>-$K283*IFERROR(INDEX('[1]salary allocation'!$E$6:$J$22,MATCH($H283,'[1]salary allocation'!$D$6:$D$22,0),MATCH(Q$3,'[1]salary allocation'!$E$3:$J$3,0)),0)</f>
        <v>0</v>
      </c>
      <c r="R283" s="15">
        <f>-$K283*IFERROR(INDEX('[1]salary allocation'!$E$6:$J$22,MATCH($H283,'[1]salary allocation'!$D$6:$D$22,0),MATCH(R$3,'[1]salary allocation'!$E$3:$J$3,0)),0)</f>
        <v>0</v>
      </c>
      <c r="S283" s="15">
        <f>-$K283*IFERROR(INDEX('[1]salary allocation'!$E$6:$J$22,MATCH($H283,'[1]salary allocation'!$D$6:$D$22,0),MATCH(S$3,'[1]salary allocation'!$E$3:$J$3,0)),0)</f>
        <v>1008304.4</v>
      </c>
      <c r="T283" s="15">
        <f>-$K283*IFERROR(INDEX('[1]salary allocation'!$E$6:$J$22,MATCH($H283,'[1]salary allocation'!$D$6:$D$22,0),MATCH(T$3,'[1]salary allocation'!$E$3:$J$3,0)),0)</f>
        <v>1008304.4</v>
      </c>
      <c r="U283" s="15">
        <f>-$K283*IFERROR(INDEX('[1]salary allocation'!$E$6:$J$22,MATCH($H283,'[1]salary allocation'!$D$6:$D$22,0),MATCH(U$3,'[1]salary allocation'!$E$3:$J$3,0)),0)</f>
        <v>1008304.4</v>
      </c>
      <c r="V283" s="15">
        <f>-$K283*IFERROR(INDEX('[1]salary allocation'!$E$6:$J$22,MATCH($H283,'[1]salary allocation'!$D$6:$D$22,0),MATCH(V$3,'[1]salary allocation'!$E$3:$J$3,0)),0)</f>
        <v>0</v>
      </c>
      <c r="W283" s="15">
        <f>-$K283*IFERROR(INDEX('[1]salary allocation'!$E$6:$J$22,MATCH($H283,'[1]salary allocation'!$D$6:$D$22,0),MATCH(W$3,'[1]salary allocation'!$E$3:$J$3,0)),0)</f>
        <v>2016608.8</v>
      </c>
      <c r="X283" s="15">
        <f>-$K283*IFERROR(INDEX('[1]salary allocation'!$E$6:$J$22,MATCH($H283,'[1]salary allocation'!$D$6:$D$22,0),MATCH(X$3,'[1]salary allocation'!$E$3:$J$3,0)),0)</f>
        <v>0</v>
      </c>
      <c r="Y283" s="15">
        <f>-$K283*IFERROR(INDEX('[1]salary allocation'!$E$6:$J$22,MATCH($H283,'[1]salary allocation'!$D$6:$D$22,0),MATCH(Y$3,'[1]salary allocation'!$E$3:$J$3,0)),0)</f>
        <v>0</v>
      </c>
      <c r="Z283" s="15">
        <f>-$K283*IFERROR(INDEX('[1]salary allocation'!$E$6:$J$22,MATCH($H283,'[1]salary allocation'!$D$6:$D$22,0),MATCH(Z$3,'[1]salary allocation'!$E$3:$J$3,0)),0)</f>
        <v>0</v>
      </c>
      <c r="AA283" s="15">
        <f>-$K283*IFERROR(INDEX('[1]salary allocation'!$E$6:$J$22,MATCH($H283,'[1]salary allocation'!$D$6:$D$22,0),MATCH(AA$3,'[1]salary allocation'!$E$3:$J$3,0)),0)</f>
        <v>0</v>
      </c>
      <c r="AB283" s="15">
        <f>-$K283*IFERROR(INDEX('[1]salary allocation'!$E$6:$J$22,MATCH($H283,'[1]salary allocation'!$D$6:$D$22,0),MATCH(AB$3,'[1]salary allocation'!$E$3:$J$3,0)),0)</f>
        <v>0</v>
      </c>
      <c r="AC283" s="18">
        <f>-$K283*IFERROR(INDEX('[1]salary allocation'!$E$6:$J$22,MATCH($H283,'[1]salary allocation'!$D$6:$D$22,0),MATCH(AC$3,'[1]salary allocation'!$E$3:$J$3,0)),0)</f>
        <v>0</v>
      </c>
      <c r="AD283" s="17"/>
      <c r="AE283" s="16"/>
      <c r="AF283" s="15">
        <f>-$K283</f>
        <v>5041522</v>
      </c>
      <c r="AG283" s="15"/>
      <c r="AH283" s="2">
        <f>K283+SUM(O283:AC283)</f>
        <v>0</v>
      </c>
      <c r="AI283" s="2">
        <f>K283+SUM(AF283:AG283)</f>
        <v>0</v>
      </c>
    </row>
    <row r="284" spans="1:35" x14ac:dyDescent="0.2">
      <c r="A284" s="69" t="s">
        <v>61</v>
      </c>
      <c r="B284" s="68">
        <v>45797</v>
      </c>
      <c r="H284" s="1" t="s">
        <v>41</v>
      </c>
      <c r="I284" s="1" t="s">
        <v>611</v>
      </c>
      <c r="K284" s="2">
        <v>-4453096</v>
      </c>
      <c r="L284" s="46">
        <v>52025</v>
      </c>
      <c r="M284" s="2" t="str">
        <f>VLOOKUP(H284,$H$132:$M$160,6,0)</f>
        <v>VNMOET</v>
      </c>
      <c r="N284" s="2" t="s">
        <v>138</v>
      </c>
      <c r="O284" s="15">
        <f>-$K284*IFERROR(INDEX('[1]salary allocation'!$E$6:$J$22,MATCH($H284,'[1]salary allocation'!$D$6:$D$22,0),MATCH(O$3,'[1]salary allocation'!$E$3:$J$3,0)),0)</f>
        <v>0</v>
      </c>
      <c r="P284" s="15">
        <f>-$K284*IFERROR(INDEX('[1]salary allocation'!$E$6:$J$22,MATCH($H284,'[1]salary allocation'!$D$6:$D$22,0),MATCH(P$3,'[1]salary allocation'!$E$3:$J$3,0)),0)</f>
        <v>0</v>
      </c>
      <c r="Q284" s="15">
        <f>-$K284*IFERROR(INDEX('[1]salary allocation'!$E$6:$J$22,MATCH($H284,'[1]salary allocation'!$D$6:$D$22,0),MATCH(Q$3,'[1]salary allocation'!$E$3:$J$3,0)),0)</f>
        <v>0</v>
      </c>
      <c r="R284" s="15">
        <f>-$K284*IFERROR(INDEX('[1]salary allocation'!$E$6:$J$22,MATCH($H284,'[1]salary allocation'!$D$6:$D$22,0),MATCH(R$3,'[1]salary allocation'!$E$3:$J$3,0)),0)</f>
        <v>0</v>
      </c>
      <c r="S284" s="15">
        <f>-$K284*IFERROR(INDEX('[1]salary allocation'!$E$6:$J$22,MATCH($H284,'[1]salary allocation'!$D$6:$D$22,0),MATCH(S$3,'[1]salary allocation'!$E$3:$J$3,0)),0)</f>
        <v>0</v>
      </c>
      <c r="T284" s="15">
        <f>-$K284*IFERROR(INDEX('[1]salary allocation'!$E$6:$J$22,MATCH($H284,'[1]salary allocation'!$D$6:$D$22,0),MATCH(T$3,'[1]salary allocation'!$E$3:$J$3,0)),0)</f>
        <v>0</v>
      </c>
      <c r="U284" s="15">
        <f>-$K284*IFERROR(INDEX('[1]salary allocation'!$E$6:$J$22,MATCH($H284,'[1]salary allocation'!$D$6:$D$22,0),MATCH(U$3,'[1]salary allocation'!$E$3:$J$3,0)),0)</f>
        <v>0</v>
      </c>
      <c r="V284" s="15">
        <f>-$K284*IFERROR(INDEX('[1]salary allocation'!$E$6:$J$22,MATCH($H284,'[1]salary allocation'!$D$6:$D$22,0),MATCH(V$3,'[1]salary allocation'!$E$3:$J$3,0)),0)</f>
        <v>0</v>
      </c>
      <c r="W284" s="15">
        <f>-$K284*IFERROR(INDEX('[1]salary allocation'!$E$6:$J$22,MATCH($H284,'[1]salary allocation'!$D$6:$D$22,0),MATCH(W$3,'[1]salary allocation'!$E$3:$J$3,0)),0)</f>
        <v>4453096</v>
      </c>
      <c r="X284" s="15">
        <f>-$K284*IFERROR(INDEX('[1]salary allocation'!$E$6:$J$22,MATCH($H284,'[1]salary allocation'!$D$6:$D$22,0),MATCH(X$3,'[1]salary allocation'!$E$3:$J$3,0)),0)</f>
        <v>0</v>
      </c>
      <c r="Y284" s="15">
        <f>-$K284*IFERROR(INDEX('[1]salary allocation'!$E$6:$J$22,MATCH($H284,'[1]salary allocation'!$D$6:$D$22,0),MATCH(Y$3,'[1]salary allocation'!$E$3:$J$3,0)),0)</f>
        <v>0</v>
      </c>
      <c r="Z284" s="15">
        <f>-$K284*IFERROR(INDEX('[1]salary allocation'!$E$6:$J$22,MATCH($H284,'[1]salary allocation'!$D$6:$D$22,0),MATCH(Z$3,'[1]salary allocation'!$E$3:$J$3,0)),0)</f>
        <v>0</v>
      </c>
      <c r="AA284" s="15">
        <f>-$K284*IFERROR(INDEX('[1]salary allocation'!$E$6:$J$22,MATCH($H284,'[1]salary allocation'!$D$6:$D$22,0),MATCH(AA$3,'[1]salary allocation'!$E$3:$J$3,0)),0)</f>
        <v>0</v>
      </c>
      <c r="AB284" s="15">
        <f>-$K284*IFERROR(INDEX('[1]salary allocation'!$E$6:$J$22,MATCH($H284,'[1]salary allocation'!$D$6:$D$22,0),MATCH(AB$3,'[1]salary allocation'!$E$3:$J$3,0)),0)</f>
        <v>0</v>
      </c>
      <c r="AC284" s="18">
        <f>-$K284*IFERROR(INDEX('[1]salary allocation'!$E$6:$J$22,MATCH($H284,'[1]salary allocation'!$D$6:$D$22,0),MATCH(AC$3,'[1]salary allocation'!$E$3:$J$3,0)),0)</f>
        <v>0</v>
      </c>
      <c r="AD284" s="17"/>
      <c r="AE284" s="16"/>
      <c r="AF284" s="15">
        <f>-$K284</f>
        <v>4453096</v>
      </c>
      <c r="AG284" s="15"/>
      <c r="AH284" s="2">
        <f>K284+SUM(O284:AC284)</f>
        <v>0</v>
      </c>
      <c r="AI284" s="2">
        <f>K284+SUM(AF284:AG284)</f>
        <v>0</v>
      </c>
    </row>
    <row r="285" spans="1:35" x14ac:dyDescent="0.2">
      <c r="A285" s="69" t="s">
        <v>61</v>
      </c>
      <c r="B285" s="68">
        <v>45797</v>
      </c>
      <c r="H285" s="1" t="s">
        <v>39</v>
      </c>
      <c r="I285" s="1" t="s">
        <v>610</v>
      </c>
      <c r="K285" s="2">
        <v>-5041522</v>
      </c>
      <c r="L285" s="46">
        <v>52025</v>
      </c>
      <c r="M285" s="2" t="str">
        <f>VLOOKUP(H285,$H$132:$M$160,6,0)</f>
        <v>VNMOET</v>
      </c>
      <c r="N285" s="2" t="s">
        <v>138</v>
      </c>
      <c r="O285" s="15">
        <f>-$K285*IFERROR(INDEX('[1]salary allocation'!$E$6:$J$22,MATCH($H285,'[1]salary allocation'!$D$6:$D$22,0),MATCH(O$3,'[1]salary allocation'!$E$3:$J$3,0)),0)</f>
        <v>0</v>
      </c>
      <c r="P285" s="15">
        <f>-$K285*IFERROR(INDEX('[1]salary allocation'!$E$6:$J$22,MATCH($H285,'[1]salary allocation'!$D$6:$D$22,0),MATCH(P$3,'[1]salary allocation'!$E$3:$J$3,0)),0)</f>
        <v>0</v>
      </c>
      <c r="Q285" s="15">
        <f>-$K285*IFERROR(INDEX('[1]salary allocation'!$E$6:$J$22,MATCH($H285,'[1]salary allocation'!$D$6:$D$22,0),MATCH(Q$3,'[1]salary allocation'!$E$3:$J$3,0)),0)</f>
        <v>0</v>
      </c>
      <c r="R285" s="15">
        <f>-$K285*IFERROR(INDEX('[1]salary allocation'!$E$6:$J$22,MATCH($H285,'[1]salary allocation'!$D$6:$D$22,0),MATCH(R$3,'[1]salary allocation'!$E$3:$J$3,0)),0)</f>
        <v>0</v>
      </c>
      <c r="S285" s="15">
        <f>-$K285*IFERROR(INDEX('[1]salary allocation'!$E$6:$J$22,MATCH($H285,'[1]salary allocation'!$D$6:$D$22,0),MATCH(S$3,'[1]salary allocation'!$E$3:$J$3,0)),0)</f>
        <v>0</v>
      </c>
      <c r="T285" s="15">
        <f>-$K285*IFERROR(INDEX('[1]salary allocation'!$E$6:$J$22,MATCH($H285,'[1]salary allocation'!$D$6:$D$22,0),MATCH(T$3,'[1]salary allocation'!$E$3:$J$3,0)),0)</f>
        <v>0</v>
      </c>
      <c r="U285" s="15">
        <f>-$K285*IFERROR(INDEX('[1]salary allocation'!$E$6:$J$22,MATCH($H285,'[1]salary allocation'!$D$6:$D$22,0),MATCH(U$3,'[1]salary allocation'!$E$3:$J$3,0)),0)</f>
        <v>0</v>
      </c>
      <c r="V285" s="15">
        <f>-$K285*IFERROR(INDEX('[1]salary allocation'!$E$6:$J$22,MATCH($H285,'[1]salary allocation'!$D$6:$D$22,0),MATCH(V$3,'[1]salary allocation'!$E$3:$J$3,0)),0)</f>
        <v>0</v>
      </c>
      <c r="W285" s="15">
        <f>-$K285*IFERROR(INDEX('[1]salary allocation'!$E$6:$J$22,MATCH($H285,'[1]salary allocation'!$D$6:$D$22,0),MATCH(W$3,'[1]salary allocation'!$E$3:$J$3,0)),0)</f>
        <v>5041522</v>
      </c>
      <c r="X285" s="15">
        <f>-$K285*IFERROR(INDEX('[1]salary allocation'!$E$6:$J$22,MATCH($H285,'[1]salary allocation'!$D$6:$D$22,0),MATCH(X$3,'[1]salary allocation'!$E$3:$J$3,0)),0)</f>
        <v>0</v>
      </c>
      <c r="Y285" s="15">
        <f>-$K285*IFERROR(INDEX('[1]salary allocation'!$E$6:$J$22,MATCH($H285,'[1]salary allocation'!$D$6:$D$22,0),MATCH(Y$3,'[1]salary allocation'!$E$3:$J$3,0)),0)</f>
        <v>0</v>
      </c>
      <c r="Z285" s="15">
        <f>-$K285*IFERROR(INDEX('[1]salary allocation'!$E$6:$J$22,MATCH($H285,'[1]salary allocation'!$D$6:$D$22,0),MATCH(Z$3,'[1]salary allocation'!$E$3:$J$3,0)),0)</f>
        <v>0</v>
      </c>
      <c r="AA285" s="15">
        <f>-$K285*IFERROR(INDEX('[1]salary allocation'!$E$6:$J$22,MATCH($H285,'[1]salary allocation'!$D$6:$D$22,0),MATCH(AA$3,'[1]salary allocation'!$E$3:$J$3,0)),0)</f>
        <v>0</v>
      </c>
      <c r="AB285" s="15">
        <f>-$K285*IFERROR(INDEX('[1]salary allocation'!$E$6:$J$22,MATCH($H285,'[1]salary allocation'!$D$6:$D$22,0),MATCH(AB$3,'[1]salary allocation'!$E$3:$J$3,0)),0)</f>
        <v>0</v>
      </c>
      <c r="AC285" s="18">
        <f>-$K285*IFERROR(INDEX('[1]salary allocation'!$E$6:$J$22,MATCH($H285,'[1]salary allocation'!$D$6:$D$22,0),MATCH(AC$3,'[1]salary allocation'!$E$3:$J$3,0)),0)</f>
        <v>0</v>
      </c>
      <c r="AD285" s="17"/>
      <c r="AE285" s="16"/>
      <c r="AF285" s="15">
        <f>-$K285</f>
        <v>5041522</v>
      </c>
      <c r="AG285" s="15"/>
      <c r="AH285" s="2">
        <f>K285+SUM(O285:AC285)</f>
        <v>0</v>
      </c>
      <c r="AI285" s="2">
        <f>K285+SUM(AF285:AG285)</f>
        <v>0</v>
      </c>
    </row>
    <row r="286" spans="1:35" x14ac:dyDescent="0.2">
      <c r="A286" s="69" t="s">
        <v>61</v>
      </c>
      <c r="B286" s="68">
        <v>45797</v>
      </c>
      <c r="H286" s="1" t="s">
        <v>37</v>
      </c>
      <c r="I286" s="1" t="s">
        <v>609</v>
      </c>
      <c r="K286" s="2">
        <v>-4029191</v>
      </c>
      <c r="L286" s="46">
        <v>52025</v>
      </c>
      <c r="M286" s="2" t="str">
        <f>VLOOKUP(H286,$H$132:$M$160,6,0)</f>
        <v>VNOther</v>
      </c>
      <c r="N286" s="2" t="s">
        <v>138</v>
      </c>
      <c r="O286" s="15">
        <f>-$K286*IFERROR(INDEX('[1]salary allocation'!$E$6:$J$22,MATCH($H286,'[1]salary allocation'!$D$6:$D$22,0),MATCH(O$3,'[1]salary allocation'!$E$3:$J$3,0)),0)</f>
        <v>0</v>
      </c>
      <c r="P286" s="15">
        <f>-$K286*IFERROR(INDEX('[1]salary allocation'!$E$6:$J$22,MATCH($H286,'[1]salary allocation'!$D$6:$D$22,0),MATCH(P$3,'[1]salary allocation'!$E$3:$J$3,0)),0)</f>
        <v>604378.65</v>
      </c>
      <c r="Q286" s="15">
        <f>-$K286*IFERROR(INDEX('[1]salary allocation'!$E$6:$J$22,MATCH($H286,'[1]salary allocation'!$D$6:$D$22,0),MATCH(Q$3,'[1]salary allocation'!$E$3:$J$3,0)),0)</f>
        <v>0</v>
      </c>
      <c r="R286" s="15">
        <f>-$K286*IFERROR(INDEX('[1]salary allocation'!$E$6:$J$22,MATCH($H286,'[1]salary allocation'!$D$6:$D$22,0),MATCH(R$3,'[1]salary allocation'!$E$3:$J$3,0)),0)</f>
        <v>0</v>
      </c>
      <c r="S286" s="15">
        <f>-$K286*IFERROR(INDEX('[1]salary allocation'!$E$6:$J$22,MATCH($H286,'[1]salary allocation'!$D$6:$D$22,0),MATCH(S$3,'[1]salary allocation'!$E$3:$J$3,0)),0)</f>
        <v>684962.47</v>
      </c>
      <c r="T286" s="15">
        <f>-$K286*IFERROR(INDEX('[1]salary allocation'!$E$6:$J$22,MATCH($H286,'[1]salary allocation'!$D$6:$D$22,0),MATCH(T$3,'[1]salary allocation'!$E$3:$J$3,0)),0)</f>
        <v>684962.47</v>
      </c>
      <c r="U286" s="15">
        <f>-$K286*IFERROR(INDEX('[1]salary allocation'!$E$6:$J$22,MATCH($H286,'[1]salary allocation'!$D$6:$D$22,0),MATCH(U$3,'[1]salary allocation'!$E$3:$J$3,0)),0)</f>
        <v>684962.47</v>
      </c>
      <c r="V286" s="15">
        <f>-$K286*IFERROR(INDEX('[1]salary allocation'!$E$6:$J$22,MATCH($H286,'[1]salary allocation'!$D$6:$D$22,0),MATCH(V$3,'[1]salary allocation'!$E$3:$J$3,0)),0)</f>
        <v>0</v>
      </c>
      <c r="W286" s="15">
        <f>-$K286*IFERROR(INDEX('[1]salary allocation'!$E$6:$J$22,MATCH($H286,'[1]salary allocation'!$D$6:$D$22,0),MATCH(W$3,'[1]salary allocation'!$E$3:$J$3,0)),0)</f>
        <v>1369924.94</v>
      </c>
      <c r="X286" s="15">
        <f>-$K286*IFERROR(INDEX('[1]salary allocation'!$E$6:$J$22,MATCH($H286,'[1]salary allocation'!$D$6:$D$22,0),MATCH(X$3,'[1]salary allocation'!$E$3:$J$3,0)),0)</f>
        <v>0</v>
      </c>
      <c r="Y286" s="15">
        <f>-$K286*IFERROR(INDEX('[1]salary allocation'!$E$6:$J$22,MATCH($H286,'[1]salary allocation'!$D$6:$D$22,0),MATCH(Y$3,'[1]salary allocation'!$E$3:$J$3,0)),0)</f>
        <v>0</v>
      </c>
      <c r="Z286" s="15">
        <f>-$K286*IFERROR(INDEX('[1]salary allocation'!$E$6:$J$22,MATCH($H286,'[1]salary allocation'!$D$6:$D$22,0),MATCH(Z$3,'[1]salary allocation'!$E$3:$J$3,0)),0)</f>
        <v>0</v>
      </c>
      <c r="AA286" s="15">
        <f>-$K286*IFERROR(INDEX('[1]salary allocation'!$E$6:$J$22,MATCH($H286,'[1]salary allocation'!$D$6:$D$22,0),MATCH(AA$3,'[1]salary allocation'!$E$3:$J$3,0)),0)</f>
        <v>0</v>
      </c>
      <c r="AB286" s="15">
        <f>-$K286*IFERROR(INDEX('[1]salary allocation'!$E$6:$J$22,MATCH($H286,'[1]salary allocation'!$D$6:$D$22,0),MATCH(AB$3,'[1]salary allocation'!$E$3:$J$3,0)),0)</f>
        <v>0</v>
      </c>
      <c r="AC286" s="18">
        <f>-$K286*IFERROR(INDEX('[1]salary allocation'!$E$6:$J$22,MATCH($H286,'[1]salary allocation'!$D$6:$D$22,0),MATCH(AC$3,'[1]salary allocation'!$E$3:$J$3,0)),0)</f>
        <v>0</v>
      </c>
      <c r="AD286" s="17"/>
      <c r="AE286" s="16"/>
      <c r="AF286" s="15">
        <f>-K286</f>
        <v>4029191</v>
      </c>
      <c r="AG286" s="15"/>
      <c r="AH286" s="2">
        <f>K286+SUM(O286:AC286)</f>
        <v>0</v>
      </c>
      <c r="AI286" s="2">
        <f>K286+SUM(AF286:AG286)</f>
        <v>0</v>
      </c>
    </row>
    <row r="287" spans="1:35" x14ac:dyDescent="0.2">
      <c r="A287" s="69" t="s">
        <v>61</v>
      </c>
      <c r="B287" s="68">
        <v>45797</v>
      </c>
      <c r="H287" s="1" t="s">
        <v>35</v>
      </c>
      <c r="I287" s="1" t="s">
        <v>608</v>
      </c>
      <c r="K287" s="2">
        <v>-9070696</v>
      </c>
      <c r="L287" s="46">
        <v>52025</v>
      </c>
      <c r="M287" s="2" t="str">
        <f>VLOOKUP(H287,$H$132:$M$160,6,0)</f>
        <v>VNOther</v>
      </c>
      <c r="N287" s="2" t="s">
        <v>138</v>
      </c>
      <c r="O287" s="15">
        <f>-$K287*IFERROR(INDEX('[1]salary allocation'!$E$6:$J$22,MATCH($H287,'[1]salary allocation'!$D$6:$D$22,0),MATCH(O$3,'[1]salary allocation'!$E$3:$J$3,0)),0)</f>
        <v>0</v>
      </c>
      <c r="P287" s="15">
        <f>-$K287*IFERROR(INDEX('[1]salary allocation'!$E$6:$J$22,MATCH($H287,'[1]salary allocation'!$D$6:$D$22,0),MATCH(P$3,'[1]salary allocation'!$E$3:$J$3,0)),0)</f>
        <v>1360604.4</v>
      </c>
      <c r="Q287" s="15">
        <f>-$K287*IFERROR(INDEX('[1]salary allocation'!$E$6:$J$22,MATCH($H287,'[1]salary allocation'!$D$6:$D$22,0),MATCH(Q$3,'[1]salary allocation'!$E$3:$J$3,0)),0)</f>
        <v>0</v>
      </c>
      <c r="R287" s="15">
        <f>-$K287*IFERROR(INDEX('[1]salary allocation'!$E$6:$J$22,MATCH($H287,'[1]salary allocation'!$D$6:$D$22,0),MATCH(R$3,'[1]salary allocation'!$E$3:$J$3,0)),0)</f>
        <v>0</v>
      </c>
      <c r="S287" s="15">
        <f>-$K287*IFERROR(INDEX('[1]salary allocation'!$E$6:$J$22,MATCH($H287,'[1]salary allocation'!$D$6:$D$22,0),MATCH(S$3,'[1]salary allocation'!$E$3:$J$3,0)),0)</f>
        <v>1542018.3199999998</v>
      </c>
      <c r="T287" s="15">
        <f>-$K287*IFERROR(INDEX('[1]salary allocation'!$E$6:$J$22,MATCH($H287,'[1]salary allocation'!$D$6:$D$22,0),MATCH(T$3,'[1]salary allocation'!$E$3:$J$3,0)),0)</f>
        <v>1542018.3199999998</v>
      </c>
      <c r="U287" s="15">
        <f>-$K287*IFERROR(INDEX('[1]salary allocation'!$E$6:$J$22,MATCH($H287,'[1]salary allocation'!$D$6:$D$22,0),MATCH(U$3,'[1]salary allocation'!$E$3:$J$3,0)),0)</f>
        <v>1542018.3199999998</v>
      </c>
      <c r="V287" s="15">
        <f>-$K287*IFERROR(INDEX('[1]salary allocation'!$E$6:$J$22,MATCH($H287,'[1]salary allocation'!$D$6:$D$22,0),MATCH(V$3,'[1]salary allocation'!$E$3:$J$3,0)),0)</f>
        <v>0</v>
      </c>
      <c r="W287" s="15">
        <f>-$K287*IFERROR(INDEX('[1]salary allocation'!$E$6:$J$22,MATCH($H287,'[1]salary allocation'!$D$6:$D$22,0),MATCH(W$3,'[1]salary allocation'!$E$3:$J$3,0)),0)</f>
        <v>3084036.6399999997</v>
      </c>
      <c r="X287" s="15">
        <f>-$K287*IFERROR(INDEX('[1]salary allocation'!$E$6:$J$22,MATCH($H287,'[1]salary allocation'!$D$6:$D$22,0),MATCH(X$3,'[1]salary allocation'!$E$3:$J$3,0)),0)</f>
        <v>0</v>
      </c>
      <c r="Y287" s="15">
        <f>-$K287*IFERROR(INDEX('[1]salary allocation'!$E$6:$J$22,MATCH($H287,'[1]salary allocation'!$D$6:$D$22,0),MATCH(Y$3,'[1]salary allocation'!$E$3:$J$3,0)),0)</f>
        <v>0</v>
      </c>
      <c r="Z287" s="15">
        <f>-$K287*IFERROR(INDEX('[1]salary allocation'!$E$6:$J$22,MATCH($H287,'[1]salary allocation'!$D$6:$D$22,0),MATCH(Z$3,'[1]salary allocation'!$E$3:$J$3,0)),0)</f>
        <v>0</v>
      </c>
      <c r="AA287" s="15">
        <f>-$K287*IFERROR(INDEX('[1]salary allocation'!$E$6:$J$22,MATCH($H287,'[1]salary allocation'!$D$6:$D$22,0),MATCH(AA$3,'[1]salary allocation'!$E$3:$J$3,0)),0)</f>
        <v>0</v>
      </c>
      <c r="AB287" s="15">
        <f>-$K287*IFERROR(INDEX('[1]salary allocation'!$E$6:$J$22,MATCH($H287,'[1]salary allocation'!$D$6:$D$22,0),MATCH(AB$3,'[1]salary allocation'!$E$3:$J$3,0)),0)</f>
        <v>0</v>
      </c>
      <c r="AC287" s="18">
        <f>-$K287*IFERROR(INDEX('[1]salary allocation'!$E$6:$J$22,MATCH($H287,'[1]salary allocation'!$D$6:$D$22,0),MATCH(AC$3,'[1]salary allocation'!$E$3:$J$3,0)),0)</f>
        <v>0</v>
      </c>
      <c r="AD287" s="17"/>
      <c r="AE287" s="16"/>
      <c r="AF287" s="15">
        <f>-$K287</f>
        <v>9070696</v>
      </c>
      <c r="AG287" s="15"/>
      <c r="AH287" s="2">
        <f>K287+SUM(O287:AC287)</f>
        <v>0</v>
      </c>
      <c r="AI287" s="2">
        <f>K287+SUM(AF287:AG287)</f>
        <v>0</v>
      </c>
    </row>
    <row r="288" spans="1:35" x14ac:dyDescent="0.2">
      <c r="A288" s="69" t="s">
        <v>61</v>
      </c>
      <c r="B288" s="68">
        <v>45797</v>
      </c>
      <c r="H288" s="1" t="s">
        <v>121</v>
      </c>
      <c r="I288" s="1" t="s">
        <v>607</v>
      </c>
      <c r="K288" s="2">
        <v>-152496</v>
      </c>
      <c r="L288" s="46">
        <v>52025</v>
      </c>
      <c r="M288" s="2" t="str">
        <f>VLOOKUP(H288,$H$132:$M$160,6,0)</f>
        <v>VNLA</v>
      </c>
      <c r="N288" s="2" t="s">
        <v>138</v>
      </c>
      <c r="O288" s="2">
        <f>IF($M288=O$3,-$K288,0)</f>
        <v>0</v>
      </c>
      <c r="P288" s="2">
        <f>IF($M288=P$3,-$K288,0)</f>
        <v>0</v>
      </c>
      <c r="Q288" s="2">
        <f>IF($M288=Q$3,-$K288,0)</f>
        <v>0</v>
      </c>
      <c r="R288" s="2">
        <f>IF($M288=R$3,-$K288,0)</f>
        <v>0</v>
      </c>
      <c r="S288" s="2">
        <f>IF($M288=S$3,-$K288,0)</f>
        <v>0</v>
      </c>
      <c r="T288" s="2">
        <f>IF($M288=T$3,-$K288,0)</f>
        <v>0</v>
      </c>
      <c r="U288" s="2">
        <f>IF($M288=U$3,-$K288,0)</f>
        <v>0</v>
      </c>
      <c r="V288" s="2">
        <f>IF($M288=V$3,-$K288,0)</f>
        <v>0</v>
      </c>
      <c r="W288" s="2">
        <f>IF($M288=W$3,-$K288,0)</f>
        <v>0</v>
      </c>
      <c r="X288" s="2">
        <f>IF($M288=X$3,-$K288,0)</f>
        <v>152496</v>
      </c>
      <c r="Y288" s="2">
        <f>IF($M288=Y$3,-$K288,0)</f>
        <v>0</v>
      </c>
      <c r="Z288" s="2">
        <f>IF($M288=Z$3,-$K288,0)</f>
        <v>0</v>
      </c>
      <c r="AA288" s="2">
        <f>IF($M288=AA$3,-$K288,0)</f>
        <v>0</v>
      </c>
      <c r="AB288" s="2">
        <f>IF($M288=AB$3,-$K288,0)</f>
        <v>0</v>
      </c>
      <c r="AC288" s="21">
        <f>IF($M288=AC$3,-$K288,0)</f>
        <v>0</v>
      </c>
      <c r="AD288" s="20"/>
      <c r="AE288" s="19"/>
      <c r="AF288" s="2"/>
      <c r="AG288" s="2">
        <f>-$K288</f>
        <v>152496</v>
      </c>
      <c r="AH288" s="2">
        <f>K288+SUM(O288:AC288)</f>
        <v>0</v>
      </c>
      <c r="AI288" s="2">
        <f>K288+SUM(AF288:AG288)</f>
        <v>0</v>
      </c>
    </row>
    <row r="289" spans="1:35" x14ac:dyDescent="0.2">
      <c r="A289" s="69" t="s">
        <v>61</v>
      </c>
      <c r="B289" s="68">
        <v>45797</v>
      </c>
      <c r="H289" s="1" t="s">
        <v>33</v>
      </c>
      <c r="I289" s="1" t="s">
        <v>606</v>
      </c>
      <c r="K289" s="2">
        <v>-161754</v>
      </c>
      <c r="L289" s="46">
        <v>52025</v>
      </c>
      <c r="M289" s="2" t="str">
        <f>VLOOKUP(H289,$H$132:$M$160,6,0)</f>
        <v>VNDN</v>
      </c>
      <c r="N289" s="2" t="s">
        <v>138</v>
      </c>
      <c r="O289" s="2">
        <f>IF($M289=O$3,-$K289,0)</f>
        <v>0</v>
      </c>
      <c r="P289" s="2">
        <f>IF($M289=P$3,-$K289,0)</f>
        <v>0</v>
      </c>
      <c r="Q289" s="2">
        <f>IF($M289=Q$3,-$K289,0)</f>
        <v>0</v>
      </c>
      <c r="R289" s="2">
        <f>IF($M289=R$3,-$K289,0)</f>
        <v>0</v>
      </c>
      <c r="S289" s="2">
        <f>IF($M289=S$3,-$K289,0)</f>
        <v>161754</v>
      </c>
      <c r="T289" s="2">
        <f>IF($M289=T$3,-$K289,0)</f>
        <v>0</v>
      </c>
      <c r="U289" s="2">
        <f>IF($M289=U$3,-$K289,0)</f>
        <v>0</v>
      </c>
      <c r="V289" s="2">
        <f>IF($M289=V$3,-$K289,0)</f>
        <v>0</v>
      </c>
      <c r="W289" s="2">
        <f>IF($M289=W$3,-$K289,0)</f>
        <v>0</v>
      </c>
      <c r="X289" s="2">
        <f>IF($M289=X$3,-$K289,0)</f>
        <v>0</v>
      </c>
      <c r="Y289" s="2">
        <f>IF($M289=Y$3,-$K289,0)</f>
        <v>0</v>
      </c>
      <c r="Z289" s="2">
        <f>IF($M289=Z$3,-$K289,0)</f>
        <v>0</v>
      </c>
      <c r="AA289" s="2">
        <f>IF($M289=AA$3,-$K289,0)</f>
        <v>0</v>
      </c>
      <c r="AB289" s="2">
        <f>IF($M289=AB$3,-$K289,0)</f>
        <v>0</v>
      </c>
      <c r="AC289" s="21">
        <f>IF($M289=AC$3,-$K289,0)</f>
        <v>0</v>
      </c>
      <c r="AD289" s="20"/>
      <c r="AE289" s="19"/>
      <c r="AF289" s="2"/>
      <c r="AG289" s="2">
        <f>-$K289</f>
        <v>161754</v>
      </c>
      <c r="AH289" s="2">
        <f>K289+SUM(O289:AC289)</f>
        <v>0</v>
      </c>
      <c r="AI289" s="2">
        <f>K289+SUM(AF289:AG289)</f>
        <v>0</v>
      </c>
    </row>
    <row r="290" spans="1:35" x14ac:dyDescent="0.2">
      <c r="A290" s="69" t="s">
        <v>61</v>
      </c>
      <c r="B290" s="68">
        <v>45797</v>
      </c>
      <c r="H290" s="1" t="s">
        <v>31</v>
      </c>
      <c r="I290" s="1" t="s">
        <v>605</v>
      </c>
      <c r="K290" s="2">
        <v>0</v>
      </c>
      <c r="L290" s="46">
        <v>52025</v>
      </c>
      <c r="M290" s="2" t="str">
        <f>VLOOKUP(H290,$H$132:$M$160,6,0)</f>
        <v>VNDN</v>
      </c>
      <c r="N290" s="2" t="s">
        <v>138</v>
      </c>
      <c r="O290" s="2">
        <f>IF($M290=O$3,-$K290,0)</f>
        <v>0</v>
      </c>
      <c r="P290" s="2">
        <f>IF($M290=P$3,-$K290,0)</f>
        <v>0</v>
      </c>
      <c r="Q290" s="2">
        <f>IF($M290=Q$3,-$K290,0)</f>
        <v>0</v>
      </c>
      <c r="R290" s="2">
        <f>IF($M290=R$3,-$K290,0)</f>
        <v>0</v>
      </c>
      <c r="S290" s="2">
        <f>IF($M290=S$3,-$K290,0)</f>
        <v>0</v>
      </c>
      <c r="T290" s="2">
        <f>IF($M290=T$3,-$K290,0)</f>
        <v>0</v>
      </c>
      <c r="U290" s="2">
        <f>IF($M290=U$3,-$K290,0)</f>
        <v>0</v>
      </c>
      <c r="V290" s="2">
        <f>IF($M290=V$3,-$K290,0)</f>
        <v>0</v>
      </c>
      <c r="W290" s="2">
        <f>IF($M290=W$3,-$K290,0)</f>
        <v>0</v>
      </c>
      <c r="X290" s="2">
        <f>IF($M290=X$3,-$K290,0)</f>
        <v>0</v>
      </c>
      <c r="Y290" s="2">
        <f>IF($M290=Y$3,-$K290,0)</f>
        <v>0</v>
      </c>
      <c r="Z290" s="2">
        <f>IF($M290=Z$3,-$K290,0)</f>
        <v>0</v>
      </c>
      <c r="AA290" s="2">
        <f>IF($M290=AA$3,-$K290,0)</f>
        <v>0</v>
      </c>
      <c r="AB290" s="2">
        <f>IF($M290=AB$3,-$K290,0)</f>
        <v>0</v>
      </c>
      <c r="AC290" s="21">
        <f>IF($M290=AC$3,-$K290,0)</f>
        <v>0</v>
      </c>
      <c r="AD290" s="20"/>
      <c r="AE290" s="19"/>
      <c r="AF290" s="2"/>
      <c r="AG290" s="2">
        <f>-$K290</f>
        <v>0</v>
      </c>
      <c r="AH290" s="2">
        <f>K290+SUM(O290:AC290)</f>
        <v>0</v>
      </c>
      <c r="AI290" s="2">
        <f>K290+SUM(AF290:AG290)</f>
        <v>0</v>
      </c>
    </row>
    <row r="291" spans="1:35" x14ac:dyDescent="0.2">
      <c r="A291" s="69" t="s">
        <v>61</v>
      </c>
      <c r="B291" s="68">
        <v>45797</v>
      </c>
      <c r="H291" s="1" t="s">
        <v>29</v>
      </c>
      <c r="I291" s="1" t="s">
        <v>604</v>
      </c>
      <c r="K291" s="2">
        <v>-80271</v>
      </c>
      <c r="L291" s="46">
        <v>52025</v>
      </c>
      <c r="M291" s="2" t="str">
        <f>VLOOKUP(H291,$H$132:$M$160,6,0)</f>
        <v>VNDN</v>
      </c>
      <c r="N291" s="2" t="s">
        <v>138</v>
      </c>
      <c r="O291" s="2">
        <f>IF($M291=O$3,-$K291,0)</f>
        <v>0</v>
      </c>
      <c r="P291" s="2">
        <f>IF($M291=P$3,-$K291,0)</f>
        <v>0</v>
      </c>
      <c r="Q291" s="2">
        <f>IF($M291=Q$3,-$K291,0)</f>
        <v>0</v>
      </c>
      <c r="R291" s="2">
        <f>IF($M291=R$3,-$K291,0)</f>
        <v>0</v>
      </c>
      <c r="S291" s="2">
        <f>IF($M291=S$3,-$K291,0)</f>
        <v>80271</v>
      </c>
      <c r="T291" s="2">
        <f>IF($M291=T$3,-$K291,0)</f>
        <v>0</v>
      </c>
      <c r="U291" s="2">
        <f>IF($M291=U$3,-$K291,0)</f>
        <v>0</v>
      </c>
      <c r="V291" s="2">
        <f>IF($M291=V$3,-$K291,0)</f>
        <v>0</v>
      </c>
      <c r="W291" s="2">
        <f>IF($M291=W$3,-$K291,0)</f>
        <v>0</v>
      </c>
      <c r="X291" s="2">
        <f>IF($M291=X$3,-$K291,0)</f>
        <v>0</v>
      </c>
      <c r="Y291" s="2">
        <f>IF($M291=Y$3,-$K291,0)</f>
        <v>0</v>
      </c>
      <c r="Z291" s="2">
        <f>IF($M291=Z$3,-$K291,0)</f>
        <v>0</v>
      </c>
      <c r="AA291" s="2">
        <f>IF($M291=AA$3,-$K291,0)</f>
        <v>0</v>
      </c>
      <c r="AB291" s="2">
        <f>IF($M291=AB$3,-$K291,0)</f>
        <v>0</v>
      </c>
      <c r="AC291" s="21">
        <f>IF($M291=AC$3,-$K291,0)</f>
        <v>0</v>
      </c>
      <c r="AD291" s="20"/>
      <c r="AE291" s="19"/>
      <c r="AF291" s="2"/>
      <c r="AG291" s="2">
        <f>-$K291</f>
        <v>80271</v>
      </c>
      <c r="AH291" s="2">
        <f>K291+SUM(O291:AC291)</f>
        <v>0</v>
      </c>
      <c r="AI291" s="2">
        <f>K291+SUM(AF291:AG291)</f>
        <v>0</v>
      </c>
    </row>
    <row r="292" spans="1:35" x14ac:dyDescent="0.2">
      <c r="A292" s="69" t="s">
        <v>61</v>
      </c>
      <c r="B292" s="68">
        <v>45797</v>
      </c>
      <c r="H292" s="1" t="s">
        <v>27</v>
      </c>
      <c r="I292" s="1" t="s">
        <v>603</v>
      </c>
      <c r="K292" s="2">
        <v>0</v>
      </c>
      <c r="L292" s="46">
        <v>52025</v>
      </c>
      <c r="M292" s="2" t="str">
        <f>VLOOKUP(H292,$H$132:$M$160,6,0)</f>
        <v>VNDN</v>
      </c>
      <c r="N292" s="2" t="s">
        <v>138</v>
      </c>
      <c r="O292" s="2">
        <f>IF($M292=O$3,-$K292,0)</f>
        <v>0</v>
      </c>
      <c r="P292" s="2">
        <f>IF($M292=P$3,-$K292,0)</f>
        <v>0</v>
      </c>
      <c r="Q292" s="2">
        <f>IF($M292=Q$3,-$K292,0)</f>
        <v>0</v>
      </c>
      <c r="R292" s="2">
        <f>IF($M292=R$3,-$K292,0)</f>
        <v>0</v>
      </c>
      <c r="S292" s="2">
        <f>IF($M292=S$3,-$K292,0)</f>
        <v>0</v>
      </c>
      <c r="T292" s="2">
        <f>IF($M292=T$3,-$K292,0)</f>
        <v>0</v>
      </c>
      <c r="U292" s="2">
        <f>IF($M292=U$3,-$K292,0)</f>
        <v>0</v>
      </c>
      <c r="V292" s="2">
        <f>IF($M292=V$3,-$K292,0)</f>
        <v>0</v>
      </c>
      <c r="W292" s="2">
        <f>IF($M292=W$3,-$K292,0)</f>
        <v>0</v>
      </c>
      <c r="X292" s="2">
        <f>IF($M292=X$3,-$K292,0)</f>
        <v>0</v>
      </c>
      <c r="Y292" s="2">
        <f>IF($M292=Y$3,-$K292,0)</f>
        <v>0</v>
      </c>
      <c r="Z292" s="2">
        <f>IF($M292=Z$3,-$K292,0)</f>
        <v>0</v>
      </c>
      <c r="AA292" s="2">
        <f>IF($M292=AA$3,-$K292,0)</f>
        <v>0</v>
      </c>
      <c r="AB292" s="2">
        <f>IF($M292=AB$3,-$K292,0)</f>
        <v>0</v>
      </c>
      <c r="AC292" s="21">
        <f>IF($M292=AC$3,-$K292,0)</f>
        <v>0</v>
      </c>
      <c r="AD292" s="20"/>
      <c r="AE292" s="19"/>
      <c r="AF292" s="2"/>
      <c r="AG292" s="2">
        <f>-$K292</f>
        <v>0</v>
      </c>
      <c r="AH292" s="2">
        <f>K292+SUM(O292:AC292)</f>
        <v>0</v>
      </c>
      <c r="AI292" s="2">
        <f>K292+SUM(AF292:AG292)</f>
        <v>0</v>
      </c>
    </row>
    <row r="293" spans="1:35" x14ac:dyDescent="0.2">
      <c r="A293" s="69" t="s">
        <v>61</v>
      </c>
      <c r="B293" s="68">
        <v>45797</v>
      </c>
      <c r="H293" s="1" t="s">
        <v>25</v>
      </c>
      <c r="I293" s="1" t="s">
        <v>602</v>
      </c>
      <c r="K293" s="2">
        <v>0</v>
      </c>
      <c r="L293" s="46">
        <v>52025</v>
      </c>
      <c r="M293" s="2" t="str">
        <f>VLOOKUP(H293,$H$132:$M$160,6,0)</f>
        <v>VNQN</v>
      </c>
      <c r="N293" s="2" t="s">
        <v>138</v>
      </c>
      <c r="O293" s="2">
        <f>IF($M293=O$3,-$K293,0)</f>
        <v>0</v>
      </c>
      <c r="P293" s="2">
        <f>IF($M293=P$3,-$K293,0)</f>
        <v>0</v>
      </c>
      <c r="Q293" s="2">
        <f>IF($M293=Q$3,-$K293,0)</f>
        <v>0</v>
      </c>
      <c r="R293" s="2">
        <f>IF($M293=R$3,-$K293,0)</f>
        <v>0</v>
      </c>
      <c r="S293" s="2">
        <f>IF($M293=S$3,-$K293,0)</f>
        <v>0</v>
      </c>
      <c r="T293" s="2">
        <f>IF($M293=T$3,-$K293,0)</f>
        <v>0</v>
      </c>
      <c r="U293" s="2">
        <f>IF($M293=U$3,-$K293,0)</f>
        <v>0</v>
      </c>
      <c r="V293" s="2">
        <f>IF($M293=V$3,-$K293,0)</f>
        <v>0</v>
      </c>
      <c r="W293" s="2">
        <f>IF($M293=W$3,-$K293,0)</f>
        <v>0</v>
      </c>
      <c r="X293" s="2">
        <f>IF($M293=X$3,-$K293,0)</f>
        <v>0</v>
      </c>
      <c r="Y293" s="2">
        <f>IF($M293=Y$3,-$K293,0)</f>
        <v>0</v>
      </c>
      <c r="Z293" s="2">
        <f>IF($M293=Z$3,-$K293,0)</f>
        <v>0</v>
      </c>
      <c r="AA293" s="2">
        <f>IF($M293=AA$3,-$K293,0)</f>
        <v>0</v>
      </c>
      <c r="AB293" s="2">
        <f>IF($M293=AB$3,-$K293,0)</f>
        <v>0</v>
      </c>
      <c r="AC293" s="21">
        <f>IF($M293=AC$3,-$K293,0)</f>
        <v>0</v>
      </c>
      <c r="AD293" s="20"/>
      <c r="AE293" s="19"/>
      <c r="AF293" s="2"/>
      <c r="AG293" s="2">
        <f>-$K293</f>
        <v>0</v>
      </c>
      <c r="AH293" s="2">
        <f>K293+SUM(O293:AC293)</f>
        <v>0</v>
      </c>
      <c r="AI293" s="2">
        <f>K293+SUM(AF293:AG293)</f>
        <v>0</v>
      </c>
    </row>
    <row r="294" spans="1:35" x14ac:dyDescent="0.2">
      <c r="A294" s="69" t="s">
        <v>61</v>
      </c>
      <c r="B294" s="68">
        <v>45797</v>
      </c>
      <c r="H294" s="1" t="s">
        <v>81</v>
      </c>
      <c r="I294" s="1" t="s">
        <v>601</v>
      </c>
      <c r="K294" s="2">
        <v>-217157</v>
      </c>
      <c r="L294" s="46">
        <v>52025</v>
      </c>
      <c r="M294" s="2" t="str">
        <f>VLOOKUP(H294,$H$132:$M$160,6,0)</f>
        <v>VNQN</v>
      </c>
      <c r="N294" s="2" t="s">
        <v>138</v>
      </c>
      <c r="O294" s="2">
        <f>IF($M294=O$3,-$K294,0)</f>
        <v>0</v>
      </c>
      <c r="P294" s="2">
        <f>IF($M294=P$3,-$K294,0)</f>
        <v>0</v>
      </c>
      <c r="Q294" s="2">
        <f>IF($M294=Q$3,-$K294,0)</f>
        <v>0</v>
      </c>
      <c r="R294" s="2">
        <f>IF($M294=R$3,-$K294,0)</f>
        <v>0</v>
      </c>
      <c r="S294" s="2">
        <f>IF($M294=S$3,-$K294,0)</f>
        <v>0</v>
      </c>
      <c r="T294" s="2">
        <f>IF($M294=T$3,-$K294,0)</f>
        <v>217157</v>
      </c>
      <c r="U294" s="2">
        <f>IF($M294=U$3,-$K294,0)</f>
        <v>0</v>
      </c>
      <c r="V294" s="2">
        <f>IF($M294=V$3,-$K294,0)</f>
        <v>0</v>
      </c>
      <c r="W294" s="2">
        <f>IF($M294=W$3,-$K294,0)</f>
        <v>0</v>
      </c>
      <c r="X294" s="2">
        <f>IF($M294=X$3,-$K294,0)</f>
        <v>0</v>
      </c>
      <c r="Y294" s="2">
        <f>IF($M294=Y$3,-$K294,0)</f>
        <v>0</v>
      </c>
      <c r="Z294" s="2">
        <f>IF($M294=Z$3,-$K294,0)</f>
        <v>0</v>
      </c>
      <c r="AA294" s="2">
        <f>IF($M294=AA$3,-$K294,0)</f>
        <v>0</v>
      </c>
      <c r="AB294" s="2">
        <f>IF($M294=AB$3,-$K294,0)</f>
        <v>0</v>
      </c>
      <c r="AC294" s="21">
        <f>IF($M294=AC$3,-$K294,0)</f>
        <v>0</v>
      </c>
      <c r="AD294" s="20"/>
      <c r="AE294" s="19"/>
      <c r="AF294" s="2"/>
      <c r="AG294" s="2">
        <f>-$K294</f>
        <v>217157</v>
      </c>
      <c r="AH294" s="2">
        <f>K294+SUM(O294:AC294)</f>
        <v>0</v>
      </c>
      <c r="AI294" s="2">
        <f>K294+SUM(AF294:AG294)</f>
        <v>0</v>
      </c>
    </row>
    <row r="295" spans="1:35" x14ac:dyDescent="0.2">
      <c r="A295" s="69" t="s">
        <v>61</v>
      </c>
      <c r="B295" s="68">
        <v>45797</v>
      </c>
      <c r="H295" s="1" t="s">
        <v>23</v>
      </c>
      <c r="I295" s="1" t="s">
        <v>600</v>
      </c>
      <c r="K295" s="2">
        <v>0</v>
      </c>
      <c r="L295" s="46">
        <v>52025</v>
      </c>
      <c r="M295" s="2" t="str">
        <f>VLOOKUP(H295,$H$132:$M$160,6,0)</f>
        <v>VNHD</v>
      </c>
      <c r="N295" s="2" t="s">
        <v>138</v>
      </c>
      <c r="O295" s="2">
        <f>IF($M295=O$3,-$K295,0)</f>
        <v>0</v>
      </c>
      <c r="P295" s="2">
        <f>IF($M295=P$3,-$K295,0)</f>
        <v>0</v>
      </c>
      <c r="Q295" s="2">
        <f>IF($M295=Q$3,-$K295,0)</f>
        <v>0</v>
      </c>
      <c r="R295" s="2">
        <f>IF($M295=R$3,-$K295,0)</f>
        <v>0</v>
      </c>
      <c r="S295" s="2">
        <f>IF($M295=S$3,-$K295,0)</f>
        <v>0</v>
      </c>
      <c r="T295" s="2">
        <f>IF($M295=T$3,-$K295,0)</f>
        <v>0</v>
      </c>
      <c r="U295" s="2">
        <f>IF($M295=U$3,-$K295,0)</f>
        <v>0</v>
      </c>
      <c r="V295" s="2">
        <f>IF($M295=V$3,-$K295,0)</f>
        <v>0</v>
      </c>
      <c r="W295" s="2">
        <f>IF($M295=W$3,-$K295,0)</f>
        <v>0</v>
      </c>
      <c r="X295" s="2">
        <f>IF($M295=X$3,-$K295,0)</f>
        <v>0</v>
      </c>
      <c r="Y295" s="2">
        <f>IF($M295=Y$3,-$K295,0)</f>
        <v>0</v>
      </c>
      <c r="Z295" s="2">
        <f>IF($M295=Z$3,-$K295,0)</f>
        <v>0</v>
      </c>
      <c r="AA295" s="2">
        <f>IF($M295=AA$3,-$K295,0)</f>
        <v>0</v>
      </c>
      <c r="AB295" s="2">
        <f>IF($M295=AB$3,-$K295,0)</f>
        <v>0</v>
      </c>
      <c r="AC295" s="21">
        <f>IF($M295=AC$3,-$K295,0)</f>
        <v>0</v>
      </c>
      <c r="AD295" s="20"/>
      <c r="AE295" s="19"/>
      <c r="AF295" s="2"/>
      <c r="AG295" s="2">
        <f>-$K295</f>
        <v>0</v>
      </c>
      <c r="AH295" s="2">
        <f>K295+SUM(O295:AC295)</f>
        <v>0</v>
      </c>
      <c r="AI295" s="2">
        <f>K295+SUM(AF295:AG295)</f>
        <v>0</v>
      </c>
    </row>
    <row r="296" spans="1:35" x14ac:dyDescent="0.2">
      <c r="A296" s="69" t="s">
        <v>61</v>
      </c>
      <c r="B296" s="68">
        <v>45797</v>
      </c>
      <c r="H296" s="1" t="s">
        <v>21</v>
      </c>
      <c r="I296" s="1" t="s">
        <v>599</v>
      </c>
      <c r="K296" s="2">
        <v>-188296</v>
      </c>
      <c r="L296" s="46">
        <v>52025</v>
      </c>
      <c r="M296" s="2" t="str">
        <f>VLOOKUP(H296,$H$132:$M$160,6,0)</f>
        <v>VNHCM</v>
      </c>
      <c r="N296" s="2" t="s">
        <v>138</v>
      </c>
      <c r="O296" s="2">
        <f>IF($M296=O$3,-$K296,0)</f>
        <v>0</v>
      </c>
      <c r="P296" s="2">
        <f>IF($M296=P$3,-$K296,0)</f>
        <v>0</v>
      </c>
      <c r="Q296" s="2">
        <f>IF($M296=Q$3,-$K296,0)</f>
        <v>0</v>
      </c>
      <c r="R296" s="2">
        <f>IF($M296=R$3,-$K296,0)</f>
        <v>0</v>
      </c>
      <c r="S296" s="2">
        <f>IF($M296=S$3,-$K296,0)</f>
        <v>0</v>
      </c>
      <c r="T296" s="2">
        <f>IF($M296=T$3,-$K296,0)</f>
        <v>0</v>
      </c>
      <c r="U296" s="2">
        <f>IF($M296=U$3,-$K296,0)</f>
        <v>0</v>
      </c>
      <c r="V296" s="2">
        <f>IF($M296=V$3,-$K296,0)</f>
        <v>0</v>
      </c>
      <c r="W296" s="2">
        <f>IF($M296=W$3,-$K296,0)</f>
        <v>0</v>
      </c>
      <c r="X296" s="2">
        <f>IF($M296=X$3,-$K296,0)</f>
        <v>0</v>
      </c>
      <c r="Y296" s="2">
        <f>IF($M296=Y$3,-$K296,0)</f>
        <v>188296</v>
      </c>
      <c r="Z296" s="2">
        <f>IF($M296=Z$3,-$K296,0)</f>
        <v>0</v>
      </c>
      <c r="AA296" s="2">
        <f>IF($M296=AA$3,-$K296,0)</f>
        <v>0</v>
      </c>
      <c r="AB296" s="2">
        <f>IF($M296=AB$3,-$K296,0)</f>
        <v>0</v>
      </c>
      <c r="AC296" s="21">
        <f>IF($M296=AC$3,-$K296,0)</f>
        <v>0</v>
      </c>
      <c r="AD296" s="20"/>
      <c r="AE296" s="19"/>
      <c r="AF296" s="2"/>
      <c r="AG296" s="2">
        <f>-$K296</f>
        <v>188296</v>
      </c>
      <c r="AH296" s="2">
        <f>K296+SUM(O296:AC296)</f>
        <v>0</v>
      </c>
      <c r="AI296" s="2">
        <f>K296+SUM(AF296:AG296)</f>
        <v>0</v>
      </c>
    </row>
    <row r="297" spans="1:35" x14ac:dyDescent="0.2">
      <c r="A297" s="69" t="s">
        <v>61</v>
      </c>
      <c r="B297" s="68">
        <v>45797</v>
      </c>
      <c r="H297" s="1" t="s">
        <v>156</v>
      </c>
      <c r="I297" s="1" t="s">
        <v>598</v>
      </c>
      <c r="K297" s="2">
        <v>0</v>
      </c>
      <c r="L297" s="46">
        <v>52025</v>
      </c>
      <c r="M297" s="2" t="str">
        <f>VLOOKUP(H297,$H$132:$M$160,6,0)</f>
        <v>VNBG</v>
      </c>
      <c r="N297" s="2" t="s">
        <v>138</v>
      </c>
      <c r="O297" s="2">
        <f>IF($M297=O$3,-$K297,0)</f>
        <v>0</v>
      </c>
      <c r="P297" s="2">
        <f>IF($M297=P$3,-$K297,0)</f>
        <v>0</v>
      </c>
      <c r="Q297" s="2">
        <f>IF($M297=Q$3,-$K297,0)</f>
        <v>0</v>
      </c>
      <c r="R297" s="2">
        <f>IF($M297=R$3,-$K297,0)</f>
        <v>0</v>
      </c>
      <c r="S297" s="2">
        <f>IF($M297=S$3,-$K297,0)</f>
        <v>0</v>
      </c>
      <c r="T297" s="2">
        <f>IF($M297=T$3,-$K297,0)</f>
        <v>0</v>
      </c>
      <c r="U297" s="2">
        <f>IF($M297=U$3,-$K297,0)</f>
        <v>0</v>
      </c>
      <c r="V297" s="2">
        <f>IF($M297=V$3,-$K297,0)</f>
        <v>0</v>
      </c>
      <c r="W297" s="2">
        <f>IF($M297=W$3,-$K297,0)</f>
        <v>0</v>
      </c>
      <c r="X297" s="2">
        <f>IF($M297=X$3,-$K297,0)</f>
        <v>0</v>
      </c>
      <c r="Y297" s="2">
        <f>IF($M297=Y$3,-$K297,0)</f>
        <v>0</v>
      </c>
      <c r="Z297" s="2">
        <f>IF($M297=Z$3,-$K297,0)</f>
        <v>0</v>
      </c>
      <c r="AA297" s="2">
        <f>IF($M297=AA$3,-$K297,0)</f>
        <v>0</v>
      </c>
      <c r="AB297" s="2">
        <f>IF($M297=AB$3,-$K297,0)</f>
        <v>0</v>
      </c>
      <c r="AC297" s="21">
        <f>IF($M297=AC$3,-$K297,0)</f>
        <v>0</v>
      </c>
      <c r="AD297" s="20"/>
      <c r="AE297" s="19"/>
      <c r="AF297" s="2"/>
      <c r="AG297" s="2"/>
      <c r="AH297" s="2">
        <f>K297+SUM(O297:AC297)</f>
        <v>0</v>
      </c>
      <c r="AI297" s="2">
        <f>K297+SUM(AF297:AG297)</f>
        <v>0</v>
      </c>
    </row>
    <row r="298" spans="1:35" x14ac:dyDescent="0.2">
      <c r="A298" s="69" t="s">
        <v>61</v>
      </c>
      <c r="B298" s="68">
        <v>45797</v>
      </c>
      <c r="H298" s="1" t="s">
        <v>19</v>
      </c>
      <c r="I298" s="1" t="s">
        <v>597</v>
      </c>
      <c r="K298" s="2">
        <v>-722774</v>
      </c>
      <c r="L298" s="46">
        <v>52025</v>
      </c>
      <c r="M298" s="2" t="str">
        <f>VLOOKUP(H298,$H$132:$M$160,6,0)</f>
        <v>VNQN</v>
      </c>
      <c r="N298" s="2" t="s">
        <v>138</v>
      </c>
      <c r="O298" s="2">
        <f>IF($M298=O$3,-$K298,0)</f>
        <v>0</v>
      </c>
      <c r="P298" s="2">
        <f>IF($M298=P$3,-$K298,0)</f>
        <v>0</v>
      </c>
      <c r="Q298" s="2">
        <f>IF($M298=Q$3,-$K298,0)</f>
        <v>0</v>
      </c>
      <c r="R298" s="2">
        <f>IF($M298=R$3,-$K298,0)</f>
        <v>0</v>
      </c>
      <c r="S298" s="2">
        <f>IF($M298=S$3,-$K298,0)</f>
        <v>0</v>
      </c>
      <c r="T298" s="2">
        <f>IF($M298=T$3,-$K298,0)</f>
        <v>722774</v>
      </c>
      <c r="U298" s="2">
        <f>IF($M298=U$3,-$K298,0)</f>
        <v>0</v>
      </c>
      <c r="V298" s="2">
        <f>IF($M298=V$3,-$K298,0)</f>
        <v>0</v>
      </c>
      <c r="W298" s="2">
        <f>IF($M298=W$3,-$K298,0)</f>
        <v>0</v>
      </c>
      <c r="X298" s="2">
        <f>IF($M298=X$3,-$K298,0)</f>
        <v>0</v>
      </c>
      <c r="Y298" s="2">
        <f>IF($M298=Y$3,-$K298,0)</f>
        <v>0</v>
      </c>
      <c r="Z298" s="2">
        <f>IF($M298=Z$3,-$K298,0)</f>
        <v>0</v>
      </c>
      <c r="AA298" s="2">
        <f>IF($M298=AA$3,-$K298,0)</f>
        <v>0</v>
      </c>
      <c r="AB298" s="2">
        <f>IF($M298=AB$3,-$K298,0)</f>
        <v>0</v>
      </c>
      <c r="AC298" s="21">
        <f>IF($M298=AC$3,-$K298,0)</f>
        <v>0</v>
      </c>
      <c r="AD298" s="20"/>
      <c r="AE298" s="19"/>
      <c r="AF298" s="2"/>
      <c r="AG298" s="2">
        <f>-$K298</f>
        <v>722774</v>
      </c>
      <c r="AH298" s="2">
        <f>K298+SUM(O298:AC298)</f>
        <v>0</v>
      </c>
      <c r="AI298" s="2">
        <f>K298+SUM(AF298:AG298)</f>
        <v>0</v>
      </c>
    </row>
    <row r="299" spans="1:35" x14ac:dyDescent="0.2">
      <c r="A299" s="69" t="s">
        <v>61</v>
      </c>
      <c r="B299" s="68">
        <v>45797</v>
      </c>
      <c r="H299" s="1" t="s">
        <v>110</v>
      </c>
      <c r="I299" s="1" t="s">
        <v>596</v>
      </c>
      <c r="K299" s="2">
        <v>-795057</v>
      </c>
      <c r="L299" s="46">
        <v>52025</v>
      </c>
      <c r="M299" s="2" t="str">
        <f>VLOOKUP(H299,$H$132:$M$160,6,0)</f>
        <v>VNOther</v>
      </c>
      <c r="N299" s="2" t="s">
        <v>138</v>
      </c>
      <c r="O299" s="15">
        <f>-$K299*IFERROR(INDEX('[1]salary allocation'!$E$6:$J$22,MATCH($H299,'[1]salary allocation'!$D$6:$D$22,0),MATCH(O$3,'[1]salary allocation'!$E$3:$J$3,0)),0)</f>
        <v>0</v>
      </c>
      <c r="P299" s="15">
        <f>-$K299*IFERROR(INDEX('[1]salary allocation'!$E$6:$J$22,MATCH($H299,'[1]salary allocation'!$D$6:$D$22,0),MATCH(P$3,'[1]salary allocation'!$E$3:$J$3,0)),0)</f>
        <v>119258.54999999999</v>
      </c>
      <c r="Q299" s="15">
        <f>-$K299*IFERROR(INDEX('[1]salary allocation'!$E$6:$J$22,MATCH($H299,'[1]salary allocation'!$D$6:$D$22,0),MATCH(Q$3,'[1]salary allocation'!$E$3:$J$3,0)),0)</f>
        <v>0</v>
      </c>
      <c r="R299" s="15">
        <f>-$K299*IFERROR(INDEX('[1]salary allocation'!$E$6:$J$22,MATCH($H299,'[1]salary allocation'!$D$6:$D$22,0),MATCH(R$3,'[1]salary allocation'!$E$3:$J$3,0)),0)</f>
        <v>0</v>
      </c>
      <c r="S299" s="15">
        <f>-$K299*IFERROR(INDEX('[1]salary allocation'!$E$6:$J$22,MATCH($H299,'[1]salary allocation'!$D$6:$D$22,0),MATCH(S$3,'[1]salary allocation'!$E$3:$J$3,0)),0)</f>
        <v>135159.68999999997</v>
      </c>
      <c r="T299" s="15">
        <f>-$K299*IFERROR(INDEX('[1]salary allocation'!$E$6:$J$22,MATCH($H299,'[1]salary allocation'!$D$6:$D$22,0),MATCH(T$3,'[1]salary allocation'!$E$3:$J$3,0)),0)</f>
        <v>135159.68999999997</v>
      </c>
      <c r="U299" s="15">
        <f>-$K299*IFERROR(INDEX('[1]salary allocation'!$E$6:$J$22,MATCH($H299,'[1]salary allocation'!$D$6:$D$22,0),MATCH(U$3,'[1]salary allocation'!$E$3:$J$3,0)),0)</f>
        <v>135159.68999999997</v>
      </c>
      <c r="V299" s="15">
        <f>-$K299*IFERROR(INDEX('[1]salary allocation'!$E$6:$J$22,MATCH($H299,'[1]salary allocation'!$D$6:$D$22,0),MATCH(V$3,'[1]salary allocation'!$E$3:$J$3,0)),0)</f>
        <v>0</v>
      </c>
      <c r="W299" s="15">
        <f>-$K299*IFERROR(INDEX('[1]salary allocation'!$E$6:$J$22,MATCH($H299,'[1]salary allocation'!$D$6:$D$22,0),MATCH(W$3,'[1]salary allocation'!$E$3:$J$3,0)),0)</f>
        <v>270319.37999999995</v>
      </c>
      <c r="X299" s="15">
        <f>-$K299*IFERROR(INDEX('[1]salary allocation'!$E$6:$J$22,MATCH($H299,'[1]salary allocation'!$D$6:$D$22,0),MATCH(X$3,'[1]salary allocation'!$E$3:$J$3,0)),0)</f>
        <v>0</v>
      </c>
      <c r="Y299" s="15">
        <f>-$K299*IFERROR(INDEX('[1]salary allocation'!$E$6:$J$22,MATCH($H299,'[1]salary allocation'!$D$6:$D$22,0),MATCH(Y$3,'[1]salary allocation'!$E$3:$J$3,0)),0)</f>
        <v>0</v>
      </c>
      <c r="Z299" s="15">
        <f>-$K299*IFERROR(INDEX('[1]salary allocation'!$E$6:$J$22,MATCH($H299,'[1]salary allocation'!$D$6:$D$22,0),MATCH(Z$3,'[1]salary allocation'!$E$3:$J$3,0)),0)</f>
        <v>0</v>
      </c>
      <c r="AA299" s="15">
        <f>-$K299*IFERROR(INDEX('[1]salary allocation'!$E$6:$J$22,MATCH($H299,'[1]salary allocation'!$D$6:$D$22,0),MATCH(AA$3,'[1]salary allocation'!$E$3:$J$3,0)),0)</f>
        <v>0</v>
      </c>
      <c r="AB299" s="15">
        <f>-$K299*IFERROR(INDEX('[1]salary allocation'!$E$6:$J$22,MATCH($H299,'[1]salary allocation'!$D$6:$D$22,0),MATCH(AB$3,'[1]salary allocation'!$E$3:$J$3,0)),0)</f>
        <v>0</v>
      </c>
      <c r="AC299" s="18">
        <f>-$K299*IFERROR(INDEX('[1]salary allocation'!$E$6:$J$22,MATCH($H299,'[1]salary allocation'!$D$6:$D$22,0),MATCH(AC$3,'[1]salary allocation'!$E$3:$J$3,0)),0)</f>
        <v>0</v>
      </c>
      <c r="AD299" s="17"/>
      <c r="AE299" s="16"/>
      <c r="AF299" s="15">
        <f>-$K299</f>
        <v>795057</v>
      </c>
      <c r="AG299" s="15"/>
      <c r="AH299" s="2">
        <f>K299+SUM(O299:AC299)</f>
        <v>0</v>
      </c>
      <c r="AI299" s="2">
        <f>K299+SUM(AF299:AG299)</f>
        <v>0</v>
      </c>
    </row>
    <row r="300" spans="1:35" x14ac:dyDescent="0.2">
      <c r="A300" s="69" t="s">
        <v>61</v>
      </c>
      <c r="B300" s="68">
        <v>45797</v>
      </c>
      <c r="H300" s="1" t="s">
        <v>153</v>
      </c>
      <c r="I300" s="1" t="s">
        <v>595</v>
      </c>
      <c r="K300" s="2">
        <v>-115046</v>
      </c>
      <c r="L300" s="46">
        <v>52025</v>
      </c>
      <c r="M300" s="2" t="str">
        <f>VLOOKUP(H300,$H$132:$M$160,6,0)</f>
        <v>VNBN</v>
      </c>
      <c r="N300" s="2" t="s">
        <v>138</v>
      </c>
      <c r="O300" s="2">
        <f>IF($M300=O$3,-$K300,0)</f>
        <v>0</v>
      </c>
      <c r="P300" s="2">
        <f>IF($M300=P$3,-$K300,0)</f>
        <v>0</v>
      </c>
      <c r="Q300" s="2">
        <f>IF($M300=Q$3,-$K300,0)</f>
        <v>0</v>
      </c>
      <c r="R300" s="2">
        <f>IF($M300=R$3,-$K300,0)</f>
        <v>0</v>
      </c>
      <c r="S300" s="2">
        <f>IF($M300=S$3,-$K300,0)</f>
        <v>0</v>
      </c>
      <c r="T300" s="2">
        <f>IF($M300=T$3,-$K300,0)</f>
        <v>0</v>
      </c>
      <c r="U300" s="2">
        <f>IF($M300=U$3,-$K300,0)</f>
        <v>0</v>
      </c>
      <c r="V300" s="2">
        <f>IF($M300=V$3,-$K300,0)</f>
        <v>0</v>
      </c>
      <c r="W300" s="2">
        <f>IF($M300=W$3,-$K300,0)</f>
        <v>0</v>
      </c>
      <c r="X300" s="2">
        <f>IF($M300=X$3,-$K300,0)</f>
        <v>0</v>
      </c>
      <c r="Y300" s="2">
        <f>IF($M300=Y$3,-$K300,0)</f>
        <v>0</v>
      </c>
      <c r="Z300" s="2">
        <f>IF($M300=Z$3,-$K300,0)</f>
        <v>0</v>
      </c>
      <c r="AA300" s="2">
        <f>IF($M300=AA$3,-$K300,0)</f>
        <v>115046</v>
      </c>
      <c r="AB300" s="2">
        <f>IF($M300=AB$3,-$K300,0)</f>
        <v>0</v>
      </c>
      <c r="AC300" s="21">
        <f>IF($M300=AC$3,-$K300,0)</f>
        <v>0</v>
      </c>
      <c r="AD300" s="20"/>
      <c r="AE300" s="19"/>
      <c r="AF300" s="2"/>
      <c r="AG300" s="2">
        <f>-K300</f>
        <v>115046</v>
      </c>
      <c r="AH300" s="2">
        <f>K300+SUM(O300:AC300)</f>
        <v>0</v>
      </c>
      <c r="AI300" s="2">
        <f>K300+SUM(AF300:AG300)</f>
        <v>0</v>
      </c>
    </row>
    <row r="301" spans="1:35" x14ac:dyDescent="0.2">
      <c r="A301" s="69" t="s">
        <v>61</v>
      </c>
      <c r="B301" s="68">
        <v>45797</v>
      </c>
      <c r="H301" s="1" t="s">
        <v>151</v>
      </c>
      <c r="I301" s="1" t="s">
        <v>594</v>
      </c>
      <c r="K301" s="2">
        <v>0</v>
      </c>
      <c r="L301" s="46">
        <v>52025</v>
      </c>
      <c r="M301" s="2" t="str">
        <f>VLOOKUP(H301,$H$132:$M$160,6,0)</f>
        <v>VNQN</v>
      </c>
      <c r="N301" s="2" t="s">
        <v>138</v>
      </c>
      <c r="O301" s="2">
        <f>IF($M301=O$3,-$K301,0)</f>
        <v>0</v>
      </c>
      <c r="P301" s="2">
        <f>IF($M301=P$3,-$K301,0)</f>
        <v>0</v>
      </c>
      <c r="Q301" s="2">
        <f>IF($M301=Q$3,-$K301,0)</f>
        <v>0</v>
      </c>
      <c r="R301" s="2">
        <f>IF($M301=R$3,-$K301,0)</f>
        <v>0</v>
      </c>
      <c r="S301" s="2">
        <f>IF($M301=S$3,-$K301,0)</f>
        <v>0</v>
      </c>
      <c r="T301" s="2">
        <f>IF($M301=T$3,-$K301,0)</f>
        <v>0</v>
      </c>
      <c r="U301" s="2">
        <f>IF($M301=U$3,-$K301,0)</f>
        <v>0</v>
      </c>
      <c r="V301" s="2">
        <f>IF($M301=V$3,-$K301,0)</f>
        <v>0</v>
      </c>
      <c r="W301" s="2">
        <f>IF($M301=W$3,-$K301,0)</f>
        <v>0</v>
      </c>
      <c r="X301" s="2">
        <f>IF($M301=X$3,-$K301,0)</f>
        <v>0</v>
      </c>
      <c r="Y301" s="2">
        <f>IF($M301=Y$3,-$K301,0)</f>
        <v>0</v>
      </c>
      <c r="Z301" s="2">
        <f>IF($M301=Z$3,-$K301,0)</f>
        <v>0</v>
      </c>
      <c r="AA301" s="2">
        <f>IF($M301=AA$3,-$K301,0)</f>
        <v>0</v>
      </c>
      <c r="AB301" s="2">
        <f>IF($M301=AB$3,-$K301,0)</f>
        <v>0</v>
      </c>
      <c r="AC301" s="21">
        <f>IF($M301=AC$3,-$K301,0)</f>
        <v>0</v>
      </c>
      <c r="AD301" s="20"/>
      <c r="AE301" s="19"/>
      <c r="AF301" s="2"/>
      <c r="AG301" s="2">
        <f>-$K301</f>
        <v>0</v>
      </c>
      <c r="AH301" s="2">
        <f>K301+SUM(O301:AC301)</f>
        <v>0</v>
      </c>
      <c r="AI301" s="2">
        <f>K301+SUM(AF301:AG301)</f>
        <v>0</v>
      </c>
    </row>
    <row r="302" spans="1:35" x14ac:dyDescent="0.2">
      <c r="A302" s="69" t="s">
        <v>61</v>
      </c>
      <c r="B302" s="68">
        <v>45797</v>
      </c>
      <c r="H302" s="1" t="s">
        <v>76</v>
      </c>
      <c r="I302" s="1" t="s">
        <v>593</v>
      </c>
      <c r="K302" s="2">
        <v>-17104278</v>
      </c>
      <c r="L302" s="46">
        <v>52025</v>
      </c>
      <c r="M302" s="2" t="str">
        <f>VLOOKUP(H302,$H$132:$M$160,6,0)</f>
        <v>VNMOET</v>
      </c>
      <c r="N302" s="2" t="s">
        <v>138</v>
      </c>
      <c r="O302" s="2">
        <f>IF($M302=O$3,-$K302,0)</f>
        <v>0</v>
      </c>
      <c r="P302" s="2">
        <f>IF($M302=P$3,-$K302,0)</f>
        <v>0</v>
      </c>
      <c r="Q302" s="2">
        <f>IF($M302=Q$3,-$K302,0)</f>
        <v>0</v>
      </c>
      <c r="R302" s="2">
        <f>IF($M302=R$3,-$K302,0)</f>
        <v>0</v>
      </c>
      <c r="S302" s="2">
        <f>IF($M302=S$3,-$K302,0)</f>
        <v>0</v>
      </c>
      <c r="T302" s="2">
        <f>IF($M302=T$3,-$K302,0)</f>
        <v>0</v>
      </c>
      <c r="U302" s="2">
        <f>IF($M302=U$3,-$K302,0)</f>
        <v>0</v>
      </c>
      <c r="V302" s="2">
        <f>IF($M302=V$3,-$K302,0)</f>
        <v>0</v>
      </c>
      <c r="W302" s="2">
        <f>IF($M302=W$3,-$K302,0)</f>
        <v>17104278</v>
      </c>
      <c r="X302" s="2">
        <f>IF($M302=X$3,-$K302,0)</f>
        <v>0</v>
      </c>
      <c r="Y302" s="2">
        <f>IF($M302=Y$3,-$K302,0)</f>
        <v>0</v>
      </c>
      <c r="Z302" s="2">
        <f>IF($M302=Z$3,-$K302,0)</f>
        <v>0</v>
      </c>
      <c r="AA302" s="2">
        <f>IF($M302=AA$3,-$K302,0)</f>
        <v>0</v>
      </c>
      <c r="AB302" s="2">
        <f>IF($M302=AB$3,-$K302,0)</f>
        <v>0</v>
      </c>
      <c r="AC302" s="21">
        <f>IF($M302=AC$3,-$K302,0)</f>
        <v>0</v>
      </c>
      <c r="AD302" s="20"/>
      <c r="AE302" s="19"/>
      <c r="AF302" s="2">
        <f>-$K302</f>
        <v>17104278</v>
      </c>
      <c r="AG302" s="2"/>
      <c r="AH302" s="2">
        <f>K302+SUM(O302:AC302)</f>
        <v>0</v>
      </c>
      <c r="AI302" s="2">
        <f>K302+SUM(AF302:AG302)</f>
        <v>0</v>
      </c>
    </row>
    <row r="303" spans="1:35" x14ac:dyDescent="0.2">
      <c r="A303" s="69" t="s">
        <v>61</v>
      </c>
      <c r="B303" s="68">
        <v>45797</v>
      </c>
      <c r="H303" s="1" t="s">
        <v>17</v>
      </c>
      <c r="I303" s="1" t="s">
        <v>592</v>
      </c>
      <c r="K303" s="2">
        <v>-81546</v>
      </c>
      <c r="L303" s="46">
        <v>52025</v>
      </c>
      <c r="M303" s="42" t="s">
        <v>591</v>
      </c>
      <c r="N303" s="2" t="s">
        <v>138</v>
      </c>
      <c r="O303" s="2">
        <f>IF($M303=O$3,-$K303,0)</f>
        <v>0</v>
      </c>
      <c r="P303" s="2">
        <f>IF($M303=P$3,-$K303,0)</f>
        <v>0</v>
      </c>
      <c r="Q303" s="2">
        <f>IF($M303=Q$3,-$K303,0)</f>
        <v>0</v>
      </c>
      <c r="R303" s="2">
        <f>IF($M303=R$3,-$K303,0)</f>
        <v>0</v>
      </c>
      <c r="S303" s="2">
        <f>IF($M303=S$3,-$K303,0)</f>
        <v>0</v>
      </c>
      <c r="T303" s="2">
        <f>IF($M303=T$3,-$K303,0)</f>
        <v>81546</v>
      </c>
      <c r="U303" s="2">
        <f>IF($M303=U$3,-$K303,0)</f>
        <v>0</v>
      </c>
      <c r="V303" s="2">
        <f>IF($M303=V$3,-$K303,0)</f>
        <v>0</v>
      </c>
      <c r="W303" s="2">
        <f>IF($M303=W$3,-$K303,0)</f>
        <v>0</v>
      </c>
      <c r="X303" s="2">
        <f>IF($M303=X$3,-$K303,0)</f>
        <v>0</v>
      </c>
      <c r="Y303" s="2">
        <f>IF($M303=Y$3,-$K303,0)</f>
        <v>0</v>
      </c>
      <c r="Z303" s="2">
        <f>IF($M303=Z$3,-$K303,0)</f>
        <v>0</v>
      </c>
      <c r="AA303" s="2">
        <f>IF($M303=AA$3,-$K303,0)</f>
        <v>0</v>
      </c>
      <c r="AB303" s="2">
        <f>IF($M303=AB$3,-$K303,0)</f>
        <v>0</v>
      </c>
      <c r="AC303" s="21">
        <f>IF($M303=AC$3,-$K303,0)</f>
        <v>0</v>
      </c>
      <c r="AD303" s="20"/>
      <c r="AE303" s="19"/>
      <c r="AF303" s="2"/>
      <c r="AG303" s="2">
        <f>-$K303</f>
        <v>81546</v>
      </c>
      <c r="AH303" s="2">
        <f>K303+SUM(O303:AC303)</f>
        <v>0</v>
      </c>
      <c r="AI303" s="2">
        <f>K303+SUM(AF303:AG303)</f>
        <v>0</v>
      </c>
    </row>
    <row r="304" spans="1:35" x14ac:dyDescent="0.2">
      <c r="A304" s="69" t="s">
        <v>61</v>
      </c>
      <c r="B304" s="68">
        <v>45797</v>
      </c>
      <c r="H304" s="1" t="s">
        <v>590</v>
      </c>
      <c r="I304" s="1" t="s">
        <v>589</v>
      </c>
      <c r="K304" s="2">
        <v>-1992</v>
      </c>
      <c r="L304" s="46">
        <v>52025</v>
      </c>
      <c r="M304" s="2" t="s">
        <v>138</v>
      </c>
      <c r="N304" s="2" t="s">
        <v>138</v>
      </c>
      <c r="O304" s="2">
        <f>IF($M304=O$3,-$K304,0)</f>
        <v>0</v>
      </c>
      <c r="P304" s="2">
        <f>IF($M304=P$3,-$K304,0)</f>
        <v>0</v>
      </c>
      <c r="Q304" s="2">
        <f>IF($M304=Q$3,-$K304,0)</f>
        <v>1992</v>
      </c>
      <c r="R304" s="2">
        <f>IF($M304=R$3,-$K304,0)</f>
        <v>0</v>
      </c>
      <c r="S304" s="2">
        <f>IF($M304=S$3,-$K304,0)</f>
        <v>0</v>
      </c>
      <c r="T304" s="2">
        <f>IF($M304=T$3,-$K304,0)</f>
        <v>0</v>
      </c>
      <c r="U304" s="2">
        <f>IF($M304=U$3,-$K304,0)</f>
        <v>0</v>
      </c>
      <c r="V304" s="2">
        <f>IF($M304=V$3,-$K304,0)</f>
        <v>0</v>
      </c>
      <c r="W304" s="2">
        <f>IF($M304=W$3,-$K304,0)</f>
        <v>0</v>
      </c>
      <c r="X304" s="2">
        <f>IF($M304=X$3,-$K304,0)</f>
        <v>0</v>
      </c>
      <c r="Y304" s="2">
        <f>IF($M304=Y$3,-$K304,0)</f>
        <v>0</v>
      </c>
      <c r="Z304" s="2">
        <f>IF($M304=Z$3,-$K304,0)</f>
        <v>0</v>
      </c>
      <c r="AA304" s="2">
        <f>IF($M304=AA$3,-$K304,0)</f>
        <v>0</v>
      </c>
      <c r="AB304" s="2">
        <f>IF($M304=AB$3,-$K304,0)</f>
        <v>0</v>
      </c>
      <c r="AC304" s="21">
        <f>IF($M304=AC$3,-$K304,0)</f>
        <v>0</v>
      </c>
      <c r="AD304" s="20"/>
      <c r="AE304" s="19"/>
      <c r="AF304" s="4">
        <f>-$K304</f>
        <v>1992</v>
      </c>
      <c r="AG304" s="2"/>
      <c r="AH304" s="2">
        <f>K304+SUM(O304:AC304)</f>
        <v>0</v>
      </c>
      <c r="AI304" s="2">
        <f>K304+SUM(AF304:AG304)</f>
        <v>0</v>
      </c>
    </row>
    <row r="305" spans="1:35" ht="17" x14ac:dyDescent="0.2">
      <c r="A305" s="59" t="s">
        <v>55</v>
      </c>
      <c r="B305" s="64" t="s">
        <v>531</v>
      </c>
      <c r="H305" s="59" t="s">
        <v>55</v>
      </c>
      <c r="I305" s="59" t="s">
        <v>588</v>
      </c>
      <c r="K305" s="62">
        <v>-54709385</v>
      </c>
      <c r="L305" s="46">
        <v>12025</v>
      </c>
      <c r="M305" s="61" t="s">
        <v>490</v>
      </c>
      <c r="N305" s="11" t="str">
        <f>M305</f>
        <v>VNHBC</v>
      </c>
      <c r="O305" s="15">
        <f>-$K305*IFERROR(INDEX('[1]salary allocation'!$E$6:$J$22,MATCH($H305,'[1]salary allocation'!$D$6:$D$22,0),MATCH(O$3,'[1]salary allocation'!$E$3:$J$3,0)),0)</f>
        <v>0</v>
      </c>
      <c r="P305" s="15">
        <f>-$K305*IFERROR(INDEX('[1]salary allocation'!$E$6:$J$22,MATCH($H305,'[1]salary allocation'!$D$6:$D$22,0),MATCH(P$3,'[1]salary allocation'!$E$3:$J$3,0)),0)</f>
        <v>0</v>
      </c>
      <c r="Q305" s="15">
        <f>-$K305*IFERROR(INDEX('[1]salary allocation'!$E$6:$J$22,MATCH($H305,'[1]salary allocation'!$D$6:$D$22,0),MATCH(Q$3,'[1]salary allocation'!$E$3:$J$3,0)),0)</f>
        <v>0</v>
      </c>
      <c r="R305" s="15">
        <f>-$K305*IFERROR(INDEX('[1]salary allocation'!$E$6:$J$22,MATCH($H305,'[1]salary allocation'!$D$6:$D$22,0),MATCH(R$3,'[1]salary allocation'!$E$3:$J$3,0)),0)</f>
        <v>0</v>
      </c>
      <c r="S305" s="15">
        <f>-$K305*IFERROR(INDEX('[1]salary allocation'!$E$6:$J$22,MATCH($H305,'[1]salary allocation'!$D$6:$D$22,0),MATCH(S$3,'[1]salary allocation'!$E$3:$J$3,0)),0)</f>
        <v>10941877</v>
      </c>
      <c r="T305" s="15">
        <f>-$K305*IFERROR(INDEX('[1]salary allocation'!$E$6:$J$22,MATCH($H305,'[1]salary allocation'!$D$6:$D$22,0),MATCH(T$3,'[1]salary allocation'!$E$3:$J$3,0)),0)</f>
        <v>10941877</v>
      </c>
      <c r="U305" s="15">
        <f>-$K305*IFERROR(INDEX('[1]salary allocation'!$E$6:$J$22,MATCH($H305,'[1]salary allocation'!$D$6:$D$22,0),MATCH(U$3,'[1]salary allocation'!$E$3:$J$3,0)),0)</f>
        <v>10941877</v>
      </c>
      <c r="V305" s="15">
        <f>-$K305*IFERROR(INDEX('[1]salary allocation'!$E$6:$J$22,MATCH($H305,'[1]salary allocation'!$D$6:$D$22,0),MATCH(V$3,'[1]salary allocation'!$E$3:$J$3,0)),0)</f>
        <v>0</v>
      </c>
      <c r="W305" s="15">
        <f>-$K305*IFERROR(INDEX('[1]salary allocation'!$E$6:$J$22,MATCH($H305,'[1]salary allocation'!$D$6:$D$22,0),MATCH(W$3,'[1]salary allocation'!$E$3:$J$3,0)),0)</f>
        <v>21883754</v>
      </c>
      <c r="X305" s="15">
        <f>-$K305*IFERROR(INDEX('[1]salary allocation'!$E$6:$J$22,MATCH($H305,'[1]salary allocation'!$D$6:$D$22,0),MATCH(X$3,'[1]salary allocation'!$E$3:$J$3,0)),0)</f>
        <v>0</v>
      </c>
      <c r="Y305" s="15">
        <f>-$K305*IFERROR(INDEX('[1]salary allocation'!$E$6:$J$22,MATCH($H305,'[1]salary allocation'!$D$6:$D$22,0),MATCH(Y$3,'[1]salary allocation'!$E$3:$J$3,0)),0)</f>
        <v>0</v>
      </c>
      <c r="Z305" s="15">
        <f>-$K305*IFERROR(INDEX('[1]salary allocation'!$E$6:$J$22,MATCH($H305,'[1]salary allocation'!$D$6:$D$22,0),MATCH(Z$3,'[1]salary allocation'!$E$3:$J$3,0)),0)</f>
        <v>0</v>
      </c>
      <c r="AA305" s="15">
        <f>-$K305*IFERROR(INDEX('[1]salary allocation'!$E$6:$J$22,MATCH($H305,'[1]salary allocation'!$D$6:$D$22,0),MATCH(AA$3,'[1]salary allocation'!$E$3:$J$3,0)),0)</f>
        <v>0</v>
      </c>
      <c r="AB305" s="15">
        <f>-$K305*IFERROR(INDEX('[1]salary allocation'!$E$6:$J$22,MATCH($H305,'[1]salary allocation'!$D$6:$D$22,0),MATCH(AB$3,'[1]salary allocation'!$E$3:$J$3,0)),0)</f>
        <v>0</v>
      </c>
      <c r="AC305" s="18">
        <f>-$K305*IFERROR(INDEX('[1]salary allocation'!$E$6:$J$22,MATCH($H305,'[1]salary allocation'!$D$6:$D$22,0),MATCH(AC$3,'[1]salary allocation'!$E$3:$J$3,0)),0)</f>
        <v>0</v>
      </c>
      <c r="AD305" s="17"/>
      <c r="AE305" s="16"/>
      <c r="AF305" s="15"/>
      <c r="AG305" s="15">
        <f>-$K305</f>
        <v>54709385</v>
      </c>
      <c r="AH305" s="2">
        <f>K305+SUM(O305:AC305)</f>
        <v>0</v>
      </c>
      <c r="AI305" s="2">
        <f>K305+SUM(AF305:AG305)</f>
        <v>0</v>
      </c>
    </row>
    <row r="306" spans="1:35" ht="17" x14ac:dyDescent="0.2">
      <c r="A306" s="57" t="s">
        <v>55</v>
      </c>
      <c r="B306" s="58" t="s">
        <v>527</v>
      </c>
      <c r="H306" s="57" t="s">
        <v>55</v>
      </c>
      <c r="I306" s="56" t="s">
        <v>587</v>
      </c>
      <c r="K306" s="47">
        <v>-59682990</v>
      </c>
      <c r="L306" s="46">
        <v>22025</v>
      </c>
      <c r="M306" s="49" t="s">
        <v>490</v>
      </c>
      <c r="N306" s="11" t="str">
        <f>M306</f>
        <v>VNHBC</v>
      </c>
      <c r="O306" s="15">
        <f>-$K306*IFERROR(INDEX('[1]salary allocation'!$E$6:$J$22,MATCH($H306,'[1]salary allocation'!$D$6:$D$22,0),MATCH(O$3,'[1]salary allocation'!$E$3:$J$3,0)),0)</f>
        <v>0</v>
      </c>
      <c r="P306" s="15">
        <f>-$K306*IFERROR(INDEX('[1]salary allocation'!$E$6:$J$22,MATCH($H306,'[1]salary allocation'!$D$6:$D$22,0),MATCH(P$3,'[1]salary allocation'!$E$3:$J$3,0)),0)</f>
        <v>0</v>
      </c>
      <c r="Q306" s="15">
        <f>-$K306*IFERROR(INDEX('[1]salary allocation'!$E$6:$J$22,MATCH($H306,'[1]salary allocation'!$D$6:$D$22,0),MATCH(Q$3,'[1]salary allocation'!$E$3:$J$3,0)),0)</f>
        <v>0</v>
      </c>
      <c r="R306" s="15">
        <f>-$K306*IFERROR(INDEX('[1]salary allocation'!$E$6:$J$22,MATCH($H306,'[1]salary allocation'!$D$6:$D$22,0),MATCH(R$3,'[1]salary allocation'!$E$3:$J$3,0)),0)</f>
        <v>0</v>
      </c>
      <c r="S306" s="15">
        <f>-$K306*IFERROR(INDEX('[1]salary allocation'!$E$6:$J$22,MATCH($H306,'[1]salary allocation'!$D$6:$D$22,0),MATCH(S$3,'[1]salary allocation'!$E$3:$J$3,0)),0)</f>
        <v>11936598</v>
      </c>
      <c r="T306" s="15">
        <f>-$K306*IFERROR(INDEX('[1]salary allocation'!$E$6:$J$22,MATCH($H306,'[1]salary allocation'!$D$6:$D$22,0),MATCH(T$3,'[1]salary allocation'!$E$3:$J$3,0)),0)</f>
        <v>11936598</v>
      </c>
      <c r="U306" s="15">
        <f>-$K306*IFERROR(INDEX('[1]salary allocation'!$E$6:$J$22,MATCH($H306,'[1]salary allocation'!$D$6:$D$22,0),MATCH(U$3,'[1]salary allocation'!$E$3:$J$3,0)),0)</f>
        <v>11936598</v>
      </c>
      <c r="V306" s="15">
        <f>-$K306*IFERROR(INDEX('[1]salary allocation'!$E$6:$J$22,MATCH($H306,'[1]salary allocation'!$D$6:$D$22,0),MATCH(V$3,'[1]salary allocation'!$E$3:$J$3,0)),0)</f>
        <v>0</v>
      </c>
      <c r="W306" s="15">
        <f>-$K306*IFERROR(INDEX('[1]salary allocation'!$E$6:$J$22,MATCH($H306,'[1]salary allocation'!$D$6:$D$22,0),MATCH(W$3,'[1]salary allocation'!$E$3:$J$3,0)),0)</f>
        <v>23873196</v>
      </c>
      <c r="X306" s="15">
        <f>-$K306*IFERROR(INDEX('[1]salary allocation'!$E$6:$J$22,MATCH($H306,'[1]salary allocation'!$D$6:$D$22,0),MATCH(X$3,'[1]salary allocation'!$E$3:$J$3,0)),0)</f>
        <v>0</v>
      </c>
      <c r="Y306" s="15">
        <f>-$K306*IFERROR(INDEX('[1]salary allocation'!$E$6:$J$22,MATCH($H306,'[1]salary allocation'!$D$6:$D$22,0),MATCH(Y$3,'[1]salary allocation'!$E$3:$J$3,0)),0)</f>
        <v>0</v>
      </c>
      <c r="Z306" s="15">
        <f>-$K306*IFERROR(INDEX('[1]salary allocation'!$E$6:$J$22,MATCH($H306,'[1]salary allocation'!$D$6:$D$22,0),MATCH(Z$3,'[1]salary allocation'!$E$3:$J$3,0)),0)</f>
        <v>0</v>
      </c>
      <c r="AA306" s="15">
        <f>-$K306*IFERROR(INDEX('[1]salary allocation'!$E$6:$J$22,MATCH($H306,'[1]salary allocation'!$D$6:$D$22,0),MATCH(AA$3,'[1]salary allocation'!$E$3:$J$3,0)),0)</f>
        <v>0</v>
      </c>
      <c r="AB306" s="15">
        <f>-$K306*IFERROR(INDEX('[1]salary allocation'!$E$6:$J$22,MATCH($H306,'[1]salary allocation'!$D$6:$D$22,0),MATCH(AB$3,'[1]salary allocation'!$E$3:$J$3,0)),0)</f>
        <v>0</v>
      </c>
      <c r="AC306" s="18">
        <f>-$K306*IFERROR(INDEX('[1]salary allocation'!$E$6:$J$22,MATCH($H306,'[1]salary allocation'!$D$6:$D$22,0),MATCH(AC$3,'[1]salary allocation'!$E$3:$J$3,0)),0)</f>
        <v>0</v>
      </c>
      <c r="AD306" s="17"/>
      <c r="AE306" s="16"/>
      <c r="AF306" s="15"/>
      <c r="AG306" s="15">
        <f>-$K306</f>
        <v>59682990</v>
      </c>
      <c r="AH306" s="2">
        <f>K306+SUM(O306:AC306)</f>
        <v>0</v>
      </c>
      <c r="AI306" s="2">
        <f>K306+SUM(AF306:AG306)</f>
        <v>0</v>
      </c>
    </row>
    <row r="307" spans="1:35" ht="17" x14ac:dyDescent="0.2">
      <c r="A307" s="52" t="s">
        <v>55</v>
      </c>
      <c r="B307" s="55" t="s">
        <v>523</v>
      </c>
      <c r="H307" s="52" t="s">
        <v>55</v>
      </c>
      <c r="I307" s="54" t="s">
        <v>586</v>
      </c>
      <c r="K307" s="47">
        <v>-67205056</v>
      </c>
      <c r="L307" s="46">
        <v>32025</v>
      </c>
      <c r="M307" s="49" t="s">
        <v>490</v>
      </c>
      <c r="N307" s="11" t="str">
        <f>M307</f>
        <v>VNHBC</v>
      </c>
      <c r="O307" s="15">
        <f>-$K307*IFERROR(INDEX('[1]salary allocation'!$E$6:$J$22,MATCH($H307,'[1]salary allocation'!$D$6:$D$22,0),MATCH(O$3,'[1]salary allocation'!$E$3:$J$3,0)),0)</f>
        <v>0</v>
      </c>
      <c r="P307" s="15">
        <f>-$K307*IFERROR(INDEX('[1]salary allocation'!$E$6:$J$22,MATCH($H307,'[1]salary allocation'!$D$6:$D$22,0),MATCH(P$3,'[1]salary allocation'!$E$3:$J$3,0)),0)</f>
        <v>0</v>
      </c>
      <c r="Q307" s="15">
        <f>-$K307*IFERROR(INDEX('[1]salary allocation'!$E$6:$J$22,MATCH($H307,'[1]salary allocation'!$D$6:$D$22,0),MATCH(Q$3,'[1]salary allocation'!$E$3:$J$3,0)),0)</f>
        <v>0</v>
      </c>
      <c r="R307" s="15">
        <f>-$K307*IFERROR(INDEX('[1]salary allocation'!$E$6:$J$22,MATCH($H307,'[1]salary allocation'!$D$6:$D$22,0),MATCH(R$3,'[1]salary allocation'!$E$3:$J$3,0)),0)</f>
        <v>0</v>
      </c>
      <c r="S307" s="15">
        <f>-$K307*IFERROR(INDEX('[1]salary allocation'!$E$6:$J$22,MATCH($H307,'[1]salary allocation'!$D$6:$D$22,0),MATCH(S$3,'[1]salary allocation'!$E$3:$J$3,0)),0)</f>
        <v>13441011.200000001</v>
      </c>
      <c r="T307" s="15">
        <f>-$K307*IFERROR(INDEX('[1]salary allocation'!$E$6:$J$22,MATCH($H307,'[1]salary allocation'!$D$6:$D$22,0),MATCH(T$3,'[1]salary allocation'!$E$3:$J$3,0)),0)</f>
        <v>13441011.200000001</v>
      </c>
      <c r="U307" s="15">
        <f>-$K307*IFERROR(INDEX('[1]salary allocation'!$E$6:$J$22,MATCH($H307,'[1]salary allocation'!$D$6:$D$22,0),MATCH(U$3,'[1]salary allocation'!$E$3:$J$3,0)),0)</f>
        <v>13441011.200000001</v>
      </c>
      <c r="V307" s="15">
        <f>-$K307*IFERROR(INDEX('[1]salary allocation'!$E$6:$J$22,MATCH($H307,'[1]salary allocation'!$D$6:$D$22,0),MATCH(V$3,'[1]salary allocation'!$E$3:$J$3,0)),0)</f>
        <v>0</v>
      </c>
      <c r="W307" s="15">
        <f>-$K307*IFERROR(INDEX('[1]salary allocation'!$E$6:$J$22,MATCH($H307,'[1]salary allocation'!$D$6:$D$22,0),MATCH(W$3,'[1]salary allocation'!$E$3:$J$3,0)),0)</f>
        <v>26882022.400000002</v>
      </c>
      <c r="X307" s="15">
        <f>-$K307*IFERROR(INDEX('[1]salary allocation'!$E$6:$J$22,MATCH($H307,'[1]salary allocation'!$D$6:$D$22,0),MATCH(X$3,'[1]salary allocation'!$E$3:$J$3,0)),0)</f>
        <v>0</v>
      </c>
      <c r="Y307" s="15">
        <f>-$K307*IFERROR(INDEX('[1]salary allocation'!$E$6:$J$22,MATCH($H307,'[1]salary allocation'!$D$6:$D$22,0),MATCH(Y$3,'[1]salary allocation'!$E$3:$J$3,0)),0)</f>
        <v>0</v>
      </c>
      <c r="Z307" s="15">
        <f>-$K307*IFERROR(INDEX('[1]salary allocation'!$E$6:$J$22,MATCH($H307,'[1]salary allocation'!$D$6:$D$22,0),MATCH(Z$3,'[1]salary allocation'!$E$3:$J$3,0)),0)</f>
        <v>0</v>
      </c>
      <c r="AA307" s="15">
        <f>-$K307*IFERROR(INDEX('[1]salary allocation'!$E$6:$J$22,MATCH($H307,'[1]salary allocation'!$D$6:$D$22,0),MATCH(AA$3,'[1]salary allocation'!$E$3:$J$3,0)),0)</f>
        <v>0</v>
      </c>
      <c r="AB307" s="15">
        <f>-$K307*IFERROR(INDEX('[1]salary allocation'!$E$6:$J$22,MATCH($H307,'[1]salary allocation'!$D$6:$D$22,0),MATCH(AB$3,'[1]salary allocation'!$E$3:$J$3,0)),0)</f>
        <v>0</v>
      </c>
      <c r="AC307" s="18">
        <f>-$K307*IFERROR(INDEX('[1]salary allocation'!$E$6:$J$22,MATCH($H307,'[1]salary allocation'!$D$6:$D$22,0),MATCH(AC$3,'[1]salary allocation'!$E$3:$J$3,0)),0)</f>
        <v>0</v>
      </c>
      <c r="AD307" s="17"/>
      <c r="AE307" s="16"/>
      <c r="AF307" s="15"/>
      <c r="AG307" s="15">
        <f>-$K307</f>
        <v>67205056</v>
      </c>
      <c r="AH307" s="2">
        <f>K307+SUM(O307:AC307)</f>
        <v>0</v>
      </c>
      <c r="AI307" s="2">
        <f>K307+SUM(AF307:AG307)</f>
        <v>0</v>
      </c>
    </row>
    <row r="308" spans="1:35" ht="17" x14ac:dyDescent="0.2">
      <c r="A308" s="52" t="s">
        <v>55</v>
      </c>
      <c r="B308" s="53" t="s">
        <v>519</v>
      </c>
      <c r="H308" s="52" t="s">
        <v>55</v>
      </c>
      <c r="I308" s="52" t="s">
        <v>585</v>
      </c>
      <c r="K308" s="13">
        <v>-58100594</v>
      </c>
      <c r="L308" s="46">
        <v>42025</v>
      </c>
      <c r="M308" s="11" t="s">
        <v>490</v>
      </c>
      <c r="N308" s="11" t="str">
        <f>M308</f>
        <v>VNHBC</v>
      </c>
      <c r="O308" s="15">
        <f>-$K308*IFERROR(INDEX('[1]salary allocation'!$E$6:$J$22,MATCH($H308,'[1]salary allocation'!$D$6:$D$22,0),MATCH(O$3,'[1]salary allocation'!$E$3:$J$3,0)),0)</f>
        <v>0</v>
      </c>
      <c r="P308" s="15">
        <f>-$K308*IFERROR(INDEX('[1]salary allocation'!$E$6:$J$22,MATCH($H308,'[1]salary allocation'!$D$6:$D$22,0),MATCH(P$3,'[1]salary allocation'!$E$3:$J$3,0)),0)</f>
        <v>0</v>
      </c>
      <c r="Q308" s="15">
        <f>-$K308*IFERROR(INDEX('[1]salary allocation'!$E$6:$J$22,MATCH($H308,'[1]salary allocation'!$D$6:$D$22,0),MATCH(Q$3,'[1]salary allocation'!$E$3:$J$3,0)),0)</f>
        <v>0</v>
      </c>
      <c r="R308" s="15">
        <f>-$K308*IFERROR(INDEX('[1]salary allocation'!$E$6:$J$22,MATCH($H308,'[1]salary allocation'!$D$6:$D$22,0),MATCH(R$3,'[1]salary allocation'!$E$3:$J$3,0)),0)</f>
        <v>0</v>
      </c>
      <c r="S308" s="15">
        <f>-$K308*IFERROR(INDEX('[1]salary allocation'!$E$6:$J$22,MATCH($H308,'[1]salary allocation'!$D$6:$D$22,0),MATCH(S$3,'[1]salary allocation'!$E$3:$J$3,0)),0)</f>
        <v>11620118.800000001</v>
      </c>
      <c r="T308" s="15">
        <f>-$K308*IFERROR(INDEX('[1]salary allocation'!$E$6:$J$22,MATCH($H308,'[1]salary allocation'!$D$6:$D$22,0),MATCH(T$3,'[1]salary allocation'!$E$3:$J$3,0)),0)</f>
        <v>11620118.800000001</v>
      </c>
      <c r="U308" s="15">
        <f>-$K308*IFERROR(INDEX('[1]salary allocation'!$E$6:$J$22,MATCH($H308,'[1]salary allocation'!$D$6:$D$22,0),MATCH(U$3,'[1]salary allocation'!$E$3:$J$3,0)),0)</f>
        <v>11620118.800000001</v>
      </c>
      <c r="V308" s="15">
        <f>-$K308*IFERROR(INDEX('[1]salary allocation'!$E$6:$J$22,MATCH($H308,'[1]salary allocation'!$D$6:$D$22,0),MATCH(V$3,'[1]salary allocation'!$E$3:$J$3,0)),0)</f>
        <v>0</v>
      </c>
      <c r="W308" s="15">
        <f>-$K308*IFERROR(INDEX('[1]salary allocation'!$E$6:$J$22,MATCH($H308,'[1]salary allocation'!$D$6:$D$22,0),MATCH(W$3,'[1]salary allocation'!$E$3:$J$3,0)),0)</f>
        <v>23240237.600000001</v>
      </c>
      <c r="X308" s="15">
        <f>-$K308*IFERROR(INDEX('[1]salary allocation'!$E$6:$J$22,MATCH($H308,'[1]salary allocation'!$D$6:$D$22,0),MATCH(X$3,'[1]salary allocation'!$E$3:$J$3,0)),0)</f>
        <v>0</v>
      </c>
      <c r="Y308" s="15">
        <f>-$K308*IFERROR(INDEX('[1]salary allocation'!$E$6:$J$22,MATCH($H308,'[1]salary allocation'!$D$6:$D$22,0),MATCH(Y$3,'[1]salary allocation'!$E$3:$J$3,0)),0)</f>
        <v>0</v>
      </c>
      <c r="Z308" s="15">
        <f>-$K308*IFERROR(INDEX('[1]salary allocation'!$E$6:$J$22,MATCH($H308,'[1]salary allocation'!$D$6:$D$22,0),MATCH(Z$3,'[1]salary allocation'!$E$3:$J$3,0)),0)</f>
        <v>0</v>
      </c>
      <c r="AA308" s="15">
        <f>-$K308*IFERROR(INDEX('[1]salary allocation'!$E$6:$J$22,MATCH($H308,'[1]salary allocation'!$D$6:$D$22,0),MATCH(AA$3,'[1]salary allocation'!$E$3:$J$3,0)),0)</f>
        <v>0</v>
      </c>
      <c r="AB308" s="15">
        <f>-$K308*IFERROR(INDEX('[1]salary allocation'!$E$6:$J$22,MATCH($H308,'[1]salary allocation'!$D$6:$D$22,0),MATCH(AB$3,'[1]salary allocation'!$E$3:$J$3,0)),0)</f>
        <v>0</v>
      </c>
      <c r="AC308" s="18">
        <f>-$K308*IFERROR(INDEX('[1]salary allocation'!$E$6:$J$22,MATCH($H308,'[1]salary allocation'!$D$6:$D$22,0),MATCH(AC$3,'[1]salary allocation'!$E$3:$J$3,0)),0)</f>
        <v>0</v>
      </c>
      <c r="AD308" s="17"/>
      <c r="AE308" s="16"/>
      <c r="AF308" s="15"/>
      <c r="AG308" s="15">
        <f>-$K308</f>
        <v>58100594</v>
      </c>
      <c r="AH308" s="2">
        <f>K308+SUM(O308:AC308)</f>
        <v>0</v>
      </c>
      <c r="AI308" s="2">
        <f>K308+SUM(AF308:AG308)</f>
        <v>0</v>
      </c>
    </row>
    <row r="309" spans="1:35" ht="17" x14ac:dyDescent="0.2">
      <c r="A309" s="48" t="s">
        <v>55</v>
      </c>
      <c r="B309" s="49" t="s">
        <v>515</v>
      </c>
      <c r="H309" s="48" t="s">
        <v>55</v>
      </c>
      <c r="I309" s="48" t="s">
        <v>584</v>
      </c>
      <c r="K309" s="47">
        <v>-58557375</v>
      </c>
      <c r="L309" s="46">
        <v>52025</v>
      </c>
      <c r="M309" s="11" t="s">
        <v>490</v>
      </c>
      <c r="N309" s="11" t="str">
        <f>M309</f>
        <v>VNHBC</v>
      </c>
      <c r="O309" s="15">
        <f>-$K309*IFERROR(INDEX('[1]salary allocation'!$E$6:$J$22,MATCH($H309,'[1]salary allocation'!$D$6:$D$22,0),MATCH(O$3,'[1]salary allocation'!$E$3:$J$3,0)),0)</f>
        <v>0</v>
      </c>
      <c r="P309" s="15">
        <f>-$K309*IFERROR(INDEX('[1]salary allocation'!$E$6:$J$22,MATCH($H309,'[1]salary allocation'!$D$6:$D$22,0),MATCH(P$3,'[1]salary allocation'!$E$3:$J$3,0)),0)</f>
        <v>0</v>
      </c>
      <c r="Q309" s="15">
        <f>-$K309*IFERROR(INDEX('[1]salary allocation'!$E$6:$J$22,MATCH($H309,'[1]salary allocation'!$D$6:$D$22,0),MATCH(Q$3,'[1]salary allocation'!$E$3:$J$3,0)),0)</f>
        <v>0</v>
      </c>
      <c r="R309" s="15">
        <f>-$K309*IFERROR(INDEX('[1]salary allocation'!$E$6:$J$22,MATCH($H309,'[1]salary allocation'!$D$6:$D$22,0),MATCH(R$3,'[1]salary allocation'!$E$3:$J$3,0)),0)</f>
        <v>0</v>
      </c>
      <c r="S309" s="15">
        <f>-$K309*IFERROR(INDEX('[1]salary allocation'!$E$6:$J$22,MATCH($H309,'[1]salary allocation'!$D$6:$D$22,0),MATCH(S$3,'[1]salary allocation'!$E$3:$J$3,0)),0)</f>
        <v>11711475</v>
      </c>
      <c r="T309" s="15">
        <f>-$K309*IFERROR(INDEX('[1]salary allocation'!$E$6:$J$22,MATCH($H309,'[1]salary allocation'!$D$6:$D$22,0),MATCH(T$3,'[1]salary allocation'!$E$3:$J$3,0)),0)</f>
        <v>11711475</v>
      </c>
      <c r="U309" s="15">
        <f>-$K309*IFERROR(INDEX('[1]salary allocation'!$E$6:$J$22,MATCH($H309,'[1]salary allocation'!$D$6:$D$22,0),MATCH(U$3,'[1]salary allocation'!$E$3:$J$3,0)),0)</f>
        <v>11711475</v>
      </c>
      <c r="V309" s="15">
        <f>-$K309*IFERROR(INDEX('[1]salary allocation'!$E$6:$J$22,MATCH($H309,'[1]salary allocation'!$D$6:$D$22,0),MATCH(V$3,'[1]salary allocation'!$E$3:$J$3,0)),0)</f>
        <v>0</v>
      </c>
      <c r="W309" s="15">
        <f>-$K309*IFERROR(INDEX('[1]salary allocation'!$E$6:$J$22,MATCH($H309,'[1]salary allocation'!$D$6:$D$22,0),MATCH(W$3,'[1]salary allocation'!$E$3:$J$3,0)),0)</f>
        <v>23422950</v>
      </c>
      <c r="X309" s="15">
        <f>-$K309*IFERROR(INDEX('[1]salary allocation'!$E$6:$J$22,MATCH($H309,'[1]salary allocation'!$D$6:$D$22,0),MATCH(X$3,'[1]salary allocation'!$E$3:$J$3,0)),0)</f>
        <v>0</v>
      </c>
      <c r="Y309" s="15">
        <f>-$K309*IFERROR(INDEX('[1]salary allocation'!$E$6:$J$22,MATCH($H309,'[1]salary allocation'!$D$6:$D$22,0),MATCH(Y$3,'[1]salary allocation'!$E$3:$J$3,0)),0)</f>
        <v>0</v>
      </c>
      <c r="Z309" s="15">
        <f>-$K309*IFERROR(INDEX('[1]salary allocation'!$E$6:$J$22,MATCH($H309,'[1]salary allocation'!$D$6:$D$22,0),MATCH(Z$3,'[1]salary allocation'!$E$3:$J$3,0)),0)</f>
        <v>0</v>
      </c>
      <c r="AA309" s="15">
        <f>-$K309*IFERROR(INDEX('[1]salary allocation'!$E$6:$J$22,MATCH($H309,'[1]salary allocation'!$D$6:$D$22,0),MATCH(AA$3,'[1]salary allocation'!$E$3:$J$3,0)),0)</f>
        <v>0</v>
      </c>
      <c r="AB309" s="15">
        <f>-$K309*IFERROR(INDEX('[1]salary allocation'!$E$6:$J$22,MATCH($H309,'[1]salary allocation'!$D$6:$D$22,0),MATCH(AB$3,'[1]salary allocation'!$E$3:$J$3,0)),0)</f>
        <v>0</v>
      </c>
      <c r="AC309" s="18">
        <f>-$K309*IFERROR(INDEX('[1]salary allocation'!$E$6:$J$22,MATCH($H309,'[1]salary allocation'!$D$6:$D$22,0),MATCH(AC$3,'[1]salary allocation'!$E$3:$J$3,0)),0)</f>
        <v>0</v>
      </c>
      <c r="AD309" s="17"/>
      <c r="AE309" s="16"/>
      <c r="AF309" s="15"/>
      <c r="AG309" s="15">
        <f>-$K309</f>
        <v>58557375</v>
      </c>
      <c r="AH309" s="2">
        <f>K309+SUM(O309:AC309)</f>
        <v>0</v>
      </c>
      <c r="AI309" s="2">
        <f>K309+SUM(AF309:AG309)</f>
        <v>0</v>
      </c>
    </row>
    <row r="310" spans="1:35" ht="17" x14ac:dyDescent="0.2">
      <c r="A310" s="59" t="s">
        <v>135</v>
      </c>
      <c r="B310" s="64" t="s">
        <v>531</v>
      </c>
      <c r="H310" s="59" t="s">
        <v>135</v>
      </c>
      <c r="I310" s="59" t="s">
        <v>583</v>
      </c>
      <c r="K310" s="62">
        <v>-115130737</v>
      </c>
      <c r="L310" s="46">
        <v>12025</v>
      </c>
      <c r="M310" s="61" t="s">
        <v>138</v>
      </c>
      <c r="N310" s="11" t="str">
        <f>M310</f>
        <v>VNOther</v>
      </c>
      <c r="O310" s="15">
        <f>-$K310*IFERROR(INDEX('[1]salary allocation'!$E$6:$J$22,MATCH($H310,'[1]salary allocation'!$D$6:$D$22,0),MATCH(O$3,'[1]salary allocation'!$E$3:$J$3,0)),0)</f>
        <v>0</v>
      </c>
      <c r="P310" s="15">
        <f>-$K310*IFERROR(INDEX('[1]salary allocation'!$E$6:$J$22,MATCH($H310,'[1]salary allocation'!$D$6:$D$22,0),MATCH(P$3,'[1]salary allocation'!$E$3:$J$3,0)),0)</f>
        <v>57565368.5</v>
      </c>
      <c r="Q310" s="15">
        <f>-$K310*IFERROR(INDEX('[1]salary allocation'!$E$6:$J$22,MATCH($H310,'[1]salary allocation'!$D$6:$D$22,0),MATCH(Q$3,'[1]salary allocation'!$E$3:$J$3,0)),0)</f>
        <v>0</v>
      </c>
      <c r="R310" s="15">
        <f>-$K310*IFERROR(INDEX('[1]salary allocation'!$E$6:$J$22,MATCH($H310,'[1]salary allocation'!$D$6:$D$22,0),MATCH(R$3,'[1]salary allocation'!$E$3:$J$3,0)),0)</f>
        <v>0</v>
      </c>
      <c r="S310" s="15">
        <f>-$K310*IFERROR(INDEX('[1]salary allocation'!$E$6:$J$22,MATCH($H310,'[1]salary allocation'!$D$6:$D$22,0),MATCH(S$3,'[1]salary allocation'!$E$3:$J$3,0)),0)</f>
        <v>11513073.700000001</v>
      </c>
      <c r="T310" s="15">
        <f>-$K310*IFERROR(INDEX('[1]salary allocation'!$E$6:$J$22,MATCH($H310,'[1]salary allocation'!$D$6:$D$22,0),MATCH(T$3,'[1]salary allocation'!$E$3:$J$3,0)),0)</f>
        <v>11513073.700000001</v>
      </c>
      <c r="U310" s="15">
        <f>-$K310*IFERROR(INDEX('[1]salary allocation'!$E$6:$J$22,MATCH($H310,'[1]salary allocation'!$D$6:$D$22,0),MATCH(U$3,'[1]salary allocation'!$E$3:$J$3,0)),0)</f>
        <v>11513073.700000001</v>
      </c>
      <c r="V310" s="15">
        <f>-$K310*IFERROR(INDEX('[1]salary allocation'!$E$6:$J$22,MATCH($H310,'[1]salary allocation'!$D$6:$D$22,0),MATCH(V$3,'[1]salary allocation'!$E$3:$J$3,0)),0)</f>
        <v>0</v>
      </c>
      <c r="W310" s="15">
        <f>-$K310*IFERROR(INDEX('[1]salary allocation'!$E$6:$J$22,MATCH($H310,'[1]salary allocation'!$D$6:$D$22,0),MATCH(W$3,'[1]salary allocation'!$E$3:$J$3,0)),0)</f>
        <v>23026147.400000002</v>
      </c>
      <c r="X310" s="15">
        <f>-$K310*IFERROR(INDEX('[1]salary allocation'!$E$6:$J$22,MATCH($H310,'[1]salary allocation'!$D$6:$D$22,0),MATCH(X$3,'[1]salary allocation'!$E$3:$J$3,0)),0)</f>
        <v>0</v>
      </c>
      <c r="Y310" s="15">
        <f>-$K310*IFERROR(INDEX('[1]salary allocation'!$E$6:$J$22,MATCH($H310,'[1]salary allocation'!$D$6:$D$22,0),MATCH(Y$3,'[1]salary allocation'!$E$3:$J$3,0)),0)</f>
        <v>0</v>
      </c>
      <c r="Z310" s="15">
        <f>-$K310*IFERROR(INDEX('[1]salary allocation'!$E$6:$J$22,MATCH($H310,'[1]salary allocation'!$D$6:$D$22,0),MATCH(Z$3,'[1]salary allocation'!$E$3:$J$3,0)),0)</f>
        <v>0</v>
      </c>
      <c r="AA310" s="15">
        <f>-$K310*IFERROR(INDEX('[1]salary allocation'!$E$6:$J$22,MATCH($H310,'[1]salary allocation'!$D$6:$D$22,0),MATCH(AA$3,'[1]salary allocation'!$E$3:$J$3,0)),0)</f>
        <v>0</v>
      </c>
      <c r="AB310" s="15">
        <f>-$K310*IFERROR(INDEX('[1]salary allocation'!$E$6:$J$22,MATCH($H310,'[1]salary allocation'!$D$6:$D$22,0),MATCH(AB$3,'[1]salary allocation'!$E$3:$J$3,0)),0)</f>
        <v>0</v>
      </c>
      <c r="AC310" s="18">
        <f>-$K310*IFERROR(INDEX('[1]salary allocation'!$E$6:$J$22,MATCH($H310,'[1]salary allocation'!$D$6:$D$22,0),MATCH(AC$3,'[1]salary allocation'!$E$3:$J$3,0)),0)</f>
        <v>0</v>
      </c>
      <c r="AD310" s="17"/>
      <c r="AE310" s="16"/>
      <c r="AF310" s="15">
        <f>-$K310</f>
        <v>115130737</v>
      </c>
      <c r="AG310" s="15"/>
      <c r="AH310" s="2">
        <f>K310+SUM(O310:AC310)</f>
        <v>0</v>
      </c>
      <c r="AI310" s="2">
        <f>K310+SUM(AF310:AG310)</f>
        <v>0</v>
      </c>
    </row>
    <row r="311" spans="1:35" ht="17" x14ac:dyDescent="0.2">
      <c r="A311" s="59" t="s">
        <v>135</v>
      </c>
      <c r="B311" s="55" t="s">
        <v>527</v>
      </c>
      <c r="H311" s="60" t="s">
        <v>135</v>
      </c>
      <c r="I311" s="59" t="s">
        <v>582</v>
      </c>
      <c r="K311" s="47">
        <v>-143408415</v>
      </c>
      <c r="L311" s="46">
        <v>22025</v>
      </c>
      <c r="M311" s="49" t="s">
        <v>138</v>
      </c>
      <c r="N311" s="11" t="str">
        <f>M311</f>
        <v>VNOther</v>
      </c>
      <c r="O311" s="15">
        <f>-$K311*IFERROR(INDEX('[1]salary allocation'!$E$6:$J$22,MATCH($H311,'[1]salary allocation'!$D$6:$D$22,0),MATCH(O$3,'[1]salary allocation'!$E$3:$J$3,0)),0)</f>
        <v>0</v>
      </c>
      <c r="P311" s="15">
        <f>-$K311*IFERROR(INDEX('[1]salary allocation'!$E$6:$J$22,MATCH($H311,'[1]salary allocation'!$D$6:$D$22,0),MATCH(P$3,'[1]salary allocation'!$E$3:$J$3,0)),0)</f>
        <v>71704207.5</v>
      </c>
      <c r="Q311" s="15">
        <f>-$K311*IFERROR(INDEX('[1]salary allocation'!$E$6:$J$22,MATCH($H311,'[1]salary allocation'!$D$6:$D$22,0),MATCH(Q$3,'[1]salary allocation'!$E$3:$J$3,0)),0)</f>
        <v>0</v>
      </c>
      <c r="R311" s="15">
        <f>-$K311*IFERROR(INDEX('[1]salary allocation'!$E$6:$J$22,MATCH($H311,'[1]salary allocation'!$D$6:$D$22,0),MATCH(R$3,'[1]salary allocation'!$E$3:$J$3,0)),0)</f>
        <v>0</v>
      </c>
      <c r="S311" s="15">
        <f>-$K311*IFERROR(INDEX('[1]salary allocation'!$E$6:$J$22,MATCH($H311,'[1]salary allocation'!$D$6:$D$22,0),MATCH(S$3,'[1]salary allocation'!$E$3:$J$3,0)),0)</f>
        <v>14340841.5</v>
      </c>
      <c r="T311" s="15">
        <f>-$K311*IFERROR(INDEX('[1]salary allocation'!$E$6:$J$22,MATCH($H311,'[1]salary allocation'!$D$6:$D$22,0),MATCH(T$3,'[1]salary allocation'!$E$3:$J$3,0)),0)</f>
        <v>14340841.5</v>
      </c>
      <c r="U311" s="15">
        <f>-$K311*IFERROR(INDEX('[1]salary allocation'!$E$6:$J$22,MATCH($H311,'[1]salary allocation'!$D$6:$D$22,0),MATCH(U$3,'[1]salary allocation'!$E$3:$J$3,0)),0)</f>
        <v>14340841.5</v>
      </c>
      <c r="V311" s="15">
        <f>-$K311*IFERROR(INDEX('[1]salary allocation'!$E$6:$J$22,MATCH($H311,'[1]salary allocation'!$D$6:$D$22,0),MATCH(V$3,'[1]salary allocation'!$E$3:$J$3,0)),0)</f>
        <v>0</v>
      </c>
      <c r="W311" s="15">
        <f>-$K311*IFERROR(INDEX('[1]salary allocation'!$E$6:$J$22,MATCH($H311,'[1]salary allocation'!$D$6:$D$22,0),MATCH(W$3,'[1]salary allocation'!$E$3:$J$3,0)),0)</f>
        <v>28681683</v>
      </c>
      <c r="X311" s="15">
        <f>-$K311*IFERROR(INDEX('[1]salary allocation'!$E$6:$J$22,MATCH($H311,'[1]salary allocation'!$D$6:$D$22,0),MATCH(X$3,'[1]salary allocation'!$E$3:$J$3,0)),0)</f>
        <v>0</v>
      </c>
      <c r="Y311" s="15">
        <f>-$K311*IFERROR(INDEX('[1]salary allocation'!$E$6:$J$22,MATCH($H311,'[1]salary allocation'!$D$6:$D$22,0),MATCH(Y$3,'[1]salary allocation'!$E$3:$J$3,0)),0)</f>
        <v>0</v>
      </c>
      <c r="Z311" s="15">
        <f>-$K311*IFERROR(INDEX('[1]salary allocation'!$E$6:$J$22,MATCH($H311,'[1]salary allocation'!$D$6:$D$22,0),MATCH(Z$3,'[1]salary allocation'!$E$3:$J$3,0)),0)</f>
        <v>0</v>
      </c>
      <c r="AA311" s="15">
        <f>-$K311*IFERROR(INDEX('[1]salary allocation'!$E$6:$J$22,MATCH($H311,'[1]salary allocation'!$D$6:$D$22,0),MATCH(AA$3,'[1]salary allocation'!$E$3:$J$3,0)),0)</f>
        <v>0</v>
      </c>
      <c r="AB311" s="15">
        <f>-$K311*IFERROR(INDEX('[1]salary allocation'!$E$6:$J$22,MATCH($H311,'[1]salary allocation'!$D$6:$D$22,0),MATCH(AB$3,'[1]salary allocation'!$E$3:$J$3,0)),0)</f>
        <v>0</v>
      </c>
      <c r="AC311" s="18">
        <f>-$K311*IFERROR(INDEX('[1]salary allocation'!$E$6:$J$22,MATCH($H311,'[1]salary allocation'!$D$6:$D$22,0),MATCH(AC$3,'[1]salary allocation'!$E$3:$J$3,0)),0)</f>
        <v>0</v>
      </c>
      <c r="AD311" s="17"/>
      <c r="AE311" s="16"/>
      <c r="AF311" s="15">
        <f>-$K311</f>
        <v>143408415</v>
      </c>
      <c r="AG311" s="15"/>
      <c r="AH311" s="2">
        <f>K311+SUM(O311:AC311)</f>
        <v>0</v>
      </c>
      <c r="AI311" s="2">
        <f>K311+SUM(AF311:AG311)</f>
        <v>0</v>
      </c>
    </row>
    <row r="312" spans="1:35" ht="17" x14ac:dyDescent="0.2">
      <c r="A312" s="59" t="s">
        <v>135</v>
      </c>
      <c r="B312" s="58" t="s">
        <v>523</v>
      </c>
      <c r="H312" s="65" t="s">
        <v>135</v>
      </c>
      <c r="I312" s="67" t="s">
        <v>581</v>
      </c>
      <c r="K312" s="47">
        <v>-135155705</v>
      </c>
      <c r="L312" s="46">
        <v>32025</v>
      </c>
      <c r="M312" s="49" t="s">
        <v>138</v>
      </c>
      <c r="N312" s="11" t="str">
        <f>M312</f>
        <v>VNOther</v>
      </c>
      <c r="O312" s="15">
        <f>-$K312*IFERROR(INDEX('[1]salary allocation'!$E$6:$J$22,MATCH($H312,'[1]salary allocation'!$D$6:$D$22,0),MATCH(O$3,'[1]salary allocation'!$E$3:$J$3,0)),0)</f>
        <v>0</v>
      </c>
      <c r="P312" s="15">
        <f>-$K312*IFERROR(INDEX('[1]salary allocation'!$E$6:$J$22,MATCH($H312,'[1]salary allocation'!$D$6:$D$22,0),MATCH(P$3,'[1]salary allocation'!$E$3:$J$3,0)),0)</f>
        <v>67577852.5</v>
      </c>
      <c r="Q312" s="15">
        <f>-$K312*IFERROR(INDEX('[1]salary allocation'!$E$6:$J$22,MATCH($H312,'[1]salary allocation'!$D$6:$D$22,0),MATCH(Q$3,'[1]salary allocation'!$E$3:$J$3,0)),0)</f>
        <v>0</v>
      </c>
      <c r="R312" s="15">
        <f>-$K312*IFERROR(INDEX('[1]salary allocation'!$E$6:$J$22,MATCH($H312,'[1]salary allocation'!$D$6:$D$22,0),MATCH(R$3,'[1]salary allocation'!$E$3:$J$3,0)),0)</f>
        <v>0</v>
      </c>
      <c r="S312" s="15">
        <f>-$K312*IFERROR(INDEX('[1]salary allocation'!$E$6:$J$22,MATCH($H312,'[1]salary allocation'!$D$6:$D$22,0),MATCH(S$3,'[1]salary allocation'!$E$3:$J$3,0)),0)</f>
        <v>13515570.5</v>
      </c>
      <c r="T312" s="15">
        <f>-$K312*IFERROR(INDEX('[1]salary allocation'!$E$6:$J$22,MATCH($H312,'[1]salary allocation'!$D$6:$D$22,0),MATCH(T$3,'[1]salary allocation'!$E$3:$J$3,0)),0)</f>
        <v>13515570.5</v>
      </c>
      <c r="U312" s="15">
        <f>-$K312*IFERROR(INDEX('[1]salary allocation'!$E$6:$J$22,MATCH($H312,'[1]salary allocation'!$D$6:$D$22,0),MATCH(U$3,'[1]salary allocation'!$E$3:$J$3,0)),0)</f>
        <v>13515570.5</v>
      </c>
      <c r="V312" s="15">
        <f>-$K312*IFERROR(INDEX('[1]salary allocation'!$E$6:$J$22,MATCH($H312,'[1]salary allocation'!$D$6:$D$22,0),MATCH(V$3,'[1]salary allocation'!$E$3:$J$3,0)),0)</f>
        <v>0</v>
      </c>
      <c r="W312" s="15">
        <f>-$K312*IFERROR(INDEX('[1]salary allocation'!$E$6:$J$22,MATCH($H312,'[1]salary allocation'!$D$6:$D$22,0),MATCH(W$3,'[1]salary allocation'!$E$3:$J$3,0)),0)</f>
        <v>27031141</v>
      </c>
      <c r="X312" s="15">
        <f>-$K312*IFERROR(INDEX('[1]salary allocation'!$E$6:$J$22,MATCH($H312,'[1]salary allocation'!$D$6:$D$22,0),MATCH(X$3,'[1]salary allocation'!$E$3:$J$3,0)),0)</f>
        <v>0</v>
      </c>
      <c r="Y312" s="15">
        <f>-$K312*IFERROR(INDEX('[1]salary allocation'!$E$6:$J$22,MATCH($H312,'[1]salary allocation'!$D$6:$D$22,0),MATCH(Y$3,'[1]salary allocation'!$E$3:$J$3,0)),0)</f>
        <v>0</v>
      </c>
      <c r="Z312" s="15">
        <f>-$K312*IFERROR(INDEX('[1]salary allocation'!$E$6:$J$22,MATCH($H312,'[1]salary allocation'!$D$6:$D$22,0),MATCH(Z$3,'[1]salary allocation'!$E$3:$J$3,0)),0)</f>
        <v>0</v>
      </c>
      <c r="AA312" s="15">
        <f>-$K312*IFERROR(INDEX('[1]salary allocation'!$E$6:$J$22,MATCH($H312,'[1]salary allocation'!$D$6:$D$22,0),MATCH(AA$3,'[1]salary allocation'!$E$3:$J$3,0)),0)</f>
        <v>0</v>
      </c>
      <c r="AB312" s="15">
        <f>-$K312*IFERROR(INDEX('[1]salary allocation'!$E$6:$J$22,MATCH($H312,'[1]salary allocation'!$D$6:$D$22,0),MATCH(AB$3,'[1]salary allocation'!$E$3:$J$3,0)),0)</f>
        <v>0</v>
      </c>
      <c r="AC312" s="18">
        <f>-$K312*IFERROR(INDEX('[1]salary allocation'!$E$6:$J$22,MATCH($H312,'[1]salary allocation'!$D$6:$D$22,0),MATCH(AC$3,'[1]salary allocation'!$E$3:$J$3,0)),0)</f>
        <v>0</v>
      </c>
      <c r="AD312" s="17"/>
      <c r="AE312" s="16"/>
      <c r="AF312" s="15">
        <f>-$K312</f>
        <v>135155705</v>
      </c>
      <c r="AG312" s="15"/>
      <c r="AH312" s="2">
        <f>K312+SUM(O312:AC312)</f>
        <v>0</v>
      </c>
      <c r="AI312" s="2">
        <f>K312+SUM(AF312:AG312)</f>
        <v>0</v>
      </c>
    </row>
    <row r="313" spans="1:35" ht="17" x14ac:dyDescent="0.2">
      <c r="A313" s="59" t="s">
        <v>135</v>
      </c>
      <c r="B313" s="53" t="s">
        <v>519</v>
      </c>
      <c r="H313" s="52" t="s">
        <v>135</v>
      </c>
      <c r="I313" s="52" t="s">
        <v>580</v>
      </c>
      <c r="K313" s="13">
        <v>-130959344</v>
      </c>
      <c r="L313" s="46">
        <v>42025</v>
      </c>
      <c r="M313" s="11" t="s">
        <v>138</v>
      </c>
      <c r="N313" s="11" t="str">
        <f>M313</f>
        <v>VNOther</v>
      </c>
      <c r="O313" s="15">
        <f>-$K313*IFERROR(INDEX('[1]salary allocation'!$E$6:$J$22,MATCH($H313,'[1]salary allocation'!$D$6:$D$22,0),MATCH(O$3,'[1]salary allocation'!$E$3:$J$3,0)),0)</f>
        <v>0</v>
      </c>
      <c r="P313" s="15">
        <f>-$K313*IFERROR(INDEX('[1]salary allocation'!$E$6:$J$22,MATCH($H313,'[1]salary allocation'!$D$6:$D$22,0),MATCH(P$3,'[1]salary allocation'!$E$3:$J$3,0)),0)</f>
        <v>65479672</v>
      </c>
      <c r="Q313" s="15">
        <f>-$K313*IFERROR(INDEX('[1]salary allocation'!$E$6:$J$22,MATCH($H313,'[1]salary allocation'!$D$6:$D$22,0),MATCH(Q$3,'[1]salary allocation'!$E$3:$J$3,0)),0)</f>
        <v>0</v>
      </c>
      <c r="R313" s="15">
        <f>-$K313*IFERROR(INDEX('[1]salary allocation'!$E$6:$J$22,MATCH($H313,'[1]salary allocation'!$D$6:$D$22,0),MATCH(R$3,'[1]salary allocation'!$E$3:$J$3,0)),0)</f>
        <v>0</v>
      </c>
      <c r="S313" s="15">
        <f>-$K313*IFERROR(INDEX('[1]salary allocation'!$E$6:$J$22,MATCH($H313,'[1]salary allocation'!$D$6:$D$22,0),MATCH(S$3,'[1]salary allocation'!$E$3:$J$3,0)),0)</f>
        <v>13095934.4</v>
      </c>
      <c r="T313" s="15">
        <f>-$K313*IFERROR(INDEX('[1]salary allocation'!$E$6:$J$22,MATCH($H313,'[1]salary allocation'!$D$6:$D$22,0),MATCH(T$3,'[1]salary allocation'!$E$3:$J$3,0)),0)</f>
        <v>13095934.4</v>
      </c>
      <c r="U313" s="15">
        <f>-$K313*IFERROR(INDEX('[1]salary allocation'!$E$6:$J$22,MATCH($H313,'[1]salary allocation'!$D$6:$D$22,0),MATCH(U$3,'[1]salary allocation'!$E$3:$J$3,0)),0)</f>
        <v>13095934.4</v>
      </c>
      <c r="V313" s="15">
        <f>-$K313*IFERROR(INDEX('[1]salary allocation'!$E$6:$J$22,MATCH($H313,'[1]salary allocation'!$D$6:$D$22,0),MATCH(V$3,'[1]salary allocation'!$E$3:$J$3,0)),0)</f>
        <v>0</v>
      </c>
      <c r="W313" s="15">
        <f>-$K313*IFERROR(INDEX('[1]salary allocation'!$E$6:$J$22,MATCH($H313,'[1]salary allocation'!$D$6:$D$22,0),MATCH(W$3,'[1]salary allocation'!$E$3:$J$3,0)),0)</f>
        <v>26191868.800000001</v>
      </c>
      <c r="X313" s="15">
        <f>-$K313*IFERROR(INDEX('[1]salary allocation'!$E$6:$J$22,MATCH($H313,'[1]salary allocation'!$D$6:$D$22,0),MATCH(X$3,'[1]salary allocation'!$E$3:$J$3,0)),0)</f>
        <v>0</v>
      </c>
      <c r="Y313" s="15">
        <f>-$K313*IFERROR(INDEX('[1]salary allocation'!$E$6:$J$22,MATCH($H313,'[1]salary allocation'!$D$6:$D$22,0),MATCH(Y$3,'[1]salary allocation'!$E$3:$J$3,0)),0)</f>
        <v>0</v>
      </c>
      <c r="Z313" s="15">
        <f>-$K313*IFERROR(INDEX('[1]salary allocation'!$E$6:$J$22,MATCH($H313,'[1]salary allocation'!$D$6:$D$22,0),MATCH(Z$3,'[1]salary allocation'!$E$3:$J$3,0)),0)</f>
        <v>0</v>
      </c>
      <c r="AA313" s="15">
        <f>-$K313*IFERROR(INDEX('[1]salary allocation'!$E$6:$J$22,MATCH($H313,'[1]salary allocation'!$D$6:$D$22,0),MATCH(AA$3,'[1]salary allocation'!$E$3:$J$3,0)),0)</f>
        <v>0</v>
      </c>
      <c r="AB313" s="15">
        <f>-$K313*IFERROR(INDEX('[1]salary allocation'!$E$6:$J$22,MATCH($H313,'[1]salary allocation'!$D$6:$D$22,0),MATCH(AB$3,'[1]salary allocation'!$E$3:$J$3,0)),0)</f>
        <v>0</v>
      </c>
      <c r="AC313" s="18">
        <f>-$K313*IFERROR(INDEX('[1]salary allocation'!$E$6:$J$22,MATCH($H313,'[1]salary allocation'!$D$6:$D$22,0),MATCH(AC$3,'[1]salary allocation'!$E$3:$J$3,0)),0)</f>
        <v>0</v>
      </c>
      <c r="AD313" s="17"/>
      <c r="AE313" s="16"/>
      <c r="AF313" s="15">
        <f>-$K313</f>
        <v>130959344</v>
      </c>
      <c r="AG313" s="15"/>
      <c r="AH313" s="2">
        <f>K313+SUM(O313:AC313)</f>
        <v>0</v>
      </c>
      <c r="AI313" s="2">
        <f>K313+SUM(AF313:AG313)</f>
        <v>0</v>
      </c>
    </row>
    <row r="314" spans="1:35" ht="17" x14ac:dyDescent="0.2">
      <c r="A314" s="59" t="s">
        <v>135</v>
      </c>
      <c r="B314" s="49" t="s">
        <v>515</v>
      </c>
      <c r="H314" s="48" t="s">
        <v>135</v>
      </c>
      <c r="I314" s="48" t="s">
        <v>579</v>
      </c>
      <c r="K314" s="47">
        <v>-131877096</v>
      </c>
      <c r="L314" s="46">
        <v>52025</v>
      </c>
      <c r="M314" s="11" t="s">
        <v>138</v>
      </c>
      <c r="N314" s="11" t="str">
        <f>M314</f>
        <v>VNOther</v>
      </c>
      <c r="O314" s="15">
        <f>-$K314*IFERROR(INDEX('[1]salary allocation'!$E$6:$J$22,MATCH($H314,'[1]salary allocation'!$D$6:$D$22,0),MATCH(O$3,'[1]salary allocation'!$E$3:$J$3,0)),0)</f>
        <v>0</v>
      </c>
      <c r="P314" s="15">
        <f>-$K314*IFERROR(INDEX('[1]salary allocation'!$E$6:$J$22,MATCH($H314,'[1]salary allocation'!$D$6:$D$22,0),MATCH(P$3,'[1]salary allocation'!$E$3:$J$3,0)),0)</f>
        <v>65938548</v>
      </c>
      <c r="Q314" s="15">
        <f>-$K314*IFERROR(INDEX('[1]salary allocation'!$E$6:$J$22,MATCH($H314,'[1]salary allocation'!$D$6:$D$22,0),MATCH(Q$3,'[1]salary allocation'!$E$3:$J$3,0)),0)</f>
        <v>0</v>
      </c>
      <c r="R314" s="15">
        <f>-$K314*IFERROR(INDEX('[1]salary allocation'!$E$6:$J$22,MATCH($H314,'[1]salary allocation'!$D$6:$D$22,0),MATCH(R$3,'[1]salary allocation'!$E$3:$J$3,0)),0)</f>
        <v>0</v>
      </c>
      <c r="S314" s="15">
        <f>-$K314*IFERROR(INDEX('[1]salary allocation'!$E$6:$J$22,MATCH($H314,'[1]salary allocation'!$D$6:$D$22,0),MATCH(S$3,'[1]salary allocation'!$E$3:$J$3,0)),0)</f>
        <v>13187709.600000001</v>
      </c>
      <c r="T314" s="15">
        <f>-$K314*IFERROR(INDEX('[1]salary allocation'!$E$6:$J$22,MATCH($H314,'[1]salary allocation'!$D$6:$D$22,0),MATCH(T$3,'[1]salary allocation'!$E$3:$J$3,0)),0)</f>
        <v>13187709.600000001</v>
      </c>
      <c r="U314" s="15">
        <f>-$K314*IFERROR(INDEX('[1]salary allocation'!$E$6:$J$22,MATCH($H314,'[1]salary allocation'!$D$6:$D$22,0),MATCH(U$3,'[1]salary allocation'!$E$3:$J$3,0)),0)</f>
        <v>13187709.600000001</v>
      </c>
      <c r="V314" s="15">
        <f>-$K314*IFERROR(INDEX('[1]salary allocation'!$E$6:$J$22,MATCH($H314,'[1]salary allocation'!$D$6:$D$22,0),MATCH(V$3,'[1]salary allocation'!$E$3:$J$3,0)),0)</f>
        <v>0</v>
      </c>
      <c r="W314" s="15">
        <f>-$K314*IFERROR(INDEX('[1]salary allocation'!$E$6:$J$22,MATCH($H314,'[1]salary allocation'!$D$6:$D$22,0),MATCH(W$3,'[1]salary allocation'!$E$3:$J$3,0)),0)</f>
        <v>26375419.200000003</v>
      </c>
      <c r="X314" s="15">
        <f>-$K314*IFERROR(INDEX('[1]salary allocation'!$E$6:$J$22,MATCH($H314,'[1]salary allocation'!$D$6:$D$22,0),MATCH(X$3,'[1]salary allocation'!$E$3:$J$3,0)),0)</f>
        <v>0</v>
      </c>
      <c r="Y314" s="15">
        <f>-$K314*IFERROR(INDEX('[1]salary allocation'!$E$6:$J$22,MATCH($H314,'[1]salary allocation'!$D$6:$D$22,0),MATCH(Y$3,'[1]salary allocation'!$E$3:$J$3,0)),0)</f>
        <v>0</v>
      </c>
      <c r="Z314" s="15">
        <f>-$K314*IFERROR(INDEX('[1]salary allocation'!$E$6:$J$22,MATCH($H314,'[1]salary allocation'!$D$6:$D$22,0),MATCH(Z$3,'[1]salary allocation'!$E$3:$J$3,0)),0)</f>
        <v>0</v>
      </c>
      <c r="AA314" s="15">
        <f>-$K314*IFERROR(INDEX('[1]salary allocation'!$E$6:$J$22,MATCH($H314,'[1]salary allocation'!$D$6:$D$22,0),MATCH(AA$3,'[1]salary allocation'!$E$3:$J$3,0)),0)</f>
        <v>0</v>
      </c>
      <c r="AB314" s="15">
        <f>-$K314*IFERROR(INDEX('[1]salary allocation'!$E$6:$J$22,MATCH($H314,'[1]salary allocation'!$D$6:$D$22,0),MATCH(AB$3,'[1]salary allocation'!$E$3:$J$3,0)),0)</f>
        <v>0</v>
      </c>
      <c r="AC314" s="18">
        <f>-$K314*IFERROR(INDEX('[1]salary allocation'!$E$6:$J$22,MATCH($H314,'[1]salary allocation'!$D$6:$D$22,0),MATCH(AC$3,'[1]salary allocation'!$E$3:$J$3,0)),0)</f>
        <v>0</v>
      </c>
      <c r="AD314" s="17"/>
      <c r="AE314" s="16"/>
      <c r="AF314" s="15">
        <f>-$K314</f>
        <v>131877096</v>
      </c>
      <c r="AG314" s="15"/>
      <c r="AH314" s="2">
        <f>K314+SUM(O314:AC314)</f>
        <v>0</v>
      </c>
      <c r="AI314" s="2">
        <f>K314+SUM(AF314:AG314)</f>
        <v>0</v>
      </c>
    </row>
    <row r="315" spans="1:35" ht="17" x14ac:dyDescent="0.2">
      <c r="A315" s="59" t="s">
        <v>43</v>
      </c>
      <c r="B315" s="64" t="s">
        <v>531</v>
      </c>
      <c r="H315" s="59" t="s">
        <v>43</v>
      </c>
      <c r="I315" s="59" t="s">
        <v>578</v>
      </c>
      <c r="K315" s="62">
        <v>-40873519</v>
      </c>
      <c r="L315" s="46">
        <v>12025</v>
      </c>
      <c r="M315" s="61" t="s">
        <v>181</v>
      </c>
      <c r="N315" s="11" t="str">
        <f>M315</f>
        <v>VNMOET</v>
      </c>
      <c r="O315" s="15">
        <f>-$K315*IFERROR(INDEX('[1]salary allocation'!$E$6:$J$22,MATCH($H315,'[1]salary allocation'!$D$6:$D$22,0),MATCH(O$3,'[1]salary allocation'!$E$3:$J$3,0)),0)</f>
        <v>0</v>
      </c>
      <c r="P315" s="15">
        <f>-$K315*IFERROR(INDEX('[1]salary allocation'!$E$6:$J$22,MATCH($H315,'[1]salary allocation'!$D$6:$D$22,0),MATCH(P$3,'[1]salary allocation'!$E$3:$J$3,0)),0)</f>
        <v>0</v>
      </c>
      <c r="Q315" s="15">
        <f>-$K315*IFERROR(INDEX('[1]salary allocation'!$E$6:$J$22,MATCH($H315,'[1]salary allocation'!$D$6:$D$22,0),MATCH(Q$3,'[1]salary allocation'!$E$3:$J$3,0)),0)</f>
        <v>0</v>
      </c>
      <c r="R315" s="15">
        <f>-$K315*IFERROR(INDEX('[1]salary allocation'!$E$6:$J$22,MATCH($H315,'[1]salary allocation'!$D$6:$D$22,0),MATCH(R$3,'[1]salary allocation'!$E$3:$J$3,0)),0)</f>
        <v>0</v>
      </c>
      <c r="S315" s="15">
        <f>-$K315*IFERROR(INDEX('[1]salary allocation'!$E$6:$J$22,MATCH($H315,'[1]salary allocation'!$D$6:$D$22,0),MATCH(S$3,'[1]salary allocation'!$E$3:$J$3,0)),0)</f>
        <v>8174703.8000000007</v>
      </c>
      <c r="T315" s="15">
        <f>-$K315*IFERROR(INDEX('[1]salary allocation'!$E$6:$J$22,MATCH($H315,'[1]salary allocation'!$D$6:$D$22,0),MATCH(T$3,'[1]salary allocation'!$E$3:$J$3,0)),0)</f>
        <v>8174703.8000000007</v>
      </c>
      <c r="U315" s="15">
        <f>-$K315*IFERROR(INDEX('[1]salary allocation'!$E$6:$J$22,MATCH($H315,'[1]salary allocation'!$D$6:$D$22,0),MATCH(U$3,'[1]salary allocation'!$E$3:$J$3,0)),0)</f>
        <v>8174703.8000000007</v>
      </c>
      <c r="V315" s="15">
        <f>-$K315*IFERROR(INDEX('[1]salary allocation'!$E$6:$J$22,MATCH($H315,'[1]salary allocation'!$D$6:$D$22,0),MATCH(V$3,'[1]salary allocation'!$E$3:$J$3,0)),0)</f>
        <v>0</v>
      </c>
      <c r="W315" s="15">
        <f>-$K315*IFERROR(INDEX('[1]salary allocation'!$E$6:$J$22,MATCH($H315,'[1]salary allocation'!$D$6:$D$22,0),MATCH(W$3,'[1]salary allocation'!$E$3:$J$3,0)),0)</f>
        <v>16349407.600000001</v>
      </c>
      <c r="X315" s="15">
        <f>-$K315*IFERROR(INDEX('[1]salary allocation'!$E$6:$J$22,MATCH($H315,'[1]salary allocation'!$D$6:$D$22,0),MATCH(X$3,'[1]salary allocation'!$E$3:$J$3,0)),0)</f>
        <v>0</v>
      </c>
      <c r="Y315" s="15">
        <f>-$K315*IFERROR(INDEX('[1]salary allocation'!$E$6:$J$22,MATCH($H315,'[1]salary allocation'!$D$6:$D$22,0),MATCH(Y$3,'[1]salary allocation'!$E$3:$J$3,0)),0)</f>
        <v>0</v>
      </c>
      <c r="Z315" s="15">
        <f>-$K315*IFERROR(INDEX('[1]salary allocation'!$E$6:$J$22,MATCH($H315,'[1]salary allocation'!$D$6:$D$22,0),MATCH(Z$3,'[1]salary allocation'!$E$3:$J$3,0)),0)</f>
        <v>0</v>
      </c>
      <c r="AA315" s="15">
        <f>-$K315*IFERROR(INDEX('[1]salary allocation'!$E$6:$J$22,MATCH($H315,'[1]salary allocation'!$D$6:$D$22,0),MATCH(AA$3,'[1]salary allocation'!$E$3:$J$3,0)),0)</f>
        <v>0</v>
      </c>
      <c r="AB315" s="15">
        <f>-$K315*IFERROR(INDEX('[1]salary allocation'!$E$6:$J$22,MATCH($H315,'[1]salary allocation'!$D$6:$D$22,0),MATCH(AB$3,'[1]salary allocation'!$E$3:$J$3,0)),0)</f>
        <v>0</v>
      </c>
      <c r="AC315" s="18">
        <f>-$K315*IFERROR(INDEX('[1]salary allocation'!$E$6:$J$22,MATCH($H315,'[1]salary allocation'!$D$6:$D$22,0),MATCH(AC$3,'[1]salary allocation'!$E$3:$J$3,0)),0)</f>
        <v>0</v>
      </c>
      <c r="AD315" s="17"/>
      <c r="AE315" s="16"/>
      <c r="AF315" s="15">
        <f>-$K315</f>
        <v>40873519</v>
      </c>
      <c r="AG315" s="15"/>
      <c r="AH315" s="2">
        <f>K315+SUM(O315:AC315)</f>
        <v>0</v>
      </c>
      <c r="AI315" s="2">
        <f>K315+SUM(AF315:AG315)</f>
        <v>0</v>
      </c>
    </row>
    <row r="316" spans="1:35" ht="17" x14ac:dyDescent="0.2">
      <c r="A316" s="59" t="s">
        <v>43</v>
      </c>
      <c r="B316" s="55" t="s">
        <v>527</v>
      </c>
      <c r="H316" s="60" t="s">
        <v>43</v>
      </c>
      <c r="I316" s="59" t="s">
        <v>577</v>
      </c>
      <c r="K316" s="47">
        <v>-44709645</v>
      </c>
      <c r="L316" s="46">
        <v>22025</v>
      </c>
      <c r="M316" s="49" t="s">
        <v>181</v>
      </c>
      <c r="N316" s="11" t="str">
        <f>M316</f>
        <v>VNMOET</v>
      </c>
      <c r="O316" s="15">
        <f>-$K316*IFERROR(INDEX('[1]salary allocation'!$E$6:$J$22,MATCH($H316,'[1]salary allocation'!$D$6:$D$22,0),MATCH(O$3,'[1]salary allocation'!$E$3:$J$3,0)),0)</f>
        <v>0</v>
      </c>
      <c r="P316" s="15">
        <f>-$K316*IFERROR(INDEX('[1]salary allocation'!$E$6:$J$22,MATCH($H316,'[1]salary allocation'!$D$6:$D$22,0),MATCH(P$3,'[1]salary allocation'!$E$3:$J$3,0)),0)</f>
        <v>0</v>
      </c>
      <c r="Q316" s="15">
        <f>-$K316*IFERROR(INDEX('[1]salary allocation'!$E$6:$J$22,MATCH($H316,'[1]salary allocation'!$D$6:$D$22,0),MATCH(Q$3,'[1]salary allocation'!$E$3:$J$3,0)),0)</f>
        <v>0</v>
      </c>
      <c r="R316" s="15">
        <f>-$K316*IFERROR(INDEX('[1]salary allocation'!$E$6:$J$22,MATCH($H316,'[1]salary allocation'!$D$6:$D$22,0),MATCH(R$3,'[1]salary allocation'!$E$3:$J$3,0)),0)</f>
        <v>0</v>
      </c>
      <c r="S316" s="15">
        <f>-$K316*IFERROR(INDEX('[1]salary allocation'!$E$6:$J$22,MATCH($H316,'[1]salary allocation'!$D$6:$D$22,0),MATCH(S$3,'[1]salary allocation'!$E$3:$J$3,0)),0)</f>
        <v>8941929</v>
      </c>
      <c r="T316" s="15">
        <f>-$K316*IFERROR(INDEX('[1]salary allocation'!$E$6:$J$22,MATCH($H316,'[1]salary allocation'!$D$6:$D$22,0),MATCH(T$3,'[1]salary allocation'!$E$3:$J$3,0)),0)</f>
        <v>8941929</v>
      </c>
      <c r="U316" s="15">
        <f>-$K316*IFERROR(INDEX('[1]salary allocation'!$E$6:$J$22,MATCH($H316,'[1]salary allocation'!$D$6:$D$22,0),MATCH(U$3,'[1]salary allocation'!$E$3:$J$3,0)),0)</f>
        <v>8941929</v>
      </c>
      <c r="V316" s="15">
        <f>-$K316*IFERROR(INDEX('[1]salary allocation'!$E$6:$J$22,MATCH($H316,'[1]salary allocation'!$D$6:$D$22,0),MATCH(V$3,'[1]salary allocation'!$E$3:$J$3,0)),0)</f>
        <v>0</v>
      </c>
      <c r="W316" s="15">
        <f>-$K316*IFERROR(INDEX('[1]salary allocation'!$E$6:$J$22,MATCH($H316,'[1]salary allocation'!$D$6:$D$22,0),MATCH(W$3,'[1]salary allocation'!$E$3:$J$3,0)),0)</f>
        <v>17883858</v>
      </c>
      <c r="X316" s="15">
        <f>-$K316*IFERROR(INDEX('[1]salary allocation'!$E$6:$J$22,MATCH($H316,'[1]salary allocation'!$D$6:$D$22,0),MATCH(X$3,'[1]salary allocation'!$E$3:$J$3,0)),0)</f>
        <v>0</v>
      </c>
      <c r="Y316" s="15">
        <f>-$K316*IFERROR(INDEX('[1]salary allocation'!$E$6:$J$22,MATCH($H316,'[1]salary allocation'!$D$6:$D$22,0),MATCH(Y$3,'[1]salary allocation'!$E$3:$J$3,0)),0)</f>
        <v>0</v>
      </c>
      <c r="Z316" s="15">
        <f>-$K316*IFERROR(INDEX('[1]salary allocation'!$E$6:$J$22,MATCH($H316,'[1]salary allocation'!$D$6:$D$22,0),MATCH(Z$3,'[1]salary allocation'!$E$3:$J$3,0)),0)</f>
        <v>0</v>
      </c>
      <c r="AA316" s="15">
        <f>-$K316*IFERROR(INDEX('[1]salary allocation'!$E$6:$J$22,MATCH($H316,'[1]salary allocation'!$D$6:$D$22,0),MATCH(AA$3,'[1]salary allocation'!$E$3:$J$3,0)),0)</f>
        <v>0</v>
      </c>
      <c r="AB316" s="15">
        <f>-$K316*IFERROR(INDEX('[1]salary allocation'!$E$6:$J$22,MATCH($H316,'[1]salary allocation'!$D$6:$D$22,0),MATCH(AB$3,'[1]salary allocation'!$E$3:$J$3,0)),0)</f>
        <v>0</v>
      </c>
      <c r="AC316" s="18">
        <f>-$K316*IFERROR(INDEX('[1]salary allocation'!$E$6:$J$22,MATCH($H316,'[1]salary allocation'!$D$6:$D$22,0),MATCH(AC$3,'[1]salary allocation'!$E$3:$J$3,0)),0)</f>
        <v>0</v>
      </c>
      <c r="AD316" s="17"/>
      <c r="AE316" s="16"/>
      <c r="AF316" s="15">
        <f>-$K316</f>
        <v>44709645</v>
      </c>
      <c r="AG316" s="15"/>
      <c r="AH316" s="2">
        <f>K316+SUM(O316:AC316)</f>
        <v>0</v>
      </c>
      <c r="AI316" s="2">
        <f>K316+SUM(AF316:AG316)</f>
        <v>0</v>
      </c>
    </row>
    <row r="317" spans="1:35" ht="17" x14ac:dyDescent="0.2">
      <c r="A317" s="59" t="s">
        <v>43</v>
      </c>
      <c r="B317" s="55" t="s">
        <v>523</v>
      </c>
      <c r="H317" s="52" t="s">
        <v>43</v>
      </c>
      <c r="I317" s="54" t="s">
        <v>576</v>
      </c>
      <c r="K317" s="47">
        <v>-50642768</v>
      </c>
      <c r="L317" s="46">
        <v>32025</v>
      </c>
      <c r="M317" s="49" t="s">
        <v>181</v>
      </c>
      <c r="N317" s="11" t="str">
        <f>M317</f>
        <v>VNMOET</v>
      </c>
      <c r="O317" s="15">
        <f>-$K317*IFERROR(INDEX('[1]salary allocation'!$E$6:$J$22,MATCH($H317,'[1]salary allocation'!$D$6:$D$22,0),MATCH(O$3,'[1]salary allocation'!$E$3:$J$3,0)),0)</f>
        <v>0</v>
      </c>
      <c r="P317" s="15">
        <f>-$K317*IFERROR(INDEX('[1]salary allocation'!$E$6:$J$22,MATCH($H317,'[1]salary allocation'!$D$6:$D$22,0),MATCH(P$3,'[1]salary allocation'!$E$3:$J$3,0)),0)</f>
        <v>0</v>
      </c>
      <c r="Q317" s="15">
        <f>-$K317*IFERROR(INDEX('[1]salary allocation'!$E$6:$J$22,MATCH($H317,'[1]salary allocation'!$D$6:$D$22,0),MATCH(Q$3,'[1]salary allocation'!$E$3:$J$3,0)),0)</f>
        <v>0</v>
      </c>
      <c r="R317" s="15">
        <f>-$K317*IFERROR(INDEX('[1]salary allocation'!$E$6:$J$22,MATCH($H317,'[1]salary allocation'!$D$6:$D$22,0),MATCH(R$3,'[1]salary allocation'!$E$3:$J$3,0)),0)</f>
        <v>0</v>
      </c>
      <c r="S317" s="15">
        <f>-$K317*IFERROR(INDEX('[1]salary allocation'!$E$6:$J$22,MATCH($H317,'[1]salary allocation'!$D$6:$D$22,0),MATCH(S$3,'[1]salary allocation'!$E$3:$J$3,0)),0)</f>
        <v>10128553.600000001</v>
      </c>
      <c r="T317" s="15">
        <f>-$K317*IFERROR(INDEX('[1]salary allocation'!$E$6:$J$22,MATCH($H317,'[1]salary allocation'!$D$6:$D$22,0),MATCH(T$3,'[1]salary allocation'!$E$3:$J$3,0)),0)</f>
        <v>10128553.600000001</v>
      </c>
      <c r="U317" s="15">
        <f>-$K317*IFERROR(INDEX('[1]salary allocation'!$E$6:$J$22,MATCH($H317,'[1]salary allocation'!$D$6:$D$22,0),MATCH(U$3,'[1]salary allocation'!$E$3:$J$3,0)),0)</f>
        <v>10128553.600000001</v>
      </c>
      <c r="V317" s="15">
        <f>-$K317*IFERROR(INDEX('[1]salary allocation'!$E$6:$J$22,MATCH($H317,'[1]salary allocation'!$D$6:$D$22,0),MATCH(V$3,'[1]salary allocation'!$E$3:$J$3,0)),0)</f>
        <v>0</v>
      </c>
      <c r="W317" s="15">
        <f>-$K317*IFERROR(INDEX('[1]salary allocation'!$E$6:$J$22,MATCH($H317,'[1]salary allocation'!$D$6:$D$22,0),MATCH(W$3,'[1]salary allocation'!$E$3:$J$3,0)),0)</f>
        <v>20257107.200000003</v>
      </c>
      <c r="X317" s="15">
        <f>-$K317*IFERROR(INDEX('[1]salary allocation'!$E$6:$J$22,MATCH($H317,'[1]salary allocation'!$D$6:$D$22,0),MATCH(X$3,'[1]salary allocation'!$E$3:$J$3,0)),0)</f>
        <v>0</v>
      </c>
      <c r="Y317" s="15">
        <f>-$K317*IFERROR(INDEX('[1]salary allocation'!$E$6:$J$22,MATCH($H317,'[1]salary allocation'!$D$6:$D$22,0),MATCH(Y$3,'[1]salary allocation'!$E$3:$J$3,0)),0)</f>
        <v>0</v>
      </c>
      <c r="Z317" s="15">
        <f>-$K317*IFERROR(INDEX('[1]salary allocation'!$E$6:$J$22,MATCH($H317,'[1]salary allocation'!$D$6:$D$22,0),MATCH(Z$3,'[1]salary allocation'!$E$3:$J$3,0)),0)</f>
        <v>0</v>
      </c>
      <c r="AA317" s="15">
        <f>-$K317*IFERROR(INDEX('[1]salary allocation'!$E$6:$J$22,MATCH($H317,'[1]salary allocation'!$D$6:$D$22,0),MATCH(AA$3,'[1]salary allocation'!$E$3:$J$3,0)),0)</f>
        <v>0</v>
      </c>
      <c r="AB317" s="15">
        <f>-$K317*IFERROR(INDEX('[1]salary allocation'!$E$6:$J$22,MATCH($H317,'[1]salary allocation'!$D$6:$D$22,0),MATCH(AB$3,'[1]salary allocation'!$E$3:$J$3,0)),0)</f>
        <v>0</v>
      </c>
      <c r="AC317" s="18">
        <f>-$K317*IFERROR(INDEX('[1]salary allocation'!$E$6:$J$22,MATCH($H317,'[1]salary allocation'!$D$6:$D$22,0),MATCH(AC$3,'[1]salary allocation'!$E$3:$J$3,0)),0)</f>
        <v>0</v>
      </c>
      <c r="AD317" s="17"/>
      <c r="AE317" s="16"/>
      <c r="AF317" s="15">
        <f>-$K317</f>
        <v>50642768</v>
      </c>
      <c r="AG317" s="15"/>
      <c r="AH317" s="2">
        <f>K317+SUM(O317:AC317)</f>
        <v>0</v>
      </c>
      <c r="AI317" s="2">
        <f>K317+SUM(AF317:AG317)</f>
        <v>0</v>
      </c>
    </row>
    <row r="318" spans="1:35" ht="17" x14ac:dyDescent="0.2">
      <c r="A318" s="59" t="s">
        <v>43</v>
      </c>
      <c r="B318" s="66" t="s">
        <v>519</v>
      </c>
      <c r="H318" s="65" t="s">
        <v>43</v>
      </c>
      <c r="I318" s="65" t="s">
        <v>575</v>
      </c>
      <c r="K318" s="13">
        <v>-43524564</v>
      </c>
      <c r="L318" s="46">
        <v>42025</v>
      </c>
      <c r="M318" s="11" t="s">
        <v>181</v>
      </c>
      <c r="N318" s="11" t="str">
        <f>M318</f>
        <v>VNMOET</v>
      </c>
      <c r="O318" s="15">
        <f>-$K318*IFERROR(INDEX('[1]salary allocation'!$E$6:$J$22,MATCH($H318,'[1]salary allocation'!$D$6:$D$22,0),MATCH(O$3,'[1]salary allocation'!$E$3:$J$3,0)),0)</f>
        <v>0</v>
      </c>
      <c r="P318" s="15">
        <f>-$K318*IFERROR(INDEX('[1]salary allocation'!$E$6:$J$22,MATCH($H318,'[1]salary allocation'!$D$6:$D$22,0),MATCH(P$3,'[1]salary allocation'!$E$3:$J$3,0)),0)</f>
        <v>0</v>
      </c>
      <c r="Q318" s="15">
        <f>-$K318*IFERROR(INDEX('[1]salary allocation'!$E$6:$J$22,MATCH($H318,'[1]salary allocation'!$D$6:$D$22,0),MATCH(Q$3,'[1]salary allocation'!$E$3:$J$3,0)),0)</f>
        <v>0</v>
      </c>
      <c r="R318" s="15">
        <f>-$K318*IFERROR(INDEX('[1]salary allocation'!$E$6:$J$22,MATCH($H318,'[1]salary allocation'!$D$6:$D$22,0),MATCH(R$3,'[1]salary allocation'!$E$3:$J$3,0)),0)</f>
        <v>0</v>
      </c>
      <c r="S318" s="15">
        <f>-$K318*IFERROR(INDEX('[1]salary allocation'!$E$6:$J$22,MATCH($H318,'[1]salary allocation'!$D$6:$D$22,0),MATCH(S$3,'[1]salary allocation'!$E$3:$J$3,0)),0)</f>
        <v>8704912.8000000007</v>
      </c>
      <c r="T318" s="15">
        <f>-$K318*IFERROR(INDEX('[1]salary allocation'!$E$6:$J$22,MATCH($H318,'[1]salary allocation'!$D$6:$D$22,0),MATCH(T$3,'[1]salary allocation'!$E$3:$J$3,0)),0)</f>
        <v>8704912.8000000007</v>
      </c>
      <c r="U318" s="15">
        <f>-$K318*IFERROR(INDEX('[1]salary allocation'!$E$6:$J$22,MATCH($H318,'[1]salary allocation'!$D$6:$D$22,0),MATCH(U$3,'[1]salary allocation'!$E$3:$J$3,0)),0)</f>
        <v>8704912.8000000007</v>
      </c>
      <c r="V318" s="15">
        <f>-$K318*IFERROR(INDEX('[1]salary allocation'!$E$6:$J$22,MATCH($H318,'[1]salary allocation'!$D$6:$D$22,0),MATCH(V$3,'[1]salary allocation'!$E$3:$J$3,0)),0)</f>
        <v>0</v>
      </c>
      <c r="W318" s="15">
        <f>-$K318*IFERROR(INDEX('[1]salary allocation'!$E$6:$J$22,MATCH($H318,'[1]salary allocation'!$D$6:$D$22,0),MATCH(W$3,'[1]salary allocation'!$E$3:$J$3,0)),0)</f>
        <v>17409825.600000001</v>
      </c>
      <c r="X318" s="15">
        <f>-$K318*IFERROR(INDEX('[1]salary allocation'!$E$6:$J$22,MATCH($H318,'[1]salary allocation'!$D$6:$D$22,0),MATCH(X$3,'[1]salary allocation'!$E$3:$J$3,0)),0)</f>
        <v>0</v>
      </c>
      <c r="Y318" s="15">
        <f>-$K318*IFERROR(INDEX('[1]salary allocation'!$E$6:$J$22,MATCH($H318,'[1]salary allocation'!$D$6:$D$22,0),MATCH(Y$3,'[1]salary allocation'!$E$3:$J$3,0)),0)</f>
        <v>0</v>
      </c>
      <c r="Z318" s="15">
        <f>-$K318*IFERROR(INDEX('[1]salary allocation'!$E$6:$J$22,MATCH($H318,'[1]salary allocation'!$D$6:$D$22,0),MATCH(Z$3,'[1]salary allocation'!$E$3:$J$3,0)),0)</f>
        <v>0</v>
      </c>
      <c r="AA318" s="15">
        <f>-$K318*IFERROR(INDEX('[1]salary allocation'!$E$6:$J$22,MATCH($H318,'[1]salary allocation'!$D$6:$D$22,0),MATCH(AA$3,'[1]salary allocation'!$E$3:$J$3,0)),0)</f>
        <v>0</v>
      </c>
      <c r="AB318" s="15">
        <f>-$K318*IFERROR(INDEX('[1]salary allocation'!$E$6:$J$22,MATCH($H318,'[1]salary allocation'!$D$6:$D$22,0),MATCH(AB$3,'[1]salary allocation'!$E$3:$J$3,0)),0)</f>
        <v>0</v>
      </c>
      <c r="AC318" s="18">
        <f>-$K318*IFERROR(INDEX('[1]salary allocation'!$E$6:$J$22,MATCH($H318,'[1]salary allocation'!$D$6:$D$22,0),MATCH(AC$3,'[1]salary allocation'!$E$3:$J$3,0)),0)</f>
        <v>0</v>
      </c>
      <c r="AD318" s="17"/>
      <c r="AE318" s="16"/>
      <c r="AF318" s="15">
        <f>-$K318</f>
        <v>43524564</v>
      </c>
      <c r="AG318" s="15"/>
      <c r="AH318" s="2">
        <f>K318+SUM(O318:AC318)</f>
        <v>0</v>
      </c>
      <c r="AI318" s="2">
        <f>K318+SUM(AF318:AG318)</f>
        <v>0</v>
      </c>
    </row>
    <row r="319" spans="1:35" ht="17" x14ac:dyDescent="0.2">
      <c r="A319" s="59" t="s">
        <v>43</v>
      </c>
      <c r="B319" s="49" t="s">
        <v>515</v>
      </c>
      <c r="H319" s="48" t="s">
        <v>43</v>
      </c>
      <c r="I319" s="48" t="s">
        <v>574</v>
      </c>
      <c r="K319" s="47">
        <v>-43867664</v>
      </c>
      <c r="L319" s="46">
        <v>52025</v>
      </c>
      <c r="M319" s="11" t="s">
        <v>181</v>
      </c>
      <c r="N319" s="11" t="str">
        <f>M319</f>
        <v>VNMOET</v>
      </c>
      <c r="O319" s="15">
        <f>-$K319*IFERROR(INDEX('[1]salary allocation'!$E$6:$J$22,MATCH($H319,'[1]salary allocation'!$D$6:$D$22,0),MATCH(O$3,'[1]salary allocation'!$E$3:$J$3,0)),0)</f>
        <v>0</v>
      </c>
      <c r="P319" s="15">
        <f>-$K319*IFERROR(INDEX('[1]salary allocation'!$E$6:$J$22,MATCH($H319,'[1]salary allocation'!$D$6:$D$22,0),MATCH(P$3,'[1]salary allocation'!$E$3:$J$3,0)),0)</f>
        <v>0</v>
      </c>
      <c r="Q319" s="15">
        <f>-$K319*IFERROR(INDEX('[1]salary allocation'!$E$6:$J$22,MATCH($H319,'[1]salary allocation'!$D$6:$D$22,0),MATCH(Q$3,'[1]salary allocation'!$E$3:$J$3,0)),0)</f>
        <v>0</v>
      </c>
      <c r="R319" s="15">
        <f>-$K319*IFERROR(INDEX('[1]salary allocation'!$E$6:$J$22,MATCH($H319,'[1]salary allocation'!$D$6:$D$22,0),MATCH(R$3,'[1]salary allocation'!$E$3:$J$3,0)),0)</f>
        <v>0</v>
      </c>
      <c r="S319" s="15">
        <f>-$K319*IFERROR(INDEX('[1]salary allocation'!$E$6:$J$22,MATCH($H319,'[1]salary allocation'!$D$6:$D$22,0),MATCH(S$3,'[1]salary allocation'!$E$3:$J$3,0)),0)</f>
        <v>8773532.8000000007</v>
      </c>
      <c r="T319" s="15">
        <f>-$K319*IFERROR(INDEX('[1]salary allocation'!$E$6:$J$22,MATCH($H319,'[1]salary allocation'!$D$6:$D$22,0),MATCH(T$3,'[1]salary allocation'!$E$3:$J$3,0)),0)</f>
        <v>8773532.8000000007</v>
      </c>
      <c r="U319" s="15">
        <f>-$K319*IFERROR(INDEX('[1]salary allocation'!$E$6:$J$22,MATCH($H319,'[1]salary allocation'!$D$6:$D$22,0),MATCH(U$3,'[1]salary allocation'!$E$3:$J$3,0)),0)</f>
        <v>8773532.8000000007</v>
      </c>
      <c r="V319" s="15">
        <f>-$K319*IFERROR(INDEX('[1]salary allocation'!$E$6:$J$22,MATCH($H319,'[1]salary allocation'!$D$6:$D$22,0),MATCH(V$3,'[1]salary allocation'!$E$3:$J$3,0)),0)</f>
        <v>0</v>
      </c>
      <c r="W319" s="15">
        <f>-$K319*IFERROR(INDEX('[1]salary allocation'!$E$6:$J$22,MATCH($H319,'[1]salary allocation'!$D$6:$D$22,0),MATCH(W$3,'[1]salary allocation'!$E$3:$J$3,0)),0)</f>
        <v>17547065.600000001</v>
      </c>
      <c r="X319" s="15">
        <f>-$K319*IFERROR(INDEX('[1]salary allocation'!$E$6:$J$22,MATCH($H319,'[1]salary allocation'!$D$6:$D$22,0),MATCH(X$3,'[1]salary allocation'!$E$3:$J$3,0)),0)</f>
        <v>0</v>
      </c>
      <c r="Y319" s="15">
        <f>-$K319*IFERROR(INDEX('[1]salary allocation'!$E$6:$J$22,MATCH($H319,'[1]salary allocation'!$D$6:$D$22,0),MATCH(Y$3,'[1]salary allocation'!$E$3:$J$3,0)),0)</f>
        <v>0</v>
      </c>
      <c r="Z319" s="15">
        <f>-$K319*IFERROR(INDEX('[1]salary allocation'!$E$6:$J$22,MATCH($H319,'[1]salary allocation'!$D$6:$D$22,0),MATCH(Z$3,'[1]salary allocation'!$E$3:$J$3,0)),0)</f>
        <v>0</v>
      </c>
      <c r="AA319" s="15">
        <f>-$K319*IFERROR(INDEX('[1]salary allocation'!$E$6:$J$22,MATCH($H319,'[1]salary allocation'!$D$6:$D$22,0),MATCH(AA$3,'[1]salary allocation'!$E$3:$J$3,0)),0)</f>
        <v>0</v>
      </c>
      <c r="AB319" s="15">
        <f>-$K319*IFERROR(INDEX('[1]salary allocation'!$E$6:$J$22,MATCH($H319,'[1]salary allocation'!$D$6:$D$22,0),MATCH(AB$3,'[1]salary allocation'!$E$3:$J$3,0)),0)</f>
        <v>0</v>
      </c>
      <c r="AC319" s="18">
        <f>-$K319*IFERROR(INDEX('[1]salary allocation'!$E$6:$J$22,MATCH($H319,'[1]salary allocation'!$D$6:$D$22,0),MATCH(AC$3,'[1]salary allocation'!$E$3:$J$3,0)),0)</f>
        <v>0</v>
      </c>
      <c r="AD319" s="17"/>
      <c r="AE319" s="16"/>
      <c r="AF319" s="15">
        <f>-$K319</f>
        <v>43867664</v>
      </c>
      <c r="AG319" s="15"/>
      <c r="AH319" s="2">
        <f>K319+SUM(O319:AC319)</f>
        <v>0</v>
      </c>
      <c r="AI319" s="2">
        <f>K319+SUM(AF319:AG319)</f>
        <v>0</v>
      </c>
    </row>
    <row r="320" spans="1:35" ht="17" x14ac:dyDescent="0.2">
      <c r="A320" s="59" t="s">
        <v>39</v>
      </c>
      <c r="B320" s="63" t="s">
        <v>531</v>
      </c>
      <c r="H320" s="56" t="s">
        <v>39</v>
      </c>
      <c r="I320" s="56" t="s">
        <v>573</v>
      </c>
      <c r="K320" s="62">
        <v>-40873519</v>
      </c>
      <c r="L320" s="46">
        <v>12025</v>
      </c>
      <c r="M320" s="61" t="s">
        <v>181</v>
      </c>
      <c r="N320" s="11" t="str">
        <f>M320</f>
        <v>VNMOET</v>
      </c>
      <c r="O320" s="15">
        <f>-$K320*IFERROR(INDEX('[1]salary allocation'!$E$6:$J$22,MATCH($H320,'[1]salary allocation'!$D$6:$D$22,0),MATCH(O$3,'[1]salary allocation'!$E$3:$J$3,0)),0)</f>
        <v>0</v>
      </c>
      <c r="P320" s="15">
        <f>-$K320*IFERROR(INDEX('[1]salary allocation'!$E$6:$J$22,MATCH($H320,'[1]salary allocation'!$D$6:$D$22,0),MATCH(P$3,'[1]salary allocation'!$E$3:$J$3,0)),0)</f>
        <v>0</v>
      </c>
      <c r="Q320" s="15">
        <f>-$K320*IFERROR(INDEX('[1]salary allocation'!$E$6:$J$22,MATCH($H320,'[1]salary allocation'!$D$6:$D$22,0),MATCH(Q$3,'[1]salary allocation'!$E$3:$J$3,0)),0)</f>
        <v>0</v>
      </c>
      <c r="R320" s="15">
        <f>-$K320*IFERROR(INDEX('[1]salary allocation'!$E$6:$J$22,MATCH($H320,'[1]salary allocation'!$D$6:$D$22,0),MATCH(R$3,'[1]salary allocation'!$E$3:$J$3,0)),0)</f>
        <v>0</v>
      </c>
      <c r="S320" s="15">
        <f>-$K320*IFERROR(INDEX('[1]salary allocation'!$E$6:$J$22,MATCH($H320,'[1]salary allocation'!$D$6:$D$22,0),MATCH(S$3,'[1]salary allocation'!$E$3:$J$3,0)),0)</f>
        <v>0</v>
      </c>
      <c r="T320" s="15">
        <f>-$K320*IFERROR(INDEX('[1]salary allocation'!$E$6:$J$22,MATCH($H320,'[1]salary allocation'!$D$6:$D$22,0),MATCH(T$3,'[1]salary allocation'!$E$3:$J$3,0)),0)</f>
        <v>0</v>
      </c>
      <c r="U320" s="15">
        <f>-$K320*IFERROR(INDEX('[1]salary allocation'!$E$6:$J$22,MATCH($H320,'[1]salary allocation'!$D$6:$D$22,0),MATCH(U$3,'[1]salary allocation'!$E$3:$J$3,0)),0)</f>
        <v>0</v>
      </c>
      <c r="V320" s="15">
        <f>-$K320*IFERROR(INDEX('[1]salary allocation'!$E$6:$J$22,MATCH($H320,'[1]salary allocation'!$D$6:$D$22,0),MATCH(V$3,'[1]salary allocation'!$E$3:$J$3,0)),0)</f>
        <v>0</v>
      </c>
      <c r="W320" s="15">
        <f>-$K320*IFERROR(INDEX('[1]salary allocation'!$E$6:$J$22,MATCH($H320,'[1]salary allocation'!$D$6:$D$22,0),MATCH(W$3,'[1]salary allocation'!$E$3:$J$3,0)),0)</f>
        <v>40873519</v>
      </c>
      <c r="X320" s="15">
        <f>-$K320*IFERROR(INDEX('[1]salary allocation'!$E$6:$J$22,MATCH($H320,'[1]salary allocation'!$D$6:$D$22,0),MATCH(X$3,'[1]salary allocation'!$E$3:$J$3,0)),0)</f>
        <v>0</v>
      </c>
      <c r="Y320" s="15">
        <f>-$K320*IFERROR(INDEX('[1]salary allocation'!$E$6:$J$22,MATCH($H320,'[1]salary allocation'!$D$6:$D$22,0),MATCH(Y$3,'[1]salary allocation'!$E$3:$J$3,0)),0)</f>
        <v>0</v>
      </c>
      <c r="Z320" s="15">
        <f>-$K320*IFERROR(INDEX('[1]salary allocation'!$E$6:$J$22,MATCH($H320,'[1]salary allocation'!$D$6:$D$22,0),MATCH(Z$3,'[1]salary allocation'!$E$3:$J$3,0)),0)</f>
        <v>0</v>
      </c>
      <c r="AA320" s="15">
        <f>-$K320*IFERROR(INDEX('[1]salary allocation'!$E$6:$J$22,MATCH($H320,'[1]salary allocation'!$D$6:$D$22,0),MATCH(AA$3,'[1]salary allocation'!$E$3:$J$3,0)),0)</f>
        <v>0</v>
      </c>
      <c r="AB320" s="15">
        <f>-$K320*IFERROR(INDEX('[1]salary allocation'!$E$6:$J$22,MATCH($H320,'[1]salary allocation'!$D$6:$D$22,0),MATCH(AB$3,'[1]salary allocation'!$E$3:$J$3,0)),0)</f>
        <v>0</v>
      </c>
      <c r="AC320" s="18">
        <f>-$K320*IFERROR(INDEX('[1]salary allocation'!$E$6:$J$22,MATCH($H320,'[1]salary allocation'!$D$6:$D$22,0),MATCH(AC$3,'[1]salary allocation'!$E$3:$J$3,0)),0)</f>
        <v>0</v>
      </c>
      <c r="AD320" s="17"/>
      <c r="AE320" s="16"/>
      <c r="AF320" s="15">
        <f>-$K320</f>
        <v>40873519</v>
      </c>
      <c r="AG320" s="15"/>
      <c r="AH320" s="2">
        <f>K320+SUM(O320:AC320)</f>
        <v>0</v>
      </c>
      <c r="AI320" s="2">
        <f>K320+SUM(AF320:AG320)</f>
        <v>0</v>
      </c>
    </row>
    <row r="321" spans="1:35" ht="17" x14ac:dyDescent="0.2">
      <c r="A321" s="59" t="s">
        <v>39</v>
      </c>
      <c r="B321" s="55" t="s">
        <v>527</v>
      </c>
      <c r="H321" s="60" t="s">
        <v>39</v>
      </c>
      <c r="I321" s="59" t="s">
        <v>572</v>
      </c>
      <c r="K321" s="47">
        <v>-44709645</v>
      </c>
      <c r="L321" s="46">
        <v>22025</v>
      </c>
      <c r="M321" s="49" t="s">
        <v>181</v>
      </c>
      <c r="N321" s="11" t="str">
        <f>M321</f>
        <v>VNMOET</v>
      </c>
      <c r="O321" s="15">
        <f>-$K321*IFERROR(INDEX('[1]salary allocation'!$E$6:$J$22,MATCH($H321,'[1]salary allocation'!$D$6:$D$22,0),MATCH(O$3,'[1]salary allocation'!$E$3:$J$3,0)),0)</f>
        <v>0</v>
      </c>
      <c r="P321" s="15">
        <f>-$K321*IFERROR(INDEX('[1]salary allocation'!$E$6:$J$22,MATCH($H321,'[1]salary allocation'!$D$6:$D$22,0),MATCH(P$3,'[1]salary allocation'!$E$3:$J$3,0)),0)</f>
        <v>0</v>
      </c>
      <c r="Q321" s="15">
        <f>-$K321*IFERROR(INDEX('[1]salary allocation'!$E$6:$J$22,MATCH($H321,'[1]salary allocation'!$D$6:$D$22,0),MATCH(Q$3,'[1]salary allocation'!$E$3:$J$3,0)),0)</f>
        <v>0</v>
      </c>
      <c r="R321" s="15">
        <f>-$K321*IFERROR(INDEX('[1]salary allocation'!$E$6:$J$22,MATCH($H321,'[1]salary allocation'!$D$6:$D$22,0),MATCH(R$3,'[1]salary allocation'!$E$3:$J$3,0)),0)</f>
        <v>0</v>
      </c>
      <c r="S321" s="15">
        <f>-$K321*IFERROR(INDEX('[1]salary allocation'!$E$6:$J$22,MATCH($H321,'[1]salary allocation'!$D$6:$D$22,0),MATCH(S$3,'[1]salary allocation'!$E$3:$J$3,0)),0)</f>
        <v>0</v>
      </c>
      <c r="T321" s="15">
        <f>-$K321*IFERROR(INDEX('[1]salary allocation'!$E$6:$J$22,MATCH($H321,'[1]salary allocation'!$D$6:$D$22,0),MATCH(T$3,'[1]salary allocation'!$E$3:$J$3,0)),0)</f>
        <v>0</v>
      </c>
      <c r="U321" s="15">
        <f>-$K321*IFERROR(INDEX('[1]salary allocation'!$E$6:$J$22,MATCH($H321,'[1]salary allocation'!$D$6:$D$22,0),MATCH(U$3,'[1]salary allocation'!$E$3:$J$3,0)),0)</f>
        <v>0</v>
      </c>
      <c r="V321" s="15">
        <f>-$K321*IFERROR(INDEX('[1]salary allocation'!$E$6:$J$22,MATCH($H321,'[1]salary allocation'!$D$6:$D$22,0),MATCH(V$3,'[1]salary allocation'!$E$3:$J$3,0)),0)</f>
        <v>0</v>
      </c>
      <c r="W321" s="15">
        <f>-$K321*IFERROR(INDEX('[1]salary allocation'!$E$6:$J$22,MATCH($H321,'[1]salary allocation'!$D$6:$D$22,0),MATCH(W$3,'[1]salary allocation'!$E$3:$J$3,0)),0)</f>
        <v>44709645</v>
      </c>
      <c r="X321" s="15">
        <f>-$K321*IFERROR(INDEX('[1]salary allocation'!$E$6:$J$22,MATCH($H321,'[1]salary allocation'!$D$6:$D$22,0),MATCH(X$3,'[1]salary allocation'!$E$3:$J$3,0)),0)</f>
        <v>0</v>
      </c>
      <c r="Y321" s="15">
        <f>-$K321*IFERROR(INDEX('[1]salary allocation'!$E$6:$J$22,MATCH($H321,'[1]salary allocation'!$D$6:$D$22,0),MATCH(Y$3,'[1]salary allocation'!$E$3:$J$3,0)),0)</f>
        <v>0</v>
      </c>
      <c r="Z321" s="15">
        <f>-$K321*IFERROR(INDEX('[1]salary allocation'!$E$6:$J$22,MATCH($H321,'[1]salary allocation'!$D$6:$D$22,0),MATCH(Z$3,'[1]salary allocation'!$E$3:$J$3,0)),0)</f>
        <v>0</v>
      </c>
      <c r="AA321" s="15">
        <f>-$K321*IFERROR(INDEX('[1]salary allocation'!$E$6:$J$22,MATCH($H321,'[1]salary allocation'!$D$6:$D$22,0),MATCH(AA$3,'[1]salary allocation'!$E$3:$J$3,0)),0)</f>
        <v>0</v>
      </c>
      <c r="AB321" s="15">
        <f>-$K321*IFERROR(INDEX('[1]salary allocation'!$E$6:$J$22,MATCH($H321,'[1]salary allocation'!$D$6:$D$22,0),MATCH(AB$3,'[1]salary allocation'!$E$3:$J$3,0)),0)</f>
        <v>0</v>
      </c>
      <c r="AC321" s="18">
        <f>-$K321*IFERROR(INDEX('[1]salary allocation'!$E$6:$J$22,MATCH($H321,'[1]salary allocation'!$D$6:$D$22,0),MATCH(AC$3,'[1]salary allocation'!$E$3:$J$3,0)),0)</f>
        <v>0</v>
      </c>
      <c r="AD321" s="17"/>
      <c r="AE321" s="16"/>
      <c r="AF321" s="15">
        <f>-$K321</f>
        <v>44709645</v>
      </c>
      <c r="AG321" s="15"/>
      <c r="AH321" s="2">
        <f>K321+SUM(O321:AC321)</f>
        <v>0</v>
      </c>
      <c r="AI321" s="2">
        <f>K321+SUM(AF321:AG321)</f>
        <v>0</v>
      </c>
    </row>
    <row r="322" spans="1:35" ht="17" x14ac:dyDescent="0.2">
      <c r="A322" s="59" t="s">
        <v>39</v>
      </c>
      <c r="B322" s="58" t="s">
        <v>523</v>
      </c>
      <c r="H322" s="65" t="s">
        <v>39</v>
      </c>
      <c r="I322" s="67" t="s">
        <v>571</v>
      </c>
      <c r="K322" s="47">
        <v>-49931885</v>
      </c>
      <c r="L322" s="46">
        <v>32025</v>
      </c>
      <c r="M322" s="49" t="s">
        <v>181</v>
      </c>
      <c r="N322" s="11" t="str">
        <f>M322</f>
        <v>VNMOET</v>
      </c>
      <c r="O322" s="15">
        <f>-$K322*IFERROR(INDEX('[1]salary allocation'!$E$6:$J$22,MATCH($H322,'[1]salary allocation'!$D$6:$D$22,0),MATCH(O$3,'[1]salary allocation'!$E$3:$J$3,0)),0)</f>
        <v>0</v>
      </c>
      <c r="P322" s="15">
        <f>-$K322*IFERROR(INDEX('[1]salary allocation'!$E$6:$J$22,MATCH($H322,'[1]salary allocation'!$D$6:$D$22,0),MATCH(P$3,'[1]salary allocation'!$E$3:$J$3,0)),0)</f>
        <v>0</v>
      </c>
      <c r="Q322" s="15">
        <f>-$K322*IFERROR(INDEX('[1]salary allocation'!$E$6:$J$22,MATCH($H322,'[1]salary allocation'!$D$6:$D$22,0),MATCH(Q$3,'[1]salary allocation'!$E$3:$J$3,0)),0)</f>
        <v>0</v>
      </c>
      <c r="R322" s="15">
        <f>-$K322*IFERROR(INDEX('[1]salary allocation'!$E$6:$J$22,MATCH($H322,'[1]salary allocation'!$D$6:$D$22,0),MATCH(R$3,'[1]salary allocation'!$E$3:$J$3,0)),0)</f>
        <v>0</v>
      </c>
      <c r="S322" s="15">
        <f>-$K322*IFERROR(INDEX('[1]salary allocation'!$E$6:$J$22,MATCH($H322,'[1]salary allocation'!$D$6:$D$22,0),MATCH(S$3,'[1]salary allocation'!$E$3:$J$3,0)),0)</f>
        <v>0</v>
      </c>
      <c r="T322" s="15">
        <f>-$K322*IFERROR(INDEX('[1]salary allocation'!$E$6:$J$22,MATCH($H322,'[1]salary allocation'!$D$6:$D$22,0),MATCH(T$3,'[1]salary allocation'!$E$3:$J$3,0)),0)</f>
        <v>0</v>
      </c>
      <c r="U322" s="15">
        <f>-$K322*IFERROR(INDEX('[1]salary allocation'!$E$6:$J$22,MATCH($H322,'[1]salary allocation'!$D$6:$D$22,0),MATCH(U$3,'[1]salary allocation'!$E$3:$J$3,0)),0)</f>
        <v>0</v>
      </c>
      <c r="V322" s="15">
        <f>-$K322*IFERROR(INDEX('[1]salary allocation'!$E$6:$J$22,MATCH($H322,'[1]salary allocation'!$D$6:$D$22,0),MATCH(V$3,'[1]salary allocation'!$E$3:$J$3,0)),0)</f>
        <v>0</v>
      </c>
      <c r="W322" s="15">
        <f>-$K322*IFERROR(INDEX('[1]salary allocation'!$E$6:$J$22,MATCH($H322,'[1]salary allocation'!$D$6:$D$22,0),MATCH(W$3,'[1]salary allocation'!$E$3:$J$3,0)),0)</f>
        <v>49931885</v>
      </c>
      <c r="X322" s="15">
        <f>-$K322*IFERROR(INDEX('[1]salary allocation'!$E$6:$J$22,MATCH($H322,'[1]salary allocation'!$D$6:$D$22,0),MATCH(X$3,'[1]salary allocation'!$E$3:$J$3,0)),0)</f>
        <v>0</v>
      </c>
      <c r="Y322" s="15">
        <f>-$K322*IFERROR(INDEX('[1]salary allocation'!$E$6:$J$22,MATCH($H322,'[1]salary allocation'!$D$6:$D$22,0),MATCH(Y$3,'[1]salary allocation'!$E$3:$J$3,0)),0)</f>
        <v>0</v>
      </c>
      <c r="Z322" s="15">
        <f>-$K322*IFERROR(INDEX('[1]salary allocation'!$E$6:$J$22,MATCH($H322,'[1]salary allocation'!$D$6:$D$22,0),MATCH(Z$3,'[1]salary allocation'!$E$3:$J$3,0)),0)</f>
        <v>0</v>
      </c>
      <c r="AA322" s="15">
        <f>-$K322*IFERROR(INDEX('[1]salary allocation'!$E$6:$J$22,MATCH($H322,'[1]salary allocation'!$D$6:$D$22,0),MATCH(AA$3,'[1]salary allocation'!$E$3:$J$3,0)),0)</f>
        <v>0</v>
      </c>
      <c r="AB322" s="15">
        <f>-$K322*IFERROR(INDEX('[1]salary allocation'!$E$6:$J$22,MATCH($H322,'[1]salary allocation'!$D$6:$D$22,0),MATCH(AB$3,'[1]salary allocation'!$E$3:$J$3,0)),0)</f>
        <v>0</v>
      </c>
      <c r="AC322" s="18">
        <f>-$K322*IFERROR(INDEX('[1]salary allocation'!$E$6:$J$22,MATCH($H322,'[1]salary allocation'!$D$6:$D$22,0),MATCH(AC$3,'[1]salary allocation'!$E$3:$J$3,0)),0)</f>
        <v>0</v>
      </c>
      <c r="AD322" s="17"/>
      <c r="AE322" s="16"/>
      <c r="AF322" s="15">
        <f>-$K322</f>
        <v>49931885</v>
      </c>
      <c r="AG322" s="15"/>
      <c r="AH322" s="2">
        <f>K322+SUM(O322:AC322)</f>
        <v>0</v>
      </c>
      <c r="AI322" s="2">
        <f>K322+SUM(AF322:AG322)</f>
        <v>0</v>
      </c>
    </row>
    <row r="323" spans="1:35" ht="17" x14ac:dyDescent="0.2">
      <c r="A323" s="59" t="s">
        <v>39</v>
      </c>
      <c r="B323" s="53" t="s">
        <v>519</v>
      </c>
      <c r="H323" s="52" t="s">
        <v>39</v>
      </c>
      <c r="I323" s="52" t="s">
        <v>570</v>
      </c>
      <c r="K323" s="13">
        <v>-43524564</v>
      </c>
      <c r="L323" s="46">
        <v>42025</v>
      </c>
      <c r="M323" s="11" t="s">
        <v>181</v>
      </c>
      <c r="N323" s="11" t="str">
        <f>M323</f>
        <v>VNMOET</v>
      </c>
      <c r="O323" s="15">
        <f>-$K323*IFERROR(INDEX('[1]salary allocation'!$E$6:$J$22,MATCH($H323,'[1]salary allocation'!$D$6:$D$22,0),MATCH(O$3,'[1]salary allocation'!$E$3:$J$3,0)),0)</f>
        <v>0</v>
      </c>
      <c r="P323" s="15">
        <f>-$K323*IFERROR(INDEX('[1]salary allocation'!$E$6:$J$22,MATCH($H323,'[1]salary allocation'!$D$6:$D$22,0),MATCH(P$3,'[1]salary allocation'!$E$3:$J$3,0)),0)</f>
        <v>0</v>
      </c>
      <c r="Q323" s="15">
        <f>-$K323*IFERROR(INDEX('[1]salary allocation'!$E$6:$J$22,MATCH($H323,'[1]salary allocation'!$D$6:$D$22,0),MATCH(Q$3,'[1]salary allocation'!$E$3:$J$3,0)),0)</f>
        <v>0</v>
      </c>
      <c r="R323" s="15">
        <f>-$K323*IFERROR(INDEX('[1]salary allocation'!$E$6:$J$22,MATCH($H323,'[1]salary allocation'!$D$6:$D$22,0),MATCH(R$3,'[1]salary allocation'!$E$3:$J$3,0)),0)</f>
        <v>0</v>
      </c>
      <c r="S323" s="15">
        <f>-$K323*IFERROR(INDEX('[1]salary allocation'!$E$6:$J$22,MATCH($H323,'[1]salary allocation'!$D$6:$D$22,0),MATCH(S$3,'[1]salary allocation'!$E$3:$J$3,0)),0)</f>
        <v>0</v>
      </c>
      <c r="T323" s="15">
        <f>-$K323*IFERROR(INDEX('[1]salary allocation'!$E$6:$J$22,MATCH($H323,'[1]salary allocation'!$D$6:$D$22,0),MATCH(T$3,'[1]salary allocation'!$E$3:$J$3,0)),0)</f>
        <v>0</v>
      </c>
      <c r="U323" s="15">
        <f>-$K323*IFERROR(INDEX('[1]salary allocation'!$E$6:$J$22,MATCH($H323,'[1]salary allocation'!$D$6:$D$22,0),MATCH(U$3,'[1]salary allocation'!$E$3:$J$3,0)),0)</f>
        <v>0</v>
      </c>
      <c r="V323" s="15">
        <f>-$K323*IFERROR(INDEX('[1]salary allocation'!$E$6:$J$22,MATCH($H323,'[1]salary allocation'!$D$6:$D$22,0),MATCH(V$3,'[1]salary allocation'!$E$3:$J$3,0)),0)</f>
        <v>0</v>
      </c>
      <c r="W323" s="15">
        <f>-$K323*IFERROR(INDEX('[1]salary allocation'!$E$6:$J$22,MATCH($H323,'[1]salary allocation'!$D$6:$D$22,0),MATCH(W$3,'[1]salary allocation'!$E$3:$J$3,0)),0)</f>
        <v>43524564</v>
      </c>
      <c r="X323" s="15">
        <f>-$K323*IFERROR(INDEX('[1]salary allocation'!$E$6:$J$22,MATCH($H323,'[1]salary allocation'!$D$6:$D$22,0),MATCH(X$3,'[1]salary allocation'!$E$3:$J$3,0)),0)</f>
        <v>0</v>
      </c>
      <c r="Y323" s="15">
        <f>-$K323*IFERROR(INDEX('[1]salary allocation'!$E$6:$J$22,MATCH($H323,'[1]salary allocation'!$D$6:$D$22,0),MATCH(Y$3,'[1]salary allocation'!$E$3:$J$3,0)),0)</f>
        <v>0</v>
      </c>
      <c r="Z323" s="15">
        <f>-$K323*IFERROR(INDEX('[1]salary allocation'!$E$6:$J$22,MATCH($H323,'[1]salary allocation'!$D$6:$D$22,0),MATCH(Z$3,'[1]salary allocation'!$E$3:$J$3,0)),0)</f>
        <v>0</v>
      </c>
      <c r="AA323" s="15">
        <f>-$K323*IFERROR(INDEX('[1]salary allocation'!$E$6:$J$22,MATCH($H323,'[1]salary allocation'!$D$6:$D$22,0),MATCH(AA$3,'[1]salary allocation'!$E$3:$J$3,0)),0)</f>
        <v>0</v>
      </c>
      <c r="AB323" s="15">
        <f>-$K323*IFERROR(INDEX('[1]salary allocation'!$E$6:$J$22,MATCH($H323,'[1]salary allocation'!$D$6:$D$22,0),MATCH(AB$3,'[1]salary allocation'!$E$3:$J$3,0)),0)</f>
        <v>0</v>
      </c>
      <c r="AC323" s="18">
        <f>-$K323*IFERROR(INDEX('[1]salary allocation'!$E$6:$J$22,MATCH($H323,'[1]salary allocation'!$D$6:$D$22,0),MATCH(AC$3,'[1]salary allocation'!$E$3:$J$3,0)),0)</f>
        <v>0</v>
      </c>
      <c r="AD323" s="17"/>
      <c r="AE323" s="16"/>
      <c r="AF323" s="15">
        <f>-$K323</f>
        <v>43524564</v>
      </c>
      <c r="AG323" s="15"/>
      <c r="AH323" s="2">
        <f>K323+SUM(O323:AC323)</f>
        <v>0</v>
      </c>
      <c r="AI323" s="2">
        <f>K323+SUM(AF323:AG323)</f>
        <v>0</v>
      </c>
    </row>
    <row r="324" spans="1:35" ht="17" x14ac:dyDescent="0.2">
      <c r="A324" s="59" t="s">
        <v>39</v>
      </c>
      <c r="B324" s="49" t="s">
        <v>515</v>
      </c>
      <c r="H324" s="48" t="s">
        <v>39</v>
      </c>
      <c r="I324" s="48" t="s">
        <v>569</v>
      </c>
      <c r="K324" s="47">
        <v>-43867664</v>
      </c>
      <c r="L324" s="46">
        <v>52025</v>
      </c>
      <c r="M324" s="11" t="s">
        <v>181</v>
      </c>
      <c r="N324" s="11" t="str">
        <f>M324</f>
        <v>VNMOET</v>
      </c>
      <c r="O324" s="15">
        <f>-$K324*IFERROR(INDEX('[1]salary allocation'!$E$6:$J$22,MATCH($H324,'[1]salary allocation'!$D$6:$D$22,0),MATCH(O$3,'[1]salary allocation'!$E$3:$J$3,0)),0)</f>
        <v>0</v>
      </c>
      <c r="P324" s="15">
        <f>-$K324*IFERROR(INDEX('[1]salary allocation'!$E$6:$J$22,MATCH($H324,'[1]salary allocation'!$D$6:$D$22,0),MATCH(P$3,'[1]salary allocation'!$E$3:$J$3,0)),0)</f>
        <v>0</v>
      </c>
      <c r="Q324" s="15">
        <f>-$K324*IFERROR(INDEX('[1]salary allocation'!$E$6:$J$22,MATCH($H324,'[1]salary allocation'!$D$6:$D$22,0),MATCH(Q$3,'[1]salary allocation'!$E$3:$J$3,0)),0)</f>
        <v>0</v>
      </c>
      <c r="R324" s="15">
        <f>-$K324*IFERROR(INDEX('[1]salary allocation'!$E$6:$J$22,MATCH($H324,'[1]salary allocation'!$D$6:$D$22,0),MATCH(R$3,'[1]salary allocation'!$E$3:$J$3,0)),0)</f>
        <v>0</v>
      </c>
      <c r="S324" s="15">
        <f>-$K324*IFERROR(INDEX('[1]salary allocation'!$E$6:$J$22,MATCH($H324,'[1]salary allocation'!$D$6:$D$22,0),MATCH(S$3,'[1]salary allocation'!$E$3:$J$3,0)),0)</f>
        <v>0</v>
      </c>
      <c r="T324" s="15">
        <f>-$K324*IFERROR(INDEX('[1]salary allocation'!$E$6:$J$22,MATCH($H324,'[1]salary allocation'!$D$6:$D$22,0),MATCH(T$3,'[1]salary allocation'!$E$3:$J$3,0)),0)</f>
        <v>0</v>
      </c>
      <c r="U324" s="15">
        <f>-$K324*IFERROR(INDEX('[1]salary allocation'!$E$6:$J$22,MATCH($H324,'[1]salary allocation'!$D$6:$D$22,0),MATCH(U$3,'[1]salary allocation'!$E$3:$J$3,0)),0)</f>
        <v>0</v>
      </c>
      <c r="V324" s="15">
        <f>-$K324*IFERROR(INDEX('[1]salary allocation'!$E$6:$J$22,MATCH($H324,'[1]salary allocation'!$D$6:$D$22,0),MATCH(V$3,'[1]salary allocation'!$E$3:$J$3,0)),0)</f>
        <v>0</v>
      </c>
      <c r="W324" s="15">
        <f>-$K324*IFERROR(INDEX('[1]salary allocation'!$E$6:$J$22,MATCH($H324,'[1]salary allocation'!$D$6:$D$22,0),MATCH(W$3,'[1]salary allocation'!$E$3:$J$3,0)),0)</f>
        <v>43867664</v>
      </c>
      <c r="X324" s="15">
        <f>-$K324*IFERROR(INDEX('[1]salary allocation'!$E$6:$J$22,MATCH($H324,'[1]salary allocation'!$D$6:$D$22,0),MATCH(X$3,'[1]salary allocation'!$E$3:$J$3,0)),0)</f>
        <v>0</v>
      </c>
      <c r="Y324" s="15">
        <f>-$K324*IFERROR(INDEX('[1]salary allocation'!$E$6:$J$22,MATCH($H324,'[1]salary allocation'!$D$6:$D$22,0),MATCH(Y$3,'[1]salary allocation'!$E$3:$J$3,0)),0)</f>
        <v>0</v>
      </c>
      <c r="Z324" s="15">
        <f>-$K324*IFERROR(INDEX('[1]salary allocation'!$E$6:$J$22,MATCH($H324,'[1]salary allocation'!$D$6:$D$22,0),MATCH(Z$3,'[1]salary allocation'!$E$3:$J$3,0)),0)</f>
        <v>0</v>
      </c>
      <c r="AA324" s="15">
        <f>-$K324*IFERROR(INDEX('[1]salary allocation'!$E$6:$J$22,MATCH($H324,'[1]salary allocation'!$D$6:$D$22,0),MATCH(AA$3,'[1]salary allocation'!$E$3:$J$3,0)),0)</f>
        <v>0</v>
      </c>
      <c r="AB324" s="15">
        <f>-$K324*IFERROR(INDEX('[1]salary allocation'!$E$6:$J$22,MATCH($H324,'[1]salary allocation'!$D$6:$D$22,0),MATCH(AB$3,'[1]salary allocation'!$E$3:$J$3,0)),0)</f>
        <v>0</v>
      </c>
      <c r="AC324" s="18">
        <f>-$K324*IFERROR(INDEX('[1]salary allocation'!$E$6:$J$22,MATCH($H324,'[1]salary allocation'!$D$6:$D$22,0),MATCH(AC$3,'[1]salary allocation'!$E$3:$J$3,0)),0)</f>
        <v>0</v>
      </c>
      <c r="AD324" s="17"/>
      <c r="AE324" s="16"/>
      <c r="AF324" s="15">
        <f>-$K324</f>
        <v>43867664</v>
      </c>
      <c r="AG324" s="15"/>
      <c r="AH324" s="2">
        <f>K324+SUM(O324:AC324)</f>
        <v>0</v>
      </c>
      <c r="AI324" s="2">
        <f>K324+SUM(AF324:AG324)</f>
        <v>0</v>
      </c>
    </row>
    <row r="325" spans="1:35" ht="17" x14ac:dyDescent="0.2">
      <c r="A325" s="59" t="s">
        <v>41</v>
      </c>
      <c r="B325" s="64" t="s">
        <v>531</v>
      </c>
      <c r="H325" s="59" t="s">
        <v>41</v>
      </c>
      <c r="I325" s="59" t="s">
        <v>568</v>
      </c>
      <c r="K325" s="62">
        <v>-38931142</v>
      </c>
      <c r="L325" s="46">
        <v>12025</v>
      </c>
      <c r="M325" s="61" t="s">
        <v>181</v>
      </c>
      <c r="N325" s="11" t="str">
        <f>M325</f>
        <v>VNMOET</v>
      </c>
      <c r="O325" s="15">
        <f>-$K325*IFERROR(INDEX('[1]salary allocation'!$E$6:$J$22,MATCH($H325,'[1]salary allocation'!$D$6:$D$22,0),MATCH(O$3,'[1]salary allocation'!$E$3:$J$3,0)),0)</f>
        <v>0</v>
      </c>
      <c r="P325" s="15">
        <f>-$K325*IFERROR(INDEX('[1]salary allocation'!$E$6:$J$22,MATCH($H325,'[1]salary allocation'!$D$6:$D$22,0),MATCH(P$3,'[1]salary allocation'!$E$3:$J$3,0)),0)</f>
        <v>0</v>
      </c>
      <c r="Q325" s="15">
        <f>-$K325*IFERROR(INDEX('[1]salary allocation'!$E$6:$J$22,MATCH($H325,'[1]salary allocation'!$D$6:$D$22,0),MATCH(Q$3,'[1]salary allocation'!$E$3:$J$3,0)),0)</f>
        <v>0</v>
      </c>
      <c r="R325" s="15">
        <f>-$K325*IFERROR(INDEX('[1]salary allocation'!$E$6:$J$22,MATCH($H325,'[1]salary allocation'!$D$6:$D$22,0),MATCH(R$3,'[1]salary allocation'!$E$3:$J$3,0)),0)</f>
        <v>0</v>
      </c>
      <c r="S325" s="15">
        <f>-$K325*IFERROR(INDEX('[1]salary allocation'!$E$6:$J$22,MATCH($H325,'[1]salary allocation'!$D$6:$D$22,0),MATCH(S$3,'[1]salary allocation'!$E$3:$J$3,0)),0)</f>
        <v>0</v>
      </c>
      <c r="T325" s="15">
        <f>-$K325*IFERROR(INDEX('[1]salary allocation'!$E$6:$J$22,MATCH($H325,'[1]salary allocation'!$D$6:$D$22,0),MATCH(T$3,'[1]salary allocation'!$E$3:$J$3,0)),0)</f>
        <v>0</v>
      </c>
      <c r="U325" s="15">
        <f>-$K325*IFERROR(INDEX('[1]salary allocation'!$E$6:$J$22,MATCH($H325,'[1]salary allocation'!$D$6:$D$22,0),MATCH(U$3,'[1]salary allocation'!$E$3:$J$3,0)),0)</f>
        <v>0</v>
      </c>
      <c r="V325" s="15">
        <f>-$K325*IFERROR(INDEX('[1]salary allocation'!$E$6:$J$22,MATCH($H325,'[1]salary allocation'!$D$6:$D$22,0),MATCH(V$3,'[1]salary allocation'!$E$3:$J$3,0)),0)</f>
        <v>0</v>
      </c>
      <c r="W325" s="15">
        <f>-$K325*IFERROR(INDEX('[1]salary allocation'!$E$6:$J$22,MATCH($H325,'[1]salary allocation'!$D$6:$D$22,0),MATCH(W$3,'[1]salary allocation'!$E$3:$J$3,0)),0)</f>
        <v>38931142</v>
      </c>
      <c r="X325" s="15">
        <f>-$K325*IFERROR(INDEX('[1]salary allocation'!$E$6:$J$22,MATCH($H325,'[1]salary allocation'!$D$6:$D$22,0),MATCH(X$3,'[1]salary allocation'!$E$3:$J$3,0)),0)</f>
        <v>0</v>
      </c>
      <c r="Y325" s="15">
        <f>-$K325*IFERROR(INDEX('[1]salary allocation'!$E$6:$J$22,MATCH($H325,'[1]salary allocation'!$D$6:$D$22,0),MATCH(Y$3,'[1]salary allocation'!$E$3:$J$3,0)),0)</f>
        <v>0</v>
      </c>
      <c r="Z325" s="15">
        <f>-$K325*IFERROR(INDEX('[1]salary allocation'!$E$6:$J$22,MATCH($H325,'[1]salary allocation'!$D$6:$D$22,0),MATCH(Z$3,'[1]salary allocation'!$E$3:$J$3,0)),0)</f>
        <v>0</v>
      </c>
      <c r="AA325" s="15">
        <f>-$K325*IFERROR(INDEX('[1]salary allocation'!$E$6:$J$22,MATCH($H325,'[1]salary allocation'!$D$6:$D$22,0),MATCH(AA$3,'[1]salary allocation'!$E$3:$J$3,0)),0)</f>
        <v>0</v>
      </c>
      <c r="AB325" s="15">
        <f>-$K325*IFERROR(INDEX('[1]salary allocation'!$E$6:$J$22,MATCH($H325,'[1]salary allocation'!$D$6:$D$22,0),MATCH(AB$3,'[1]salary allocation'!$E$3:$J$3,0)),0)</f>
        <v>0</v>
      </c>
      <c r="AC325" s="18">
        <f>-$K325*IFERROR(INDEX('[1]salary allocation'!$E$6:$J$22,MATCH($H325,'[1]salary allocation'!$D$6:$D$22,0),MATCH(AC$3,'[1]salary allocation'!$E$3:$J$3,0)),0)</f>
        <v>0</v>
      </c>
      <c r="AD325" s="17"/>
      <c r="AE325" s="16"/>
      <c r="AF325" s="15">
        <f>-$K325</f>
        <v>38931142</v>
      </c>
      <c r="AG325" s="15"/>
      <c r="AH325" s="2">
        <f>K325+SUM(O325:AC325)</f>
        <v>0</v>
      </c>
      <c r="AI325" s="2">
        <f>K325+SUM(AF325:AG325)</f>
        <v>0</v>
      </c>
    </row>
    <row r="326" spans="1:35" ht="17" x14ac:dyDescent="0.2">
      <c r="A326" s="59" t="s">
        <v>41</v>
      </c>
      <c r="B326" s="55" t="s">
        <v>527</v>
      </c>
      <c r="H326" s="60" t="s">
        <v>41</v>
      </c>
      <c r="I326" s="59" t="s">
        <v>567</v>
      </c>
      <c r="K326" s="47">
        <v>-42601305</v>
      </c>
      <c r="L326" s="46">
        <v>22025</v>
      </c>
      <c r="M326" s="49" t="s">
        <v>181</v>
      </c>
      <c r="N326" s="11" t="str">
        <f>M326</f>
        <v>VNMOET</v>
      </c>
      <c r="O326" s="15">
        <f>-$K326*IFERROR(INDEX('[1]salary allocation'!$E$6:$J$22,MATCH($H326,'[1]salary allocation'!$D$6:$D$22,0),MATCH(O$3,'[1]salary allocation'!$E$3:$J$3,0)),0)</f>
        <v>0</v>
      </c>
      <c r="P326" s="15">
        <f>-$K326*IFERROR(INDEX('[1]salary allocation'!$E$6:$J$22,MATCH($H326,'[1]salary allocation'!$D$6:$D$22,0),MATCH(P$3,'[1]salary allocation'!$E$3:$J$3,0)),0)</f>
        <v>0</v>
      </c>
      <c r="Q326" s="15">
        <f>-$K326*IFERROR(INDEX('[1]salary allocation'!$E$6:$J$22,MATCH($H326,'[1]salary allocation'!$D$6:$D$22,0),MATCH(Q$3,'[1]salary allocation'!$E$3:$J$3,0)),0)</f>
        <v>0</v>
      </c>
      <c r="R326" s="15">
        <f>-$K326*IFERROR(INDEX('[1]salary allocation'!$E$6:$J$22,MATCH($H326,'[1]salary allocation'!$D$6:$D$22,0),MATCH(R$3,'[1]salary allocation'!$E$3:$J$3,0)),0)</f>
        <v>0</v>
      </c>
      <c r="S326" s="15">
        <f>-$K326*IFERROR(INDEX('[1]salary allocation'!$E$6:$J$22,MATCH($H326,'[1]salary allocation'!$D$6:$D$22,0),MATCH(S$3,'[1]salary allocation'!$E$3:$J$3,0)),0)</f>
        <v>0</v>
      </c>
      <c r="T326" s="15">
        <f>-$K326*IFERROR(INDEX('[1]salary allocation'!$E$6:$J$22,MATCH($H326,'[1]salary allocation'!$D$6:$D$22,0),MATCH(T$3,'[1]salary allocation'!$E$3:$J$3,0)),0)</f>
        <v>0</v>
      </c>
      <c r="U326" s="15">
        <f>-$K326*IFERROR(INDEX('[1]salary allocation'!$E$6:$J$22,MATCH($H326,'[1]salary allocation'!$D$6:$D$22,0),MATCH(U$3,'[1]salary allocation'!$E$3:$J$3,0)),0)</f>
        <v>0</v>
      </c>
      <c r="V326" s="15">
        <f>-$K326*IFERROR(INDEX('[1]salary allocation'!$E$6:$J$22,MATCH($H326,'[1]salary allocation'!$D$6:$D$22,0),MATCH(V$3,'[1]salary allocation'!$E$3:$J$3,0)),0)</f>
        <v>0</v>
      </c>
      <c r="W326" s="15">
        <f>-$K326*IFERROR(INDEX('[1]salary allocation'!$E$6:$J$22,MATCH($H326,'[1]salary allocation'!$D$6:$D$22,0),MATCH(W$3,'[1]salary allocation'!$E$3:$J$3,0)),0)</f>
        <v>42601305</v>
      </c>
      <c r="X326" s="15">
        <f>-$K326*IFERROR(INDEX('[1]salary allocation'!$E$6:$J$22,MATCH($H326,'[1]salary allocation'!$D$6:$D$22,0),MATCH(X$3,'[1]salary allocation'!$E$3:$J$3,0)),0)</f>
        <v>0</v>
      </c>
      <c r="Y326" s="15">
        <f>-$K326*IFERROR(INDEX('[1]salary allocation'!$E$6:$J$22,MATCH($H326,'[1]salary allocation'!$D$6:$D$22,0),MATCH(Y$3,'[1]salary allocation'!$E$3:$J$3,0)),0)</f>
        <v>0</v>
      </c>
      <c r="Z326" s="15">
        <f>-$K326*IFERROR(INDEX('[1]salary allocation'!$E$6:$J$22,MATCH($H326,'[1]salary allocation'!$D$6:$D$22,0),MATCH(Z$3,'[1]salary allocation'!$E$3:$J$3,0)),0)</f>
        <v>0</v>
      </c>
      <c r="AA326" s="15">
        <f>-$K326*IFERROR(INDEX('[1]salary allocation'!$E$6:$J$22,MATCH($H326,'[1]salary allocation'!$D$6:$D$22,0),MATCH(AA$3,'[1]salary allocation'!$E$3:$J$3,0)),0)</f>
        <v>0</v>
      </c>
      <c r="AB326" s="15">
        <f>-$K326*IFERROR(INDEX('[1]salary allocation'!$E$6:$J$22,MATCH($H326,'[1]salary allocation'!$D$6:$D$22,0),MATCH(AB$3,'[1]salary allocation'!$E$3:$J$3,0)),0)</f>
        <v>0</v>
      </c>
      <c r="AC326" s="18">
        <f>-$K326*IFERROR(INDEX('[1]salary allocation'!$E$6:$J$22,MATCH($H326,'[1]salary allocation'!$D$6:$D$22,0),MATCH(AC$3,'[1]salary allocation'!$E$3:$J$3,0)),0)</f>
        <v>0</v>
      </c>
      <c r="AD326" s="17"/>
      <c r="AE326" s="16"/>
      <c r="AF326" s="15">
        <f>-$K326</f>
        <v>42601305</v>
      </c>
      <c r="AG326" s="15"/>
      <c r="AH326" s="2">
        <f>K326+SUM(O326:AC326)</f>
        <v>0</v>
      </c>
      <c r="AI326" s="2">
        <f>K326+SUM(AF326:AG326)</f>
        <v>0</v>
      </c>
    </row>
    <row r="327" spans="1:35" ht="17" x14ac:dyDescent="0.2">
      <c r="A327" s="59" t="s">
        <v>41</v>
      </c>
      <c r="B327" s="55" t="s">
        <v>523</v>
      </c>
      <c r="H327" s="52" t="s">
        <v>41</v>
      </c>
      <c r="I327" s="54" t="s">
        <v>566</v>
      </c>
      <c r="K327" s="47">
        <v>-53847479</v>
      </c>
      <c r="L327" s="46">
        <v>32025</v>
      </c>
      <c r="M327" s="49" t="s">
        <v>181</v>
      </c>
      <c r="N327" s="11" t="str">
        <f>M327</f>
        <v>VNMOET</v>
      </c>
      <c r="O327" s="15">
        <f>-$K327*IFERROR(INDEX('[1]salary allocation'!$E$6:$J$22,MATCH($H327,'[1]salary allocation'!$D$6:$D$22,0),MATCH(O$3,'[1]salary allocation'!$E$3:$J$3,0)),0)</f>
        <v>0</v>
      </c>
      <c r="P327" s="15">
        <f>-$K327*IFERROR(INDEX('[1]salary allocation'!$E$6:$J$22,MATCH($H327,'[1]salary allocation'!$D$6:$D$22,0),MATCH(P$3,'[1]salary allocation'!$E$3:$J$3,0)),0)</f>
        <v>0</v>
      </c>
      <c r="Q327" s="15">
        <f>-$K327*IFERROR(INDEX('[1]salary allocation'!$E$6:$J$22,MATCH($H327,'[1]salary allocation'!$D$6:$D$22,0),MATCH(Q$3,'[1]salary allocation'!$E$3:$J$3,0)),0)</f>
        <v>0</v>
      </c>
      <c r="R327" s="15">
        <f>-$K327*IFERROR(INDEX('[1]salary allocation'!$E$6:$J$22,MATCH($H327,'[1]salary allocation'!$D$6:$D$22,0),MATCH(R$3,'[1]salary allocation'!$E$3:$J$3,0)),0)</f>
        <v>0</v>
      </c>
      <c r="S327" s="15">
        <f>-$K327*IFERROR(INDEX('[1]salary allocation'!$E$6:$J$22,MATCH($H327,'[1]salary allocation'!$D$6:$D$22,0),MATCH(S$3,'[1]salary allocation'!$E$3:$J$3,0)),0)</f>
        <v>0</v>
      </c>
      <c r="T327" s="15">
        <f>-$K327*IFERROR(INDEX('[1]salary allocation'!$E$6:$J$22,MATCH($H327,'[1]salary allocation'!$D$6:$D$22,0),MATCH(T$3,'[1]salary allocation'!$E$3:$J$3,0)),0)</f>
        <v>0</v>
      </c>
      <c r="U327" s="15">
        <f>-$K327*IFERROR(INDEX('[1]salary allocation'!$E$6:$J$22,MATCH($H327,'[1]salary allocation'!$D$6:$D$22,0),MATCH(U$3,'[1]salary allocation'!$E$3:$J$3,0)),0)</f>
        <v>0</v>
      </c>
      <c r="V327" s="15">
        <f>-$K327*IFERROR(INDEX('[1]salary allocation'!$E$6:$J$22,MATCH($H327,'[1]salary allocation'!$D$6:$D$22,0),MATCH(V$3,'[1]salary allocation'!$E$3:$J$3,0)),0)</f>
        <v>0</v>
      </c>
      <c r="W327" s="15">
        <f>-$K327*IFERROR(INDEX('[1]salary allocation'!$E$6:$J$22,MATCH($H327,'[1]salary allocation'!$D$6:$D$22,0),MATCH(W$3,'[1]salary allocation'!$E$3:$J$3,0)),0)</f>
        <v>53847479</v>
      </c>
      <c r="X327" s="15">
        <f>-$K327*IFERROR(INDEX('[1]salary allocation'!$E$6:$J$22,MATCH($H327,'[1]salary allocation'!$D$6:$D$22,0),MATCH(X$3,'[1]salary allocation'!$E$3:$J$3,0)),0)</f>
        <v>0</v>
      </c>
      <c r="Y327" s="15">
        <f>-$K327*IFERROR(INDEX('[1]salary allocation'!$E$6:$J$22,MATCH($H327,'[1]salary allocation'!$D$6:$D$22,0),MATCH(Y$3,'[1]salary allocation'!$E$3:$J$3,0)),0)</f>
        <v>0</v>
      </c>
      <c r="Z327" s="15">
        <f>-$K327*IFERROR(INDEX('[1]salary allocation'!$E$6:$J$22,MATCH($H327,'[1]salary allocation'!$D$6:$D$22,0),MATCH(Z$3,'[1]salary allocation'!$E$3:$J$3,0)),0)</f>
        <v>0</v>
      </c>
      <c r="AA327" s="15">
        <f>-$K327*IFERROR(INDEX('[1]salary allocation'!$E$6:$J$22,MATCH($H327,'[1]salary allocation'!$D$6:$D$22,0),MATCH(AA$3,'[1]salary allocation'!$E$3:$J$3,0)),0)</f>
        <v>0</v>
      </c>
      <c r="AB327" s="15">
        <f>-$K327*IFERROR(INDEX('[1]salary allocation'!$E$6:$J$22,MATCH($H327,'[1]salary allocation'!$D$6:$D$22,0),MATCH(AB$3,'[1]salary allocation'!$E$3:$J$3,0)),0)</f>
        <v>0</v>
      </c>
      <c r="AC327" s="18">
        <f>-$K327*IFERROR(INDEX('[1]salary allocation'!$E$6:$J$22,MATCH($H327,'[1]salary allocation'!$D$6:$D$22,0),MATCH(AC$3,'[1]salary allocation'!$E$3:$J$3,0)),0)</f>
        <v>0</v>
      </c>
      <c r="AD327" s="17"/>
      <c r="AE327" s="16"/>
      <c r="AF327" s="15">
        <f>-$K327</f>
        <v>53847479</v>
      </c>
      <c r="AG327" s="15"/>
      <c r="AH327" s="2">
        <f>K327+SUM(O327:AC327)</f>
        <v>0</v>
      </c>
      <c r="AI327" s="2">
        <f>K327+SUM(AF327:AG327)</f>
        <v>0</v>
      </c>
    </row>
    <row r="328" spans="1:35" ht="17" x14ac:dyDescent="0.2">
      <c r="A328" s="59" t="s">
        <v>41</v>
      </c>
      <c r="B328" s="53" t="s">
        <v>519</v>
      </c>
      <c r="H328" s="52" t="s">
        <v>41</v>
      </c>
      <c r="I328" s="52" t="s">
        <v>565</v>
      </c>
      <c r="K328" s="13">
        <v>-41462386</v>
      </c>
      <c r="L328" s="46">
        <v>42025</v>
      </c>
      <c r="M328" s="11" t="s">
        <v>181</v>
      </c>
      <c r="N328" s="11" t="str">
        <f>M328</f>
        <v>VNMOET</v>
      </c>
      <c r="O328" s="15">
        <f>-$K328*IFERROR(INDEX('[1]salary allocation'!$E$6:$J$22,MATCH($H328,'[1]salary allocation'!$D$6:$D$22,0),MATCH(O$3,'[1]salary allocation'!$E$3:$J$3,0)),0)</f>
        <v>0</v>
      </c>
      <c r="P328" s="15">
        <f>-$K328*IFERROR(INDEX('[1]salary allocation'!$E$6:$J$22,MATCH($H328,'[1]salary allocation'!$D$6:$D$22,0),MATCH(P$3,'[1]salary allocation'!$E$3:$J$3,0)),0)</f>
        <v>0</v>
      </c>
      <c r="Q328" s="15">
        <f>-$K328*IFERROR(INDEX('[1]salary allocation'!$E$6:$J$22,MATCH($H328,'[1]salary allocation'!$D$6:$D$22,0),MATCH(Q$3,'[1]salary allocation'!$E$3:$J$3,0)),0)</f>
        <v>0</v>
      </c>
      <c r="R328" s="15">
        <f>-$K328*IFERROR(INDEX('[1]salary allocation'!$E$6:$J$22,MATCH($H328,'[1]salary allocation'!$D$6:$D$22,0),MATCH(R$3,'[1]salary allocation'!$E$3:$J$3,0)),0)</f>
        <v>0</v>
      </c>
      <c r="S328" s="15">
        <f>-$K328*IFERROR(INDEX('[1]salary allocation'!$E$6:$J$22,MATCH($H328,'[1]salary allocation'!$D$6:$D$22,0),MATCH(S$3,'[1]salary allocation'!$E$3:$J$3,0)),0)</f>
        <v>0</v>
      </c>
      <c r="T328" s="15">
        <f>-$K328*IFERROR(INDEX('[1]salary allocation'!$E$6:$J$22,MATCH($H328,'[1]salary allocation'!$D$6:$D$22,0),MATCH(T$3,'[1]salary allocation'!$E$3:$J$3,0)),0)</f>
        <v>0</v>
      </c>
      <c r="U328" s="15">
        <f>-$K328*IFERROR(INDEX('[1]salary allocation'!$E$6:$J$22,MATCH($H328,'[1]salary allocation'!$D$6:$D$22,0),MATCH(U$3,'[1]salary allocation'!$E$3:$J$3,0)),0)</f>
        <v>0</v>
      </c>
      <c r="V328" s="15">
        <f>-$K328*IFERROR(INDEX('[1]salary allocation'!$E$6:$J$22,MATCH($H328,'[1]salary allocation'!$D$6:$D$22,0),MATCH(V$3,'[1]salary allocation'!$E$3:$J$3,0)),0)</f>
        <v>0</v>
      </c>
      <c r="W328" s="15">
        <f>-$K328*IFERROR(INDEX('[1]salary allocation'!$E$6:$J$22,MATCH($H328,'[1]salary allocation'!$D$6:$D$22,0),MATCH(W$3,'[1]salary allocation'!$E$3:$J$3,0)),0)</f>
        <v>41462386</v>
      </c>
      <c r="X328" s="15">
        <f>-$K328*IFERROR(INDEX('[1]salary allocation'!$E$6:$J$22,MATCH($H328,'[1]salary allocation'!$D$6:$D$22,0),MATCH(X$3,'[1]salary allocation'!$E$3:$J$3,0)),0)</f>
        <v>0</v>
      </c>
      <c r="Y328" s="15">
        <f>-$K328*IFERROR(INDEX('[1]salary allocation'!$E$6:$J$22,MATCH($H328,'[1]salary allocation'!$D$6:$D$22,0),MATCH(Y$3,'[1]salary allocation'!$E$3:$J$3,0)),0)</f>
        <v>0</v>
      </c>
      <c r="Z328" s="15">
        <f>-$K328*IFERROR(INDEX('[1]salary allocation'!$E$6:$J$22,MATCH($H328,'[1]salary allocation'!$D$6:$D$22,0),MATCH(Z$3,'[1]salary allocation'!$E$3:$J$3,0)),0)</f>
        <v>0</v>
      </c>
      <c r="AA328" s="15">
        <f>-$K328*IFERROR(INDEX('[1]salary allocation'!$E$6:$J$22,MATCH($H328,'[1]salary allocation'!$D$6:$D$22,0),MATCH(AA$3,'[1]salary allocation'!$E$3:$J$3,0)),0)</f>
        <v>0</v>
      </c>
      <c r="AB328" s="15">
        <f>-$K328*IFERROR(INDEX('[1]salary allocation'!$E$6:$J$22,MATCH($H328,'[1]salary allocation'!$D$6:$D$22,0),MATCH(AB$3,'[1]salary allocation'!$E$3:$J$3,0)),0)</f>
        <v>0</v>
      </c>
      <c r="AC328" s="18">
        <f>-$K328*IFERROR(INDEX('[1]salary allocation'!$E$6:$J$22,MATCH($H328,'[1]salary allocation'!$D$6:$D$22,0),MATCH(AC$3,'[1]salary allocation'!$E$3:$J$3,0)),0)</f>
        <v>0</v>
      </c>
      <c r="AD328" s="17"/>
      <c r="AE328" s="16"/>
      <c r="AF328" s="15">
        <f>-$K328</f>
        <v>41462386</v>
      </c>
      <c r="AG328" s="15"/>
      <c r="AH328" s="2">
        <f>K328+SUM(O328:AC328)</f>
        <v>0</v>
      </c>
      <c r="AI328" s="2">
        <f>K328+SUM(AF328:AG328)</f>
        <v>0</v>
      </c>
    </row>
    <row r="329" spans="1:35" ht="17" x14ac:dyDescent="0.2">
      <c r="A329" s="59" t="s">
        <v>41</v>
      </c>
      <c r="B329" s="49" t="s">
        <v>515</v>
      </c>
      <c r="H329" s="48" t="s">
        <v>41</v>
      </c>
      <c r="I329" s="48" t="s">
        <v>564</v>
      </c>
      <c r="K329" s="47">
        <v>-41809958</v>
      </c>
      <c r="L329" s="46">
        <v>52025</v>
      </c>
      <c r="M329" s="11" t="s">
        <v>181</v>
      </c>
      <c r="N329" s="11" t="str">
        <f>M329</f>
        <v>VNMOET</v>
      </c>
      <c r="O329" s="15">
        <f>-$K329*IFERROR(INDEX('[1]salary allocation'!$E$6:$J$22,MATCH($H329,'[1]salary allocation'!$D$6:$D$22,0),MATCH(O$3,'[1]salary allocation'!$E$3:$J$3,0)),0)</f>
        <v>0</v>
      </c>
      <c r="P329" s="15">
        <f>-$K329*IFERROR(INDEX('[1]salary allocation'!$E$6:$J$22,MATCH($H329,'[1]salary allocation'!$D$6:$D$22,0),MATCH(P$3,'[1]salary allocation'!$E$3:$J$3,0)),0)</f>
        <v>0</v>
      </c>
      <c r="Q329" s="15">
        <f>-$K329*IFERROR(INDEX('[1]salary allocation'!$E$6:$J$22,MATCH($H329,'[1]salary allocation'!$D$6:$D$22,0),MATCH(Q$3,'[1]salary allocation'!$E$3:$J$3,0)),0)</f>
        <v>0</v>
      </c>
      <c r="R329" s="15">
        <f>-$K329*IFERROR(INDEX('[1]salary allocation'!$E$6:$J$22,MATCH($H329,'[1]salary allocation'!$D$6:$D$22,0),MATCH(R$3,'[1]salary allocation'!$E$3:$J$3,0)),0)</f>
        <v>0</v>
      </c>
      <c r="S329" s="15">
        <f>-$K329*IFERROR(INDEX('[1]salary allocation'!$E$6:$J$22,MATCH($H329,'[1]salary allocation'!$D$6:$D$22,0),MATCH(S$3,'[1]salary allocation'!$E$3:$J$3,0)),0)</f>
        <v>0</v>
      </c>
      <c r="T329" s="15">
        <f>-$K329*IFERROR(INDEX('[1]salary allocation'!$E$6:$J$22,MATCH($H329,'[1]salary allocation'!$D$6:$D$22,0),MATCH(T$3,'[1]salary allocation'!$E$3:$J$3,0)),0)</f>
        <v>0</v>
      </c>
      <c r="U329" s="15">
        <f>-$K329*IFERROR(INDEX('[1]salary allocation'!$E$6:$J$22,MATCH($H329,'[1]salary allocation'!$D$6:$D$22,0),MATCH(U$3,'[1]salary allocation'!$E$3:$J$3,0)),0)</f>
        <v>0</v>
      </c>
      <c r="V329" s="15">
        <f>-$K329*IFERROR(INDEX('[1]salary allocation'!$E$6:$J$22,MATCH($H329,'[1]salary allocation'!$D$6:$D$22,0),MATCH(V$3,'[1]salary allocation'!$E$3:$J$3,0)),0)</f>
        <v>0</v>
      </c>
      <c r="W329" s="15">
        <f>-$K329*IFERROR(INDEX('[1]salary allocation'!$E$6:$J$22,MATCH($H329,'[1]salary allocation'!$D$6:$D$22,0),MATCH(W$3,'[1]salary allocation'!$E$3:$J$3,0)),0)</f>
        <v>41809958</v>
      </c>
      <c r="X329" s="15">
        <f>-$K329*IFERROR(INDEX('[1]salary allocation'!$E$6:$J$22,MATCH($H329,'[1]salary allocation'!$D$6:$D$22,0),MATCH(X$3,'[1]salary allocation'!$E$3:$J$3,0)),0)</f>
        <v>0</v>
      </c>
      <c r="Y329" s="15">
        <f>-$K329*IFERROR(INDEX('[1]salary allocation'!$E$6:$J$22,MATCH($H329,'[1]salary allocation'!$D$6:$D$22,0),MATCH(Y$3,'[1]salary allocation'!$E$3:$J$3,0)),0)</f>
        <v>0</v>
      </c>
      <c r="Z329" s="15">
        <f>-$K329*IFERROR(INDEX('[1]salary allocation'!$E$6:$J$22,MATCH($H329,'[1]salary allocation'!$D$6:$D$22,0),MATCH(Z$3,'[1]salary allocation'!$E$3:$J$3,0)),0)</f>
        <v>0</v>
      </c>
      <c r="AA329" s="15">
        <f>-$K329*IFERROR(INDEX('[1]salary allocation'!$E$6:$J$22,MATCH($H329,'[1]salary allocation'!$D$6:$D$22,0),MATCH(AA$3,'[1]salary allocation'!$E$3:$J$3,0)),0)</f>
        <v>0</v>
      </c>
      <c r="AB329" s="15">
        <f>-$K329*IFERROR(INDEX('[1]salary allocation'!$E$6:$J$22,MATCH($H329,'[1]salary allocation'!$D$6:$D$22,0),MATCH(AB$3,'[1]salary allocation'!$E$3:$J$3,0)),0)</f>
        <v>0</v>
      </c>
      <c r="AC329" s="18">
        <f>-$K329*IFERROR(INDEX('[1]salary allocation'!$E$6:$J$22,MATCH($H329,'[1]salary allocation'!$D$6:$D$22,0),MATCH(AC$3,'[1]salary allocation'!$E$3:$J$3,0)),0)</f>
        <v>0</v>
      </c>
      <c r="AD329" s="17"/>
      <c r="AE329" s="16"/>
      <c r="AF329" s="15">
        <f>-$K329</f>
        <v>41809958</v>
      </c>
      <c r="AG329" s="15"/>
      <c r="AH329" s="2">
        <f>K329+SUM(O329:AC329)</f>
        <v>0</v>
      </c>
      <c r="AI329" s="2">
        <f>K329+SUM(AF329:AG329)</f>
        <v>0</v>
      </c>
    </row>
    <row r="330" spans="1:35" ht="17" x14ac:dyDescent="0.2">
      <c r="A330" s="59" t="s">
        <v>49</v>
      </c>
      <c r="B330" s="64" t="s">
        <v>531</v>
      </c>
      <c r="H330" s="59" t="s">
        <v>49</v>
      </c>
      <c r="I330" s="59" t="s">
        <v>563</v>
      </c>
      <c r="K330" s="62">
        <v>-22101800</v>
      </c>
      <c r="L330" s="46">
        <v>12025</v>
      </c>
      <c r="M330" s="61" t="s">
        <v>181</v>
      </c>
      <c r="N330" s="11" t="str">
        <f>M330</f>
        <v>VNMOET</v>
      </c>
      <c r="O330" s="15">
        <f>-$K330*IFERROR(INDEX('[1]salary allocation'!$E$6:$J$22,MATCH($H330,'[1]salary allocation'!$D$6:$D$22,0),MATCH(O$3,'[1]salary allocation'!$E$3:$J$3,0)),0)</f>
        <v>0</v>
      </c>
      <c r="P330" s="15">
        <f>-$K330*IFERROR(INDEX('[1]salary allocation'!$E$6:$J$22,MATCH($H330,'[1]salary allocation'!$D$6:$D$22,0),MATCH(P$3,'[1]salary allocation'!$E$3:$J$3,0)),0)</f>
        <v>0</v>
      </c>
      <c r="Q330" s="15">
        <f>-$K330*IFERROR(INDEX('[1]salary allocation'!$E$6:$J$22,MATCH($H330,'[1]salary allocation'!$D$6:$D$22,0),MATCH(Q$3,'[1]salary allocation'!$E$3:$J$3,0)),0)</f>
        <v>0</v>
      </c>
      <c r="R330" s="15">
        <f>-$K330*IFERROR(INDEX('[1]salary allocation'!$E$6:$J$22,MATCH($H330,'[1]salary allocation'!$D$6:$D$22,0),MATCH(R$3,'[1]salary allocation'!$E$3:$J$3,0)),0)</f>
        <v>0</v>
      </c>
      <c r="S330" s="15">
        <f>-$K330*IFERROR(INDEX('[1]salary allocation'!$E$6:$J$22,MATCH($H330,'[1]salary allocation'!$D$6:$D$22,0),MATCH(S$3,'[1]salary allocation'!$E$3:$J$3,0)),0)</f>
        <v>4420360</v>
      </c>
      <c r="T330" s="15">
        <f>-$K330*IFERROR(INDEX('[1]salary allocation'!$E$6:$J$22,MATCH($H330,'[1]salary allocation'!$D$6:$D$22,0),MATCH(T$3,'[1]salary allocation'!$E$3:$J$3,0)),0)</f>
        <v>4420360</v>
      </c>
      <c r="U330" s="15">
        <f>-$K330*IFERROR(INDEX('[1]salary allocation'!$E$6:$J$22,MATCH($H330,'[1]salary allocation'!$D$6:$D$22,0),MATCH(U$3,'[1]salary allocation'!$E$3:$J$3,0)),0)</f>
        <v>4420360</v>
      </c>
      <c r="V330" s="15">
        <f>-$K330*IFERROR(INDEX('[1]salary allocation'!$E$6:$J$22,MATCH($H330,'[1]salary allocation'!$D$6:$D$22,0),MATCH(V$3,'[1]salary allocation'!$E$3:$J$3,0)),0)</f>
        <v>0</v>
      </c>
      <c r="W330" s="15">
        <f>-$K330*IFERROR(INDEX('[1]salary allocation'!$E$6:$J$22,MATCH($H330,'[1]salary allocation'!$D$6:$D$22,0),MATCH(W$3,'[1]salary allocation'!$E$3:$J$3,0)),0)</f>
        <v>8840720</v>
      </c>
      <c r="X330" s="15">
        <f>-$K330*IFERROR(INDEX('[1]salary allocation'!$E$6:$J$22,MATCH($H330,'[1]salary allocation'!$D$6:$D$22,0),MATCH(X$3,'[1]salary allocation'!$E$3:$J$3,0)),0)</f>
        <v>0</v>
      </c>
      <c r="Y330" s="15">
        <f>-$K330*IFERROR(INDEX('[1]salary allocation'!$E$6:$J$22,MATCH($H330,'[1]salary allocation'!$D$6:$D$22,0),MATCH(Y$3,'[1]salary allocation'!$E$3:$J$3,0)),0)</f>
        <v>0</v>
      </c>
      <c r="Z330" s="15">
        <f>-$K330*IFERROR(INDEX('[1]salary allocation'!$E$6:$J$22,MATCH($H330,'[1]salary allocation'!$D$6:$D$22,0),MATCH(Z$3,'[1]salary allocation'!$E$3:$J$3,0)),0)</f>
        <v>0</v>
      </c>
      <c r="AA330" s="15">
        <f>-$K330*IFERROR(INDEX('[1]salary allocation'!$E$6:$J$22,MATCH($H330,'[1]salary allocation'!$D$6:$D$22,0),MATCH(AA$3,'[1]salary allocation'!$E$3:$J$3,0)),0)</f>
        <v>0</v>
      </c>
      <c r="AB330" s="15">
        <f>-$K330*IFERROR(INDEX('[1]salary allocation'!$E$6:$J$22,MATCH($H330,'[1]salary allocation'!$D$6:$D$22,0),MATCH(AB$3,'[1]salary allocation'!$E$3:$J$3,0)),0)</f>
        <v>0</v>
      </c>
      <c r="AC330" s="18">
        <f>-$K330*IFERROR(INDEX('[1]salary allocation'!$E$6:$J$22,MATCH($H330,'[1]salary allocation'!$D$6:$D$22,0),MATCH(AC$3,'[1]salary allocation'!$E$3:$J$3,0)),0)</f>
        <v>0</v>
      </c>
      <c r="AD330" s="17"/>
      <c r="AE330" s="16"/>
      <c r="AF330" s="15"/>
      <c r="AG330" s="15">
        <f>-K330</f>
        <v>22101800</v>
      </c>
      <c r="AH330" s="2">
        <f>K330+SUM(O330:AC330)</f>
        <v>0</v>
      </c>
      <c r="AI330" s="2">
        <f>K330+SUM(AF330:AG330)</f>
        <v>0</v>
      </c>
    </row>
    <row r="331" spans="1:35" ht="17" x14ac:dyDescent="0.2">
      <c r="A331" s="59" t="s">
        <v>49</v>
      </c>
      <c r="B331" s="55" t="s">
        <v>527</v>
      </c>
      <c r="H331" s="60" t="s">
        <v>49</v>
      </c>
      <c r="I331" s="59" t="s">
        <v>562</v>
      </c>
      <c r="K331" s="47">
        <v>-24089835</v>
      </c>
      <c r="L331" s="46">
        <v>22025</v>
      </c>
      <c r="M331" s="49" t="s">
        <v>181</v>
      </c>
      <c r="N331" s="11" t="str">
        <f>M331</f>
        <v>VNMOET</v>
      </c>
      <c r="O331" s="15">
        <f>-$K331*IFERROR(INDEX('[1]salary allocation'!$E$6:$J$22,MATCH($H331,'[1]salary allocation'!$D$6:$D$22,0),MATCH(O$3,'[1]salary allocation'!$E$3:$J$3,0)),0)</f>
        <v>0</v>
      </c>
      <c r="P331" s="15">
        <f>-$K331*IFERROR(INDEX('[1]salary allocation'!$E$6:$J$22,MATCH($H331,'[1]salary allocation'!$D$6:$D$22,0),MATCH(P$3,'[1]salary allocation'!$E$3:$J$3,0)),0)</f>
        <v>0</v>
      </c>
      <c r="Q331" s="15">
        <f>-$K331*IFERROR(INDEX('[1]salary allocation'!$E$6:$J$22,MATCH($H331,'[1]salary allocation'!$D$6:$D$22,0),MATCH(Q$3,'[1]salary allocation'!$E$3:$J$3,0)),0)</f>
        <v>0</v>
      </c>
      <c r="R331" s="15">
        <f>-$K331*IFERROR(INDEX('[1]salary allocation'!$E$6:$J$22,MATCH($H331,'[1]salary allocation'!$D$6:$D$22,0),MATCH(R$3,'[1]salary allocation'!$E$3:$J$3,0)),0)</f>
        <v>0</v>
      </c>
      <c r="S331" s="15">
        <f>-$K331*IFERROR(INDEX('[1]salary allocation'!$E$6:$J$22,MATCH($H331,'[1]salary allocation'!$D$6:$D$22,0),MATCH(S$3,'[1]salary allocation'!$E$3:$J$3,0)),0)</f>
        <v>4817967</v>
      </c>
      <c r="T331" s="15">
        <f>-$K331*IFERROR(INDEX('[1]salary allocation'!$E$6:$J$22,MATCH($H331,'[1]salary allocation'!$D$6:$D$22,0),MATCH(T$3,'[1]salary allocation'!$E$3:$J$3,0)),0)</f>
        <v>4817967</v>
      </c>
      <c r="U331" s="15">
        <f>-$K331*IFERROR(INDEX('[1]salary allocation'!$E$6:$J$22,MATCH($H331,'[1]salary allocation'!$D$6:$D$22,0),MATCH(U$3,'[1]salary allocation'!$E$3:$J$3,0)),0)</f>
        <v>4817967</v>
      </c>
      <c r="V331" s="15">
        <f>-$K331*IFERROR(INDEX('[1]salary allocation'!$E$6:$J$22,MATCH($H331,'[1]salary allocation'!$D$6:$D$22,0),MATCH(V$3,'[1]salary allocation'!$E$3:$J$3,0)),0)</f>
        <v>0</v>
      </c>
      <c r="W331" s="15">
        <f>-$K331*IFERROR(INDEX('[1]salary allocation'!$E$6:$J$22,MATCH($H331,'[1]salary allocation'!$D$6:$D$22,0),MATCH(W$3,'[1]salary allocation'!$E$3:$J$3,0)),0)</f>
        <v>9635934</v>
      </c>
      <c r="X331" s="15">
        <f>-$K331*IFERROR(INDEX('[1]salary allocation'!$E$6:$J$22,MATCH($H331,'[1]salary allocation'!$D$6:$D$22,0),MATCH(X$3,'[1]salary allocation'!$E$3:$J$3,0)),0)</f>
        <v>0</v>
      </c>
      <c r="Y331" s="15">
        <f>-$K331*IFERROR(INDEX('[1]salary allocation'!$E$6:$J$22,MATCH($H331,'[1]salary allocation'!$D$6:$D$22,0),MATCH(Y$3,'[1]salary allocation'!$E$3:$J$3,0)),0)</f>
        <v>0</v>
      </c>
      <c r="Z331" s="15">
        <f>-$K331*IFERROR(INDEX('[1]salary allocation'!$E$6:$J$22,MATCH($H331,'[1]salary allocation'!$D$6:$D$22,0),MATCH(Z$3,'[1]salary allocation'!$E$3:$J$3,0)),0)</f>
        <v>0</v>
      </c>
      <c r="AA331" s="15">
        <f>-$K331*IFERROR(INDEX('[1]salary allocation'!$E$6:$J$22,MATCH($H331,'[1]salary allocation'!$D$6:$D$22,0),MATCH(AA$3,'[1]salary allocation'!$E$3:$J$3,0)),0)</f>
        <v>0</v>
      </c>
      <c r="AB331" s="15">
        <f>-$K331*IFERROR(INDEX('[1]salary allocation'!$E$6:$J$22,MATCH($H331,'[1]salary allocation'!$D$6:$D$22,0),MATCH(AB$3,'[1]salary allocation'!$E$3:$J$3,0)),0)</f>
        <v>0</v>
      </c>
      <c r="AC331" s="18">
        <f>-$K331*IFERROR(INDEX('[1]salary allocation'!$E$6:$J$22,MATCH($H331,'[1]salary allocation'!$D$6:$D$22,0),MATCH(AC$3,'[1]salary allocation'!$E$3:$J$3,0)),0)</f>
        <v>0</v>
      </c>
      <c r="AD331" s="17"/>
      <c r="AE331" s="16"/>
      <c r="AF331" s="15"/>
      <c r="AG331" s="15">
        <f>-K331</f>
        <v>24089835</v>
      </c>
      <c r="AH331" s="2">
        <f>K331+SUM(O331:AC331)</f>
        <v>0</v>
      </c>
      <c r="AI331" s="2">
        <f>K331+SUM(AF331:AG331)</f>
        <v>0</v>
      </c>
    </row>
    <row r="332" spans="1:35" ht="17" x14ac:dyDescent="0.2">
      <c r="A332" s="59" t="s">
        <v>49</v>
      </c>
      <c r="B332" s="58" t="s">
        <v>523</v>
      </c>
      <c r="H332" s="65" t="s">
        <v>49</v>
      </c>
      <c r="I332" s="67" t="s">
        <v>561</v>
      </c>
      <c r="K332" s="47">
        <v>-26350172</v>
      </c>
      <c r="L332" s="46">
        <v>32025</v>
      </c>
      <c r="M332" s="49" t="s">
        <v>181</v>
      </c>
      <c r="N332" s="11" t="str">
        <f>M332</f>
        <v>VNMOET</v>
      </c>
      <c r="O332" s="15">
        <f>-$K332*IFERROR(INDEX('[1]salary allocation'!$E$6:$J$22,MATCH($H332,'[1]salary allocation'!$D$6:$D$22,0),MATCH(O$3,'[1]salary allocation'!$E$3:$J$3,0)),0)</f>
        <v>0</v>
      </c>
      <c r="P332" s="15">
        <f>-$K332*IFERROR(INDEX('[1]salary allocation'!$E$6:$J$22,MATCH($H332,'[1]salary allocation'!$D$6:$D$22,0),MATCH(P$3,'[1]salary allocation'!$E$3:$J$3,0)),0)</f>
        <v>0</v>
      </c>
      <c r="Q332" s="15">
        <f>-$K332*IFERROR(INDEX('[1]salary allocation'!$E$6:$J$22,MATCH($H332,'[1]salary allocation'!$D$6:$D$22,0),MATCH(Q$3,'[1]salary allocation'!$E$3:$J$3,0)),0)</f>
        <v>0</v>
      </c>
      <c r="R332" s="15">
        <f>-$K332*IFERROR(INDEX('[1]salary allocation'!$E$6:$J$22,MATCH($H332,'[1]salary allocation'!$D$6:$D$22,0),MATCH(R$3,'[1]salary allocation'!$E$3:$J$3,0)),0)</f>
        <v>0</v>
      </c>
      <c r="S332" s="15">
        <f>-$K332*IFERROR(INDEX('[1]salary allocation'!$E$6:$J$22,MATCH($H332,'[1]salary allocation'!$D$6:$D$22,0),MATCH(S$3,'[1]salary allocation'!$E$3:$J$3,0)),0)</f>
        <v>5270034.4000000004</v>
      </c>
      <c r="T332" s="15">
        <f>-$K332*IFERROR(INDEX('[1]salary allocation'!$E$6:$J$22,MATCH($H332,'[1]salary allocation'!$D$6:$D$22,0),MATCH(T$3,'[1]salary allocation'!$E$3:$J$3,0)),0)</f>
        <v>5270034.4000000004</v>
      </c>
      <c r="U332" s="15">
        <f>-$K332*IFERROR(INDEX('[1]salary allocation'!$E$6:$J$22,MATCH($H332,'[1]salary allocation'!$D$6:$D$22,0),MATCH(U$3,'[1]salary allocation'!$E$3:$J$3,0)),0)</f>
        <v>5270034.4000000004</v>
      </c>
      <c r="V332" s="15">
        <f>-$K332*IFERROR(INDEX('[1]salary allocation'!$E$6:$J$22,MATCH($H332,'[1]salary allocation'!$D$6:$D$22,0),MATCH(V$3,'[1]salary allocation'!$E$3:$J$3,0)),0)</f>
        <v>0</v>
      </c>
      <c r="W332" s="15">
        <f>-$K332*IFERROR(INDEX('[1]salary allocation'!$E$6:$J$22,MATCH($H332,'[1]salary allocation'!$D$6:$D$22,0),MATCH(W$3,'[1]salary allocation'!$E$3:$J$3,0)),0)</f>
        <v>10540068.800000001</v>
      </c>
      <c r="X332" s="15">
        <f>-$K332*IFERROR(INDEX('[1]salary allocation'!$E$6:$J$22,MATCH($H332,'[1]salary allocation'!$D$6:$D$22,0),MATCH(X$3,'[1]salary allocation'!$E$3:$J$3,0)),0)</f>
        <v>0</v>
      </c>
      <c r="Y332" s="15">
        <f>-$K332*IFERROR(INDEX('[1]salary allocation'!$E$6:$J$22,MATCH($H332,'[1]salary allocation'!$D$6:$D$22,0),MATCH(Y$3,'[1]salary allocation'!$E$3:$J$3,0)),0)</f>
        <v>0</v>
      </c>
      <c r="Z332" s="15">
        <f>-$K332*IFERROR(INDEX('[1]salary allocation'!$E$6:$J$22,MATCH($H332,'[1]salary allocation'!$D$6:$D$22,0),MATCH(Z$3,'[1]salary allocation'!$E$3:$J$3,0)),0)</f>
        <v>0</v>
      </c>
      <c r="AA332" s="15">
        <f>-$K332*IFERROR(INDEX('[1]salary allocation'!$E$6:$J$22,MATCH($H332,'[1]salary allocation'!$D$6:$D$22,0),MATCH(AA$3,'[1]salary allocation'!$E$3:$J$3,0)),0)</f>
        <v>0</v>
      </c>
      <c r="AB332" s="15">
        <f>-$K332*IFERROR(INDEX('[1]salary allocation'!$E$6:$J$22,MATCH($H332,'[1]salary allocation'!$D$6:$D$22,0),MATCH(AB$3,'[1]salary allocation'!$E$3:$J$3,0)),0)</f>
        <v>0</v>
      </c>
      <c r="AC332" s="18">
        <f>-$K332*IFERROR(INDEX('[1]salary allocation'!$E$6:$J$22,MATCH($H332,'[1]salary allocation'!$D$6:$D$22,0),MATCH(AC$3,'[1]salary allocation'!$E$3:$J$3,0)),0)</f>
        <v>0</v>
      </c>
      <c r="AD332" s="17"/>
      <c r="AE332" s="16"/>
      <c r="AF332" s="15"/>
      <c r="AG332" s="15">
        <f>-K332</f>
        <v>26350172</v>
      </c>
      <c r="AH332" s="2">
        <f>K332+SUM(O332:AC332)</f>
        <v>0</v>
      </c>
      <c r="AI332" s="2">
        <f>K332+SUM(AF332:AG332)</f>
        <v>0</v>
      </c>
    </row>
    <row r="333" spans="1:35" ht="17" x14ac:dyDescent="0.2">
      <c r="A333" s="59" t="s">
        <v>49</v>
      </c>
      <c r="B333" s="53" t="s">
        <v>519</v>
      </c>
      <c r="H333" s="52" t="s">
        <v>49</v>
      </c>
      <c r="I333" s="52" t="s">
        <v>560</v>
      </c>
      <c r="K333" s="13">
        <v>-23496532</v>
      </c>
      <c r="L333" s="46">
        <v>42025</v>
      </c>
      <c r="M333" s="11" t="s">
        <v>181</v>
      </c>
      <c r="N333" s="11" t="str">
        <f>M333</f>
        <v>VNMOET</v>
      </c>
      <c r="O333" s="15">
        <f>-$K333*IFERROR(INDEX('[1]salary allocation'!$E$6:$J$22,MATCH($H333,'[1]salary allocation'!$D$6:$D$22,0),MATCH(O$3,'[1]salary allocation'!$E$3:$J$3,0)),0)</f>
        <v>0</v>
      </c>
      <c r="P333" s="15">
        <f>-$K333*IFERROR(INDEX('[1]salary allocation'!$E$6:$J$22,MATCH($H333,'[1]salary allocation'!$D$6:$D$22,0),MATCH(P$3,'[1]salary allocation'!$E$3:$J$3,0)),0)</f>
        <v>0</v>
      </c>
      <c r="Q333" s="15">
        <f>-$K333*IFERROR(INDEX('[1]salary allocation'!$E$6:$J$22,MATCH($H333,'[1]salary allocation'!$D$6:$D$22,0),MATCH(Q$3,'[1]salary allocation'!$E$3:$J$3,0)),0)</f>
        <v>0</v>
      </c>
      <c r="R333" s="15">
        <f>-$K333*IFERROR(INDEX('[1]salary allocation'!$E$6:$J$22,MATCH($H333,'[1]salary allocation'!$D$6:$D$22,0),MATCH(R$3,'[1]salary allocation'!$E$3:$J$3,0)),0)</f>
        <v>0</v>
      </c>
      <c r="S333" s="15">
        <f>-$K333*IFERROR(INDEX('[1]salary allocation'!$E$6:$J$22,MATCH($H333,'[1]salary allocation'!$D$6:$D$22,0),MATCH(S$3,'[1]salary allocation'!$E$3:$J$3,0)),0)</f>
        <v>4699306.4000000004</v>
      </c>
      <c r="T333" s="15">
        <f>-$K333*IFERROR(INDEX('[1]salary allocation'!$E$6:$J$22,MATCH($H333,'[1]salary allocation'!$D$6:$D$22,0),MATCH(T$3,'[1]salary allocation'!$E$3:$J$3,0)),0)</f>
        <v>4699306.4000000004</v>
      </c>
      <c r="U333" s="15">
        <f>-$K333*IFERROR(INDEX('[1]salary allocation'!$E$6:$J$22,MATCH($H333,'[1]salary allocation'!$D$6:$D$22,0),MATCH(U$3,'[1]salary allocation'!$E$3:$J$3,0)),0)</f>
        <v>4699306.4000000004</v>
      </c>
      <c r="V333" s="15">
        <f>-$K333*IFERROR(INDEX('[1]salary allocation'!$E$6:$J$22,MATCH($H333,'[1]salary allocation'!$D$6:$D$22,0),MATCH(V$3,'[1]salary allocation'!$E$3:$J$3,0)),0)</f>
        <v>0</v>
      </c>
      <c r="W333" s="15">
        <f>-$K333*IFERROR(INDEX('[1]salary allocation'!$E$6:$J$22,MATCH($H333,'[1]salary allocation'!$D$6:$D$22,0),MATCH(W$3,'[1]salary allocation'!$E$3:$J$3,0)),0)</f>
        <v>9398612.8000000007</v>
      </c>
      <c r="X333" s="15">
        <f>-$K333*IFERROR(INDEX('[1]salary allocation'!$E$6:$J$22,MATCH($H333,'[1]salary allocation'!$D$6:$D$22,0),MATCH(X$3,'[1]salary allocation'!$E$3:$J$3,0)),0)</f>
        <v>0</v>
      </c>
      <c r="Y333" s="15">
        <f>-$K333*IFERROR(INDEX('[1]salary allocation'!$E$6:$J$22,MATCH($H333,'[1]salary allocation'!$D$6:$D$22,0),MATCH(Y$3,'[1]salary allocation'!$E$3:$J$3,0)),0)</f>
        <v>0</v>
      </c>
      <c r="Z333" s="15">
        <f>-$K333*IFERROR(INDEX('[1]salary allocation'!$E$6:$J$22,MATCH($H333,'[1]salary allocation'!$D$6:$D$22,0),MATCH(Z$3,'[1]salary allocation'!$E$3:$J$3,0)),0)</f>
        <v>0</v>
      </c>
      <c r="AA333" s="15">
        <f>-$K333*IFERROR(INDEX('[1]salary allocation'!$E$6:$J$22,MATCH($H333,'[1]salary allocation'!$D$6:$D$22,0),MATCH(AA$3,'[1]salary allocation'!$E$3:$J$3,0)),0)</f>
        <v>0</v>
      </c>
      <c r="AB333" s="15">
        <f>-$K333*IFERROR(INDEX('[1]salary allocation'!$E$6:$J$22,MATCH($H333,'[1]salary allocation'!$D$6:$D$22,0),MATCH(AB$3,'[1]salary allocation'!$E$3:$J$3,0)),0)</f>
        <v>0</v>
      </c>
      <c r="AC333" s="18">
        <f>-$K333*IFERROR(INDEX('[1]salary allocation'!$E$6:$J$22,MATCH($H333,'[1]salary allocation'!$D$6:$D$22,0),MATCH(AC$3,'[1]salary allocation'!$E$3:$J$3,0)),0)</f>
        <v>0</v>
      </c>
      <c r="AD333" s="17"/>
      <c r="AE333" s="16"/>
      <c r="AF333" s="15"/>
      <c r="AG333" s="15">
        <f>-K333</f>
        <v>23496532</v>
      </c>
      <c r="AH333" s="2">
        <f>K333+SUM(O333:AC333)</f>
        <v>0</v>
      </c>
      <c r="AI333" s="2">
        <f>K333+SUM(AF333:AG333)</f>
        <v>0</v>
      </c>
    </row>
    <row r="334" spans="1:35" ht="17" x14ac:dyDescent="0.2">
      <c r="A334" s="59" t="s">
        <v>49</v>
      </c>
      <c r="B334" s="49" t="s">
        <v>515</v>
      </c>
      <c r="H334" s="48" t="s">
        <v>49</v>
      </c>
      <c r="I334" s="48" t="s">
        <v>559</v>
      </c>
      <c r="K334" s="47">
        <v>-23699958</v>
      </c>
      <c r="L334" s="46">
        <v>52025</v>
      </c>
      <c r="M334" s="11" t="s">
        <v>181</v>
      </c>
      <c r="N334" s="11" t="str">
        <f>M334</f>
        <v>VNMOET</v>
      </c>
      <c r="O334" s="15">
        <f>-$K334*IFERROR(INDEX('[1]salary allocation'!$E$6:$J$22,MATCH($H334,'[1]salary allocation'!$D$6:$D$22,0),MATCH(O$3,'[1]salary allocation'!$E$3:$J$3,0)),0)</f>
        <v>0</v>
      </c>
      <c r="P334" s="15">
        <f>-$K334*IFERROR(INDEX('[1]salary allocation'!$E$6:$J$22,MATCH($H334,'[1]salary allocation'!$D$6:$D$22,0),MATCH(P$3,'[1]salary allocation'!$E$3:$J$3,0)),0)</f>
        <v>0</v>
      </c>
      <c r="Q334" s="15">
        <f>-$K334*IFERROR(INDEX('[1]salary allocation'!$E$6:$J$22,MATCH($H334,'[1]salary allocation'!$D$6:$D$22,0),MATCH(Q$3,'[1]salary allocation'!$E$3:$J$3,0)),0)</f>
        <v>0</v>
      </c>
      <c r="R334" s="15">
        <f>-$K334*IFERROR(INDEX('[1]salary allocation'!$E$6:$J$22,MATCH($H334,'[1]salary allocation'!$D$6:$D$22,0),MATCH(R$3,'[1]salary allocation'!$E$3:$J$3,0)),0)</f>
        <v>0</v>
      </c>
      <c r="S334" s="15">
        <f>-$K334*IFERROR(INDEX('[1]salary allocation'!$E$6:$J$22,MATCH($H334,'[1]salary allocation'!$D$6:$D$22,0),MATCH(S$3,'[1]salary allocation'!$E$3:$J$3,0)),0)</f>
        <v>4739991.6000000006</v>
      </c>
      <c r="T334" s="15">
        <f>-$K334*IFERROR(INDEX('[1]salary allocation'!$E$6:$J$22,MATCH($H334,'[1]salary allocation'!$D$6:$D$22,0),MATCH(T$3,'[1]salary allocation'!$E$3:$J$3,0)),0)</f>
        <v>4739991.6000000006</v>
      </c>
      <c r="U334" s="15">
        <f>-$K334*IFERROR(INDEX('[1]salary allocation'!$E$6:$J$22,MATCH($H334,'[1]salary allocation'!$D$6:$D$22,0),MATCH(U$3,'[1]salary allocation'!$E$3:$J$3,0)),0)</f>
        <v>4739991.6000000006</v>
      </c>
      <c r="V334" s="15">
        <f>-$K334*IFERROR(INDEX('[1]salary allocation'!$E$6:$J$22,MATCH($H334,'[1]salary allocation'!$D$6:$D$22,0),MATCH(V$3,'[1]salary allocation'!$E$3:$J$3,0)),0)</f>
        <v>0</v>
      </c>
      <c r="W334" s="15">
        <f>-$K334*IFERROR(INDEX('[1]salary allocation'!$E$6:$J$22,MATCH($H334,'[1]salary allocation'!$D$6:$D$22,0),MATCH(W$3,'[1]salary allocation'!$E$3:$J$3,0)),0)</f>
        <v>9479983.2000000011</v>
      </c>
      <c r="X334" s="15">
        <f>-$K334*IFERROR(INDEX('[1]salary allocation'!$E$6:$J$22,MATCH($H334,'[1]salary allocation'!$D$6:$D$22,0),MATCH(X$3,'[1]salary allocation'!$E$3:$J$3,0)),0)</f>
        <v>0</v>
      </c>
      <c r="Y334" s="15">
        <f>-$K334*IFERROR(INDEX('[1]salary allocation'!$E$6:$J$22,MATCH($H334,'[1]salary allocation'!$D$6:$D$22,0),MATCH(Y$3,'[1]salary allocation'!$E$3:$J$3,0)),0)</f>
        <v>0</v>
      </c>
      <c r="Z334" s="15">
        <f>-$K334*IFERROR(INDEX('[1]salary allocation'!$E$6:$J$22,MATCH($H334,'[1]salary allocation'!$D$6:$D$22,0),MATCH(Z$3,'[1]salary allocation'!$E$3:$J$3,0)),0)</f>
        <v>0</v>
      </c>
      <c r="AA334" s="15">
        <f>-$K334*IFERROR(INDEX('[1]salary allocation'!$E$6:$J$22,MATCH($H334,'[1]salary allocation'!$D$6:$D$22,0),MATCH(AA$3,'[1]salary allocation'!$E$3:$J$3,0)),0)</f>
        <v>0</v>
      </c>
      <c r="AB334" s="15">
        <f>-$K334*IFERROR(INDEX('[1]salary allocation'!$E$6:$J$22,MATCH($H334,'[1]salary allocation'!$D$6:$D$22,0),MATCH(AB$3,'[1]salary allocation'!$E$3:$J$3,0)),0)</f>
        <v>0</v>
      </c>
      <c r="AC334" s="18">
        <f>-$K334*IFERROR(INDEX('[1]salary allocation'!$E$6:$J$22,MATCH($H334,'[1]salary allocation'!$D$6:$D$22,0),MATCH(AC$3,'[1]salary allocation'!$E$3:$J$3,0)),0)</f>
        <v>0</v>
      </c>
      <c r="AD334" s="17"/>
      <c r="AE334" s="16"/>
      <c r="AF334" s="15"/>
      <c r="AG334" s="15">
        <f>-K334</f>
        <v>23699958</v>
      </c>
      <c r="AH334" s="2">
        <f>K334+SUM(O334:AC334)</f>
        <v>0</v>
      </c>
      <c r="AI334" s="2">
        <f>K334+SUM(AF334:AG334)</f>
        <v>0</v>
      </c>
    </row>
    <row r="335" spans="1:35" ht="17" x14ac:dyDescent="0.2">
      <c r="A335" s="59" t="s">
        <v>45</v>
      </c>
      <c r="B335" s="64" t="s">
        <v>531</v>
      </c>
      <c r="H335" s="59" t="s">
        <v>45</v>
      </c>
      <c r="I335" s="59" t="s">
        <v>558</v>
      </c>
      <c r="K335" s="62">
        <v>-16644407</v>
      </c>
      <c r="L335" s="46">
        <v>12025</v>
      </c>
      <c r="M335" s="61" t="s">
        <v>490</v>
      </c>
      <c r="N335" s="11" t="str">
        <f>M335</f>
        <v>VNHBC</v>
      </c>
      <c r="O335" s="15">
        <f>-$K335*IFERROR(INDEX('[1]salary allocation'!$E$6:$J$22,MATCH($H335,'[1]salary allocation'!$D$6:$D$22,0),MATCH(O$3,'[1]salary allocation'!$E$3:$J$3,0)),0)</f>
        <v>0</v>
      </c>
      <c r="P335" s="15">
        <f>-$K335*IFERROR(INDEX('[1]salary allocation'!$E$6:$J$22,MATCH($H335,'[1]salary allocation'!$D$6:$D$22,0),MATCH(P$3,'[1]salary allocation'!$E$3:$J$3,0)),0)</f>
        <v>0</v>
      </c>
      <c r="Q335" s="15">
        <f>-$K335*IFERROR(INDEX('[1]salary allocation'!$E$6:$J$22,MATCH($H335,'[1]salary allocation'!$D$6:$D$22,0),MATCH(Q$3,'[1]salary allocation'!$E$3:$J$3,0)),0)</f>
        <v>0</v>
      </c>
      <c r="R335" s="15">
        <f>-$K335*IFERROR(INDEX('[1]salary allocation'!$E$6:$J$22,MATCH($H335,'[1]salary allocation'!$D$6:$D$22,0),MATCH(R$3,'[1]salary allocation'!$E$3:$J$3,0)),0)</f>
        <v>0</v>
      </c>
      <c r="S335" s="15">
        <f>-$K335*IFERROR(INDEX('[1]salary allocation'!$E$6:$J$22,MATCH($H335,'[1]salary allocation'!$D$6:$D$22,0),MATCH(S$3,'[1]salary allocation'!$E$3:$J$3,0)),0)</f>
        <v>3328881.4000000004</v>
      </c>
      <c r="T335" s="15">
        <f>-$K335*IFERROR(INDEX('[1]salary allocation'!$E$6:$J$22,MATCH($H335,'[1]salary allocation'!$D$6:$D$22,0),MATCH(T$3,'[1]salary allocation'!$E$3:$J$3,0)),0)</f>
        <v>3328881.4000000004</v>
      </c>
      <c r="U335" s="15">
        <f>-$K335*IFERROR(INDEX('[1]salary allocation'!$E$6:$J$22,MATCH($H335,'[1]salary allocation'!$D$6:$D$22,0),MATCH(U$3,'[1]salary allocation'!$E$3:$J$3,0)),0)</f>
        <v>3328881.4000000004</v>
      </c>
      <c r="V335" s="15">
        <f>-$K335*IFERROR(INDEX('[1]salary allocation'!$E$6:$J$22,MATCH($H335,'[1]salary allocation'!$D$6:$D$22,0),MATCH(V$3,'[1]salary allocation'!$E$3:$J$3,0)),0)</f>
        <v>0</v>
      </c>
      <c r="W335" s="15">
        <f>-$K335*IFERROR(INDEX('[1]salary allocation'!$E$6:$J$22,MATCH($H335,'[1]salary allocation'!$D$6:$D$22,0),MATCH(W$3,'[1]salary allocation'!$E$3:$J$3,0)),0)</f>
        <v>6657762.8000000007</v>
      </c>
      <c r="X335" s="15">
        <f>-$K335*IFERROR(INDEX('[1]salary allocation'!$E$6:$J$22,MATCH($H335,'[1]salary allocation'!$D$6:$D$22,0),MATCH(X$3,'[1]salary allocation'!$E$3:$J$3,0)),0)</f>
        <v>0</v>
      </c>
      <c r="Y335" s="15">
        <f>-$K335*IFERROR(INDEX('[1]salary allocation'!$E$6:$J$22,MATCH($H335,'[1]salary allocation'!$D$6:$D$22,0),MATCH(Y$3,'[1]salary allocation'!$E$3:$J$3,0)),0)</f>
        <v>0</v>
      </c>
      <c r="Z335" s="15">
        <f>-$K335*IFERROR(INDEX('[1]salary allocation'!$E$6:$J$22,MATCH($H335,'[1]salary allocation'!$D$6:$D$22,0),MATCH(Z$3,'[1]salary allocation'!$E$3:$J$3,0)),0)</f>
        <v>0</v>
      </c>
      <c r="AA335" s="15">
        <f>-$K335*IFERROR(INDEX('[1]salary allocation'!$E$6:$J$22,MATCH($H335,'[1]salary allocation'!$D$6:$D$22,0),MATCH(AA$3,'[1]salary allocation'!$E$3:$J$3,0)),0)</f>
        <v>0</v>
      </c>
      <c r="AB335" s="15">
        <f>-$K335*IFERROR(INDEX('[1]salary allocation'!$E$6:$J$22,MATCH($H335,'[1]salary allocation'!$D$6:$D$22,0),MATCH(AB$3,'[1]salary allocation'!$E$3:$J$3,0)),0)</f>
        <v>0</v>
      </c>
      <c r="AC335" s="18">
        <f>-$K335*IFERROR(INDEX('[1]salary allocation'!$E$6:$J$22,MATCH($H335,'[1]salary allocation'!$D$6:$D$22,0),MATCH(AC$3,'[1]salary allocation'!$E$3:$J$3,0)),0)</f>
        <v>0</v>
      </c>
      <c r="AD335" s="17"/>
      <c r="AE335" s="16"/>
      <c r="AF335" s="15"/>
      <c r="AG335" s="15">
        <f>-K335</f>
        <v>16644407</v>
      </c>
      <c r="AH335" s="2">
        <f>K335+SUM(O335:AC335)</f>
        <v>0</v>
      </c>
      <c r="AI335" s="2">
        <f>K335+SUM(AF335:AG335)</f>
        <v>0</v>
      </c>
    </row>
    <row r="336" spans="1:35" ht="17" x14ac:dyDescent="0.2">
      <c r="A336" s="59" t="s">
        <v>45</v>
      </c>
      <c r="B336" s="58" t="s">
        <v>527</v>
      </c>
      <c r="H336" s="57" t="s">
        <v>45</v>
      </c>
      <c r="I336" s="56" t="s">
        <v>557</v>
      </c>
      <c r="K336" s="47">
        <v>-18231720</v>
      </c>
      <c r="L336" s="46">
        <v>22025</v>
      </c>
      <c r="M336" s="49" t="s">
        <v>490</v>
      </c>
      <c r="N336" s="11" t="str">
        <f>M336</f>
        <v>VNHBC</v>
      </c>
      <c r="O336" s="15">
        <f>-$K336*IFERROR(INDEX('[1]salary allocation'!$E$6:$J$22,MATCH($H336,'[1]salary allocation'!$D$6:$D$22,0),MATCH(O$3,'[1]salary allocation'!$E$3:$J$3,0)),0)</f>
        <v>0</v>
      </c>
      <c r="P336" s="15">
        <f>-$K336*IFERROR(INDEX('[1]salary allocation'!$E$6:$J$22,MATCH($H336,'[1]salary allocation'!$D$6:$D$22,0),MATCH(P$3,'[1]salary allocation'!$E$3:$J$3,0)),0)</f>
        <v>0</v>
      </c>
      <c r="Q336" s="15">
        <f>-$K336*IFERROR(INDEX('[1]salary allocation'!$E$6:$J$22,MATCH($H336,'[1]salary allocation'!$D$6:$D$22,0),MATCH(Q$3,'[1]salary allocation'!$E$3:$J$3,0)),0)</f>
        <v>0</v>
      </c>
      <c r="R336" s="15">
        <f>-$K336*IFERROR(INDEX('[1]salary allocation'!$E$6:$J$22,MATCH($H336,'[1]salary allocation'!$D$6:$D$22,0),MATCH(R$3,'[1]salary allocation'!$E$3:$J$3,0)),0)</f>
        <v>0</v>
      </c>
      <c r="S336" s="15">
        <f>-$K336*IFERROR(INDEX('[1]salary allocation'!$E$6:$J$22,MATCH($H336,'[1]salary allocation'!$D$6:$D$22,0),MATCH(S$3,'[1]salary allocation'!$E$3:$J$3,0)),0)</f>
        <v>3646344</v>
      </c>
      <c r="T336" s="15">
        <f>-$K336*IFERROR(INDEX('[1]salary allocation'!$E$6:$J$22,MATCH($H336,'[1]salary allocation'!$D$6:$D$22,0),MATCH(T$3,'[1]salary allocation'!$E$3:$J$3,0)),0)</f>
        <v>3646344</v>
      </c>
      <c r="U336" s="15">
        <f>-$K336*IFERROR(INDEX('[1]salary allocation'!$E$6:$J$22,MATCH($H336,'[1]salary allocation'!$D$6:$D$22,0),MATCH(U$3,'[1]salary allocation'!$E$3:$J$3,0)),0)</f>
        <v>3646344</v>
      </c>
      <c r="V336" s="15">
        <f>-$K336*IFERROR(INDEX('[1]salary allocation'!$E$6:$J$22,MATCH($H336,'[1]salary allocation'!$D$6:$D$22,0),MATCH(V$3,'[1]salary allocation'!$E$3:$J$3,0)),0)</f>
        <v>0</v>
      </c>
      <c r="W336" s="15">
        <f>-$K336*IFERROR(INDEX('[1]salary allocation'!$E$6:$J$22,MATCH($H336,'[1]salary allocation'!$D$6:$D$22,0),MATCH(W$3,'[1]salary allocation'!$E$3:$J$3,0)),0)</f>
        <v>7292688</v>
      </c>
      <c r="X336" s="15">
        <f>-$K336*IFERROR(INDEX('[1]salary allocation'!$E$6:$J$22,MATCH($H336,'[1]salary allocation'!$D$6:$D$22,0),MATCH(X$3,'[1]salary allocation'!$E$3:$J$3,0)),0)</f>
        <v>0</v>
      </c>
      <c r="Y336" s="15">
        <f>-$K336*IFERROR(INDEX('[1]salary allocation'!$E$6:$J$22,MATCH($H336,'[1]salary allocation'!$D$6:$D$22,0),MATCH(Y$3,'[1]salary allocation'!$E$3:$J$3,0)),0)</f>
        <v>0</v>
      </c>
      <c r="Z336" s="15">
        <f>-$K336*IFERROR(INDEX('[1]salary allocation'!$E$6:$J$22,MATCH($H336,'[1]salary allocation'!$D$6:$D$22,0),MATCH(Z$3,'[1]salary allocation'!$E$3:$J$3,0)),0)</f>
        <v>0</v>
      </c>
      <c r="AA336" s="15">
        <f>-$K336*IFERROR(INDEX('[1]salary allocation'!$E$6:$J$22,MATCH($H336,'[1]salary allocation'!$D$6:$D$22,0),MATCH(AA$3,'[1]salary allocation'!$E$3:$J$3,0)),0)</f>
        <v>0</v>
      </c>
      <c r="AB336" s="15">
        <f>-$K336*IFERROR(INDEX('[1]salary allocation'!$E$6:$J$22,MATCH($H336,'[1]salary allocation'!$D$6:$D$22,0),MATCH(AB$3,'[1]salary allocation'!$E$3:$J$3,0)),0)</f>
        <v>0</v>
      </c>
      <c r="AC336" s="18">
        <f>-$K336*IFERROR(INDEX('[1]salary allocation'!$E$6:$J$22,MATCH($H336,'[1]salary allocation'!$D$6:$D$22,0),MATCH(AC$3,'[1]salary allocation'!$E$3:$J$3,0)),0)</f>
        <v>0</v>
      </c>
      <c r="AD336" s="17"/>
      <c r="AE336" s="16"/>
      <c r="AF336" s="15"/>
      <c r="AG336" s="15">
        <f>-K336</f>
        <v>18231720</v>
      </c>
      <c r="AH336" s="2">
        <f>K336+SUM(O336:AC336)</f>
        <v>0</v>
      </c>
      <c r="AI336" s="2">
        <f>K336+SUM(AF336:AG336)</f>
        <v>0</v>
      </c>
    </row>
    <row r="337" spans="1:35" ht="17" x14ac:dyDescent="0.2">
      <c r="A337" s="59" t="s">
        <v>45</v>
      </c>
      <c r="B337" s="55" t="s">
        <v>523</v>
      </c>
      <c r="H337" s="52" t="s">
        <v>45</v>
      </c>
      <c r="I337" s="54" t="s">
        <v>556</v>
      </c>
      <c r="K337" s="47">
        <v>-19269573</v>
      </c>
      <c r="L337" s="46">
        <v>32025</v>
      </c>
      <c r="M337" s="49" t="s">
        <v>490</v>
      </c>
      <c r="N337" s="11" t="str">
        <f>M337</f>
        <v>VNHBC</v>
      </c>
      <c r="O337" s="15">
        <f>-$K337*IFERROR(INDEX('[1]salary allocation'!$E$6:$J$22,MATCH($H337,'[1]salary allocation'!$D$6:$D$22,0),MATCH(O$3,'[1]salary allocation'!$E$3:$J$3,0)),0)</f>
        <v>0</v>
      </c>
      <c r="P337" s="15">
        <f>-$K337*IFERROR(INDEX('[1]salary allocation'!$E$6:$J$22,MATCH($H337,'[1]salary allocation'!$D$6:$D$22,0),MATCH(P$3,'[1]salary allocation'!$E$3:$J$3,0)),0)</f>
        <v>0</v>
      </c>
      <c r="Q337" s="15">
        <f>-$K337*IFERROR(INDEX('[1]salary allocation'!$E$6:$J$22,MATCH($H337,'[1]salary allocation'!$D$6:$D$22,0),MATCH(Q$3,'[1]salary allocation'!$E$3:$J$3,0)),0)</f>
        <v>0</v>
      </c>
      <c r="R337" s="15">
        <f>-$K337*IFERROR(INDEX('[1]salary allocation'!$E$6:$J$22,MATCH($H337,'[1]salary allocation'!$D$6:$D$22,0),MATCH(R$3,'[1]salary allocation'!$E$3:$J$3,0)),0)</f>
        <v>0</v>
      </c>
      <c r="S337" s="15">
        <f>-$K337*IFERROR(INDEX('[1]salary allocation'!$E$6:$J$22,MATCH($H337,'[1]salary allocation'!$D$6:$D$22,0),MATCH(S$3,'[1]salary allocation'!$E$3:$J$3,0)),0)</f>
        <v>3853914.6</v>
      </c>
      <c r="T337" s="15">
        <f>-$K337*IFERROR(INDEX('[1]salary allocation'!$E$6:$J$22,MATCH($H337,'[1]salary allocation'!$D$6:$D$22,0),MATCH(T$3,'[1]salary allocation'!$E$3:$J$3,0)),0)</f>
        <v>3853914.6</v>
      </c>
      <c r="U337" s="15">
        <f>-$K337*IFERROR(INDEX('[1]salary allocation'!$E$6:$J$22,MATCH($H337,'[1]salary allocation'!$D$6:$D$22,0),MATCH(U$3,'[1]salary allocation'!$E$3:$J$3,0)),0)</f>
        <v>3853914.6</v>
      </c>
      <c r="V337" s="15">
        <f>-$K337*IFERROR(INDEX('[1]salary allocation'!$E$6:$J$22,MATCH($H337,'[1]salary allocation'!$D$6:$D$22,0),MATCH(V$3,'[1]salary allocation'!$E$3:$J$3,0)),0)</f>
        <v>0</v>
      </c>
      <c r="W337" s="15">
        <f>-$K337*IFERROR(INDEX('[1]salary allocation'!$E$6:$J$22,MATCH($H337,'[1]salary allocation'!$D$6:$D$22,0),MATCH(W$3,'[1]salary allocation'!$E$3:$J$3,0)),0)</f>
        <v>7707829.2000000002</v>
      </c>
      <c r="X337" s="15">
        <f>-$K337*IFERROR(INDEX('[1]salary allocation'!$E$6:$J$22,MATCH($H337,'[1]salary allocation'!$D$6:$D$22,0),MATCH(X$3,'[1]salary allocation'!$E$3:$J$3,0)),0)</f>
        <v>0</v>
      </c>
      <c r="Y337" s="15">
        <f>-$K337*IFERROR(INDEX('[1]salary allocation'!$E$6:$J$22,MATCH($H337,'[1]salary allocation'!$D$6:$D$22,0),MATCH(Y$3,'[1]salary allocation'!$E$3:$J$3,0)),0)</f>
        <v>0</v>
      </c>
      <c r="Z337" s="15">
        <f>-$K337*IFERROR(INDEX('[1]salary allocation'!$E$6:$J$22,MATCH($H337,'[1]salary allocation'!$D$6:$D$22,0),MATCH(Z$3,'[1]salary allocation'!$E$3:$J$3,0)),0)</f>
        <v>0</v>
      </c>
      <c r="AA337" s="15">
        <f>-$K337*IFERROR(INDEX('[1]salary allocation'!$E$6:$J$22,MATCH($H337,'[1]salary allocation'!$D$6:$D$22,0),MATCH(AA$3,'[1]salary allocation'!$E$3:$J$3,0)),0)</f>
        <v>0</v>
      </c>
      <c r="AB337" s="15">
        <f>-$K337*IFERROR(INDEX('[1]salary allocation'!$E$6:$J$22,MATCH($H337,'[1]salary allocation'!$D$6:$D$22,0),MATCH(AB$3,'[1]salary allocation'!$E$3:$J$3,0)),0)</f>
        <v>0</v>
      </c>
      <c r="AC337" s="18">
        <f>-$K337*IFERROR(INDEX('[1]salary allocation'!$E$6:$J$22,MATCH($H337,'[1]salary allocation'!$D$6:$D$22,0),MATCH(AC$3,'[1]salary allocation'!$E$3:$J$3,0)),0)</f>
        <v>0</v>
      </c>
      <c r="AD337" s="17"/>
      <c r="AE337" s="16"/>
      <c r="AF337" s="15"/>
      <c r="AG337" s="15">
        <f>-K337</f>
        <v>19269573</v>
      </c>
      <c r="AH337" s="2">
        <f>K337+SUM(O337:AC337)</f>
        <v>0</v>
      </c>
      <c r="AI337" s="2">
        <f>K337+SUM(AF337:AG337)</f>
        <v>0</v>
      </c>
    </row>
    <row r="338" spans="1:35" ht="17" x14ac:dyDescent="0.2">
      <c r="A338" s="59" t="s">
        <v>45</v>
      </c>
      <c r="B338" s="53" t="s">
        <v>519</v>
      </c>
      <c r="H338" s="52" t="s">
        <v>45</v>
      </c>
      <c r="I338" s="52" t="s">
        <v>555</v>
      </c>
      <c r="K338" s="13">
        <v>-17765878</v>
      </c>
      <c r="L338" s="46">
        <v>42025</v>
      </c>
      <c r="M338" s="11" t="s">
        <v>490</v>
      </c>
      <c r="N338" s="11" t="str">
        <f>M338</f>
        <v>VNHBC</v>
      </c>
      <c r="O338" s="15">
        <f>-$K338*IFERROR(INDEX('[1]salary allocation'!$E$6:$J$22,MATCH($H338,'[1]salary allocation'!$D$6:$D$22,0),MATCH(O$3,'[1]salary allocation'!$E$3:$J$3,0)),0)</f>
        <v>0</v>
      </c>
      <c r="P338" s="15">
        <f>-$K338*IFERROR(INDEX('[1]salary allocation'!$E$6:$J$22,MATCH($H338,'[1]salary allocation'!$D$6:$D$22,0),MATCH(P$3,'[1]salary allocation'!$E$3:$J$3,0)),0)</f>
        <v>0</v>
      </c>
      <c r="Q338" s="15">
        <f>-$K338*IFERROR(INDEX('[1]salary allocation'!$E$6:$J$22,MATCH($H338,'[1]salary allocation'!$D$6:$D$22,0),MATCH(Q$3,'[1]salary allocation'!$E$3:$J$3,0)),0)</f>
        <v>0</v>
      </c>
      <c r="R338" s="15">
        <f>-$K338*IFERROR(INDEX('[1]salary allocation'!$E$6:$J$22,MATCH($H338,'[1]salary allocation'!$D$6:$D$22,0),MATCH(R$3,'[1]salary allocation'!$E$3:$J$3,0)),0)</f>
        <v>0</v>
      </c>
      <c r="S338" s="15">
        <f>-$K338*IFERROR(INDEX('[1]salary allocation'!$E$6:$J$22,MATCH($H338,'[1]salary allocation'!$D$6:$D$22,0),MATCH(S$3,'[1]salary allocation'!$E$3:$J$3,0)),0)</f>
        <v>3553175.6</v>
      </c>
      <c r="T338" s="15">
        <f>-$K338*IFERROR(INDEX('[1]salary allocation'!$E$6:$J$22,MATCH($H338,'[1]salary allocation'!$D$6:$D$22,0),MATCH(T$3,'[1]salary allocation'!$E$3:$J$3,0)),0)</f>
        <v>3553175.6</v>
      </c>
      <c r="U338" s="15">
        <f>-$K338*IFERROR(INDEX('[1]salary allocation'!$E$6:$J$22,MATCH($H338,'[1]salary allocation'!$D$6:$D$22,0),MATCH(U$3,'[1]salary allocation'!$E$3:$J$3,0)),0)</f>
        <v>3553175.6</v>
      </c>
      <c r="V338" s="15">
        <f>-$K338*IFERROR(INDEX('[1]salary allocation'!$E$6:$J$22,MATCH($H338,'[1]salary allocation'!$D$6:$D$22,0),MATCH(V$3,'[1]salary allocation'!$E$3:$J$3,0)),0)</f>
        <v>0</v>
      </c>
      <c r="W338" s="15">
        <f>-$K338*IFERROR(INDEX('[1]salary allocation'!$E$6:$J$22,MATCH($H338,'[1]salary allocation'!$D$6:$D$22,0),MATCH(W$3,'[1]salary allocation'!$E$3:$J$3,0)),0)</f>
        <v>7106351.2000000002</v>
      </c>
      <c r="X338" s="15">
        <f>-$K338*IFERROR(INDEX('[1]salary allocation'!$E$6:$J$22,MATCH($H338,'[1]salary allocation'!$D$6:$D$22,0),MATCH(X$3,'[1]salary allocation'!$E$3:$J$3,0)),0)</f>
        <v>0</v>
      </c>
      <c r="Y338" s="15">
        <f>-$K338*IFERROR(INDEX('[1]salary allocation'!$E$6:$J$22,MATCH($H338,'[1]salary allocation'!$D$6:$D$22,0),MATCH(Y$3,'[1]salary allocation'!$E$3:$J$3,0)),0)</f>
        <v>0</v>
      </c>
      <c r="Z338" s="15">
        <f>-$K338*IFERROR(INDEX('[1]salary allocation'!$E$6:$J$22,MATCH($H338,'[1]salary allocation'!$D$6:$D$22,0),MATCH(Z$3,'[1]salary allocation'!$E$3:$J$3,0)),0)</f>
        <v>0</v>
      </c>
      <c r="AA338" s="15">
        <f>-$K338*IFERROR(INDEX('[1]salary allocation'!$E$6:$J$22,MATCH($H338,'[1]salary allocation'!$D$6:$D$22,0),MATCH(AA$3,'[1]salary allocation'!$E$3:$J$3,0)),0)</f>
        <v>0</v>
      </c>
      <c r="AB338" s="15">
        <f>-$K338*IFERROR(INDEX('[1]salary allocation'!$E$6:$J$22,MATCH($H338,'[1]salary allocation'!$D$6:$D$22,0),MATCH(AB$3,'[1]salary allocation'!$E$3:$J$3,0)),0)</f>
        <v>0</v>
      </c>
      <c r="AC338" s="18">
        <f>-$K338*IFERROR(INDEX('[1]salary allocation'!$E$6:$J$22,MATCH($H338,'[1]salary allocation'!$D$6:$D$22,0),MATCH(AC$3,'[1]salary allocation'!$E$3:$J$3,0)),0)</f>
        <v>0</v>
      </c>
      <c r="AD338" s="17"/>
      <c r="AE338" s="16"/>
      <c r="AF338" s="15"/>
      <c r="AG338" s="15">
        <f>-K338</f>
        <v>17765878</v>
      </c>
      <c r="AH338" s="2">
        <f>K338+SUM(O338:AC338)</f>
        <v>0</v>
      </c>
      <c r="AI338" s="2">
        <f>K338+SUM(AF338:AG338)</f>
        <v>0</v>
      </c>
    </row>
    <row r="339" spans="1:35" ht="17" x14ac:dyDescent="0.2">
      <c r="A339" s="59" t="s">
        <v>45</v>
      </c>
      <c r="B339" s="49" t="s">
        <v>515</v>
      </c>
      <c r="H339" s="48" t="s">
        <v>45</v>
      </c>
      <c r="I339" s="48" t="s">
        <v>554</v>
      </c>
      <c r="K339" s="47">
        <v>-17931259</v>
      </c>
      <c r="L339" s="46">
        <v>52025</v>
      </c>
      <c r="M339" s="11" t="s">
        <v>490</v>
      </c>
      <c r="N339" s="11" t="str">
        <f>M339</f>
        <v>VNHBC</v>
      </c>
      <c r="O339" s="15">
        <f>-$K339*IFERROR(INDEX('[1]salary allocation'!$E$6:$J$22,MATCH($H339,'[1]salary allocation'!$D$6:$D$22,0),MATCH(O$3,'[1]salary allocation'!$E$3:$J$3,0)),0)</f>
        <v>0</v>
      </c>
      <c r="P339" s="15">
        <f>-$K339*IFERROR(INDEX('[1]salary allocation'!$E$6:$J$22,MATCH($H339,'[1]salary allocation'!$D$6:$D$22,0),MATCH(P$3,'[1]salary allocation'!$E$3:$J$3,0)),0)</f>
        <v>0</v>
      </c>
      <c r="Q339" s="15">
        <f>-$K339*IFERROR(INDEX('[1]salary allocation'!$E$6:$J$22,MATCH($H339,'[1]salary allocation'!$D$6:$D$22,0),MATCH(Q$3,'[1]salary allocation'!$E$3:$J$3,0)),0)</f>
        <v>0</v>
      </c>
      <c r="R339" s="15">
        <f>-$K339*IFERROR(INDEX('[1]salary allocation'!$E$6:$J$22,MATCH($H339,'[1]salary allocation'!$D$6:$D$22,0),MATCH(R$3,'[1]salary allocation'!$E$3:$J$3,0)),0)</f>
        <v>0</v>
      </c>
      <c r="S339" s="15">
        <f>-$K339*IFERROR(INDEX('[1]salary allocation'!$E$6:$J$22,MATCH($H339,'[1]salary allocation'!$D$6:$D$22,0),MATCH(S$3,'[1]salary allocation'!$E$3:$J$3,0)),0)</f>
        <v>3586251.8000000003</v>
      </c>
      <c r="T339" s="15">
        <f>-$K339*IFERROR(INDEX('[1]salary allocation'!$E$6:$J$22,MATCH($H339,'[1]salary allocation'!$D$6:$D$22,0),MATCH(T$3,'[1]salary allocation'!$E$3:$J$3,0)),0)</f>
        <v>3586251.8000000003</v>
      </c>
      <c r="U339" s="15">
        <f>-$K339*IFERROR(INDEX('[1]salary allocation'!$E$6:$J$22,MATCH($H339,'[1]salary allocation'!$D$6:$D$22,0),MATCH(U$3,'[1]salary allocation'!$E$3:$J$3,0)),0)</f>
        <v>3586251.8000000003</v>
      </c>
      <c r="V339" s="15">
        <f>-$K339*IFERROR(INDEX('[1]salary allocation'!$E$6:$J$22,MATCH($H339,'[1]salary allocation'!$D$6:$D$22,0),MATCH(V$3,'[1]salary allocation'!$E$3:$J$3,0)),0)</f>
        <v>0</v>
      </c>
      <c r="W339" s="15">
        <f>-$K339*IFERROR(INDEX('[1]salary allocation'!$E$6:$J$22,MATCH($H339,'[1]salary allocation'!$D$6:$D$22,0),MATCH(W$3,'[1]salary allocation'!$E$3:$J$3,0)),0)</f>
        <v>7172503.6000000006</v>
      </c>
      <c r="X339" s="15">
        <f>-$K339*IFERROR(INDEX('[1]salary allocation'!$E$6:$J$22,MATCH($H339,'[1]salary allocation'!$D$6:$D$22,0),MATCH(X$3,'[1]salary allocation'!$E$3:$J$3,0)),0)</f>
        <v>0</v>
      </c>
      <c r="Y339" s="15">
        <f>-$K339*IFERROR(INDEX('[1]salary allocation'!$E$6:$J$22,MATCH($H339,'[1]salary allocation'!$D$6:$D$22,0),MATCH(Y$3,'[1]salary allocation'!$E$3:$J$3,0)),0)</f>
        <v>0</v>
      </c>
      <c r="Z339" s="15">
        <f>-$K339*IFERROR(INDEX('[1]salary allocation'!$E$6:$J$22,MATCH($H339,'[1]salary allocation'!$D$6:$D$22,0),MATCH(Z$3,'[1]salary allocation'!$E$3:$J$3,0)),0)</f>
        <v>0</v>
      </c>
      <c r="AA339" s="15">
        <f>-$K339*IFERROR(INDEX('[1]salary allocation'!$E$6:$J$22,MATCH($H339,'[1]salary allocation'!$D$6:$D$22,0),MATCH(AA$3,'[1]salary allocation'!$E$3:$J$3,0)),0)</f>
        <v>0</v>
      </c>
      <c r="AB339" s="15">
        <f>-$K339*IFERROR(INDEX('[1]salary allocation'!$E$6:$J$22,MATCH($H339,'[1]salary allocation'!$D$6:$D$22,0),MATCH(AB$3,'[1]salary allocation'!$E$3:$J$3,0)),0)</f>
        <v>0</v>
      </c>
      <c r="AC339" s="18">
        <f>-$K339*IFERROR(INDEX('[1]salary allocation'!$E$6:$J$22,MATCH($H339,'[1]salary allocation'!$D$6:$D$22,0),MATCH(AC$3,'[1]salary allocation'!$E$3:$J$3,0)),0)</f>
        <v>0</v>
      </c>
      <c r="AD339" s="17"/>
      <c r="AE339" s="16"/>
      <c r="AF339" s="15"/>
      <c r="AG339" s="15">
        <f>-K339</f>
        <v>17931259</v>
      </c>
      <c r="AH339" s="2">
        <f>K339+SUM(O339:AC339)</f>
        <v>0</v>
      </c>
      <c r="AI339" s="2">
        <f>K339+SUM(AF339:AG339)</f>
        <v>0</v>
      </c>
    </row>
    <row r="340" spans="1:35" ht="34" x14ac:dyDescent="0.2">
      <c r="A340" s="59" t="s">
        <v>57</v>
      </c>
      <c r="B340" s="64" t="s">
        <v>531</v>
      </c>
      <c r="H340" s="59" t="s">
        <v>57</v>
      </c>
      <c r="I340" s="59" t="s">
        <v>553</v>
      </c>
      <c r="K340" s="62">
        <v>-51342164</v>
      </c>
      <c r="L340" s="46">
        <v>12025</v>
      </c>
      <c r="M340" s="61" t="s">
        <v>138</v>
      </c>
      <c r="N340" s="11" t="str">
        <f>M340</f>
        <v>VNOther</v>
      </c>
      <c r="O340" s="15">
        <f>-$K340*IFERROR(INDEX('[1]salary allocation'!$E$6:$J$22,MATCH($H340,'[1]salary allocation'!$D$6:$D$22,0),MATCH(O$3,'[1]salary allocation'!$E$3:$J$3,0)),0)</f>
        <v>0</v>
      </c>
      <c r="P340" s="15">
        <f>-$K340*IFERROR(INDEX('[1]salary allocation'!$E$6:$J$22,MATCH($H340,'[1]salary allocation'!$D$6:$D$22,0),MATCH(P$3,'[1]salary allocation'!$E$3:$J$3,0)),0)</f>
        <v>25671082</v>
      </c>
      <c r="Q340" s="15">
        <f>-$K340*IFERROR(INDEX('[1]salary allocation'!$E$6:$J$22,MATCH($H340,'[1]salary allocation'!$D$6:$D$22,0),MATCH(Q$3,'[1]salary allocation'!$E$3:$J$3,0)),0)</f>
        <v>0</v>
      </c>
      <c r="R340" s="15">
        <f>-$K340*IFERROR(INDEX('[1]salary allocation'!$E$6:$J$22,MATCH($H340,'[1]salary allocation'!$D$6:$D$22,0),MATCH(R$3,'[1]salary allocation'!$E$3:$J$3,0)),0)</f>
        <v>0</v>
      </c>
      <c r="S340" s="15">
        <f>-$K340*IFERROR(INDEX('[1]salary allocation'!$E$6:$J$22,MATCH($H340,'[1]salary allocation'!$D$6:$D$22,0),MATCH(S$3,'[1]salary allocation'!$E$3:$J$3,0)),0)</f>
        <v>5134216.4000000004</v>
      </c>
      <c r="T340" s="15">
        <f>-$K340*IFERROR(INDEX('[1]salary allocation'!$E$6:$J$22,MATCH($H340,'[1]salary allocation'!$D$6:$D$22,0),MATCH(T$3,'[1]salary allocation'!$E$3:$J$3,0)),0)</f>
        <v>5134216.4000000004</v>
      </c>
      <c r="U340" s="15">
        <f>-$K340*IFERROR(INDEX('[1]salary allocation'!$E$6:$J$22,MATCH($H340,'[1]salary allocation'!$D$6:$D$22,0),MATCH(U$3,'[1]salary allocation'!$E$3:$J$3,0)),0)</f>
        <v>5134216.4000000004</v>
      </c>
      <c r="V340" s="15">
        <f>-$K340*IFERROR(INDEX('[1]salary allocation'!$E$6:$J$22,MATCH($H340,'[1]salary allocation'!$D$6:$D$22,0),MATCH(V$3,'[1]salary allocation'!$E$3:$J$3,0)),0)</f>
        <v>0</v>
      </c>
      <c r="W340" s="15">
        <f>-$K340*IFERROR(INDEX('[1]salary allocation'!$E$6:$J$22,MATCH($H340,'[1]salary allocation'!$D$6:$D$22,0),MATCH(W$3,'[1]salary allocation'!$E$3:$J$3,0)),0)</f>
        <v>10268432.800000001</v>
      </c>
      <c r="X340" s="15">
        <f>-$K340*IFERROR(INDEX('[1]salary allocation'!$E$6:$J$22,MATCH($H340,'[1]salary allocation'!$D$6:$D$22,0),MATCH(X$3,'[1]salary allocation'!$E$3:$J$3,0)),0)</f>
        <v>0</v>
      </c>
      <c r="Y340" s="15">
        <f>-$K340*IFERROR(INDEX('[1]salary allocation'!$E$6:$J$22,MATCH($H340,'[1]salary allocation'!$D$6:$D$22,0),MATCH(Y$3,'[1]salary allocation'!$E$3:$J$3,0)),0)</f>
        <v>0</v>
      </c>
      <c r="Z340" s="15">
        <f>-$K340*IFERROR(INDEX('[1]salary allocation'!$E$6:$J$22,MATCH($H340,'[1]salary allocation'!$D$6:$D$22,0),MATCH(Z$3,'[1]salary allocation'!$E$3:$J$3,0)),0)</f>
        <v>0</v>
      </c>
      <c r="AA340" s="15">
        <f>-$K340*IFERROR(INDEX('[1]salary allocation'!$E$6:$J$22,MATCH($H340,'[1]salary allocation'!$D$6:$D$22,0),MATCH(AA$3,'[1]salary allocation'!$E$3:$J$3,0)),0)</f>
        <v>0</v>
      </c>
      <c r="AB340" s="15">
        <f>-$K340*IFERROR(INDEX('[1]salary allocation'!$E$6:$J$22,MATCH($H340,'[1]salary allocation'!$D$6:$D$22,0),MATCH(AB$3,'[1]salary allocation'!$E$3:$J$3,0)),0)</f>
        <v>0</v>
      </c>
      <c r="AC340" s="18">
        <f>-$K340*IFERROR(INDEX('[1]salary allocation'!$E$6:$J$22,MATCH($H340,'[1]salary allocation'!$D$6:$D$22,0),MATCH(AC$3,'[1]salary allocation'!$E$3:$J$3,0)),0)</f>
        <v>0</v>
      </c>
      <c r="AD340" s="17"/>
      <c r="AE340" s="16"/>
      <c r="AF340" s="15">
        <f>-$K340</f>
        <v>51342164</v>
      </c>
      <c r="AG340" s="15"/>
      <c r="AH340" s="2">
        <f>K340+SUM(O340:AC340)</f>
        <v>0</v>
      </c>
      <c r="AI340" s="2">
        <f>K340+SUM(AF340:AG340)</f>
        <v>0</v>
      </c>
    </row>
    <row r="341" spans="1:35" ht="34" x14ac:dyDescent="0.2">
      <c r="A341" s="59" t="s">
        <v>57</v>
      </c>
      <c r="B341" s="55" t="s">
        <v>527</v>
      </c>
      <c r="H341" s="60" t="s">
        <v>57</v>
      </c>
      <c r="I341" s="59" t="s">
        <v>552</v>
      </c>
      <c r="K341" s="47">
        <v>-52201035</v>
      </c>
      <c r="L341" s="46">
        <v>22025</v>
      </c>
      <c r="M341" s="49" t="s">
        <v>138</v>
      </c>
      <c r="N341" s="11" t="str">
        <f>M341</f>
        <v>VNOther</v>
      </c>
      <c r="O341" s="15">
        <f>-$K341*IFERROR(INDEX('[1]salary allocation'!$E$6:$J$22,MATCH($H341,'[1]salary allocation'!$D$6:$D$22,0),MATCH(O$3,'[1]salary allocation'!$E$3:$J$3,0)),0)</f>
        <v>0</v>
      </c>
      <c r="P341" s="15">
        <f>-$K341*IFERROR(INDEX('[1]salary allocation'!$E$6:$J$22,MATCH($H341,'[1]salary allocation'!$D$6:$D$22,0),MATCH(P$3,'[1]salary allocation'!$E$3:$J$3,0)),0)</f>
        <v>26100517.5</v>
      </c>
      <c r="Q341" s="15">
        <f>-$K341*IFERROR(INDEX('[1]salary allocation'!$E$6:$J$22,MATCH($H341,'[1]salary allocation'!$D$6:$D$22,0),MATCH(Q$3,'[1]salary allocation'!$E$3:$J$3,0)),0)</f>
        <v>0</v>
      </c>
      <c r="R341" s="15">
        <f>-$K341*IFERROR(INDEX('[1]salary allocation'!$E$6:$J$22,MATCH($H341,'[1]salary allocation'!$D$6:$D$22,0),MATCH(R$3,'[1]salary allocation'!$E$3:$J$3,0)),0)</f>
        <v>0</v>
      </c>
      <c r="S341" s="15">
        <f>-$K341*IFERROR(INDEX('[1]salary allocation'!$E$6:$J$22,MATCH($H341,'[1]salary allocation'!$D$6:$D$22,0),MATCH(S$3,'[1]salary allocation'!$E$3:$J$3,0)),0)</f>
        <v>5220103.5</v>
      </c>
      <c r="T341" s="15">
        <f>-$K341*IFERROR(INDEX('[1]salary allocation'!$E$6:$J$22,MATCH($H341,'[1]salary allocation'!$D$6:$D$22,0),MATCH(T$3,'[1]salary allocation'!$E$3:$J$3,0)),0)</f>
        <v>5220103.5</v>
      </c>
      <c r="U341" s="15">
        <f>-$K341*IFERROR(INDEX('[1]salary allocation'!$E$6:$J$22,MATCH($H341,'[1]salary allocation'!$D$6:$D$22,0),MATCH(U$3,'[1]salary allocation'!$E$3:$J$3,0)),0)</f>
        <v>5220103.5</v>
      </c>
      <c r="V341" s="15">
        <f>-$K341*IFERROR(INDEX('[1]salary allocation'!$E$6:$J$22,MATCH($H341,'[1]salary allocation'!$D$6:$D$22,0),MATCH(V$3,'[1]salary allocation'!$E$3:$J$3,0)),0)</f>
        <v>0</v>
      </c>
      <c r="W341" s="15">
        <f>-$K341*IFERROR(INDEX('[1]salary allocation'!$E$6:$J$22,MATCH($H341,'[1]salary allocation'!$D$6:$D$22,0),MATCH(W$3,'[1]salary allocation'!$E$3:$J$3,0)),0)</f>
        <v>10440207</v>
      </c>
      <c r="X341" s="15">
        <f>-$K341*IFERROR(INDEX('[1]salary allocation'!$E$6:$J$22,MATCH($H341,'[1]salary allocation'!$D$6:$D$22,0),MATCH(X$3,'[1]salary allocation'!$E$3:$J$3,0)),0)</f>
        <v>0</v>
      </c>
      <c r="Y341" s="15">
        <f>-$K341*IFERROR(INDEX('[1]salary allocation'!$E$6:$J$22,MATCH($H341,'[1]salary allocation'!$D$6:$D$22,0),MATCH(Y$3,'[1]salary allocation'!$E$3:$J$3,0)),0)</f>
        <v>0</v>
      </c>
      <c r="Z341" s="15">
        <f>-$K341*IFERROR(INDEX('[1]salary allocation'!$E$6:$J$22,MATCH($H341,'[1]salary allocation'!$D$6:$D$22,0),MATCH(Z$3,'[1]salary allocation'!$E$3:$J$3,0)),0)</f>
        <v>0</v>
      </c>
      <c r="AA341" s="15">
        <f>-$K341*IFERROR(INDEX('[1]salary allocation'!$E$6:$J$22,MATCH($H341,'[1]salary allocation'!$D$6:$D$22,0),MATCH(AA$3,'[1]salary allocation'!$E$3:$J$3,0)),0)</f>
        <v>0</v>
      </c>
      <c r="AB341" s="15">
        <f>-$K341*IFERROR(INDEX('[1]salary allocation'!$E$6:$J$22,MATCH($H341,'[1]salary allocation'!$D$6:$D$22,0),MATCH(AB$3,'[1]salary allocation'!$E$3:$J$3,0)),0)</f>
        <v>0</v>
      </c>
      <c r="AC341" s="18">
        <f>-$K341*IFERROR(INDEX('[1]salary allocation'!$E$6:$J$22,MATCH($H341,'[1]salary allocation'!$D$6:$D$22,0),MATCH(AC$3,'[1]salary allocation'!$E$3:$J$3,0)),0)</f>
        <v>0</v>
      </c>
      <c r="AD341" s="17"/>
      <c r="AE341" s="16"/>
      <c r="AF341" s="15">
        <f>-$K341</f>
        <v>52201035</v>
      </c>
      <c r="AG341" s="15"/>
      <c r="AH341" s="2">
        <f>K341+SUM(O341:AC341)</f>
        <v>0</v>
      </c>
      <c r="AI341" s="2">
        <f>K341+SUM(AF341:AG341)</f>
        <v>0</v>
      </c>
    </row>
    <row r="342" spans="1:35" ht="34" x14ac:dyDescent="0.2">
      <c r="A342" s="59" t="s">
        <v>57</v>
      </c>
      <c r="B342" s="55" t="s">
        <v>523</v>
      </c>
      <c r="H342" s="52" t="s">
        <v>57</v>
      </c>
      <c r="I342" s="54" t="s">
        <v>551</v>
      </c>
      <c r="K342" s="47">
        <v>-62035414</v>
      </c>
      <c r="L342" s="46">
        <v>32025</v>
      </c>
      <c r="M342" s="49" t="s">
        <v>138</v>
      </c>
      <c r="N342" s="11" t="str">
        <f>M342</f>
        <v>VNOther</v>
      </c>
      <c r="O342" s="15">
        <f>-$K342*IFERROR(INDEX('[1]salary allocation'!$E$6:$J$22,MATCH($H342,'[1]salary allocation'!$D$6:$D$22,0),MATCH(O$3,'[1]salary allocation'!$E$3:$J$3,0)),0)</f>
        <v>0</v>
      </c>
      <c r="P342" s="15">
        <f>-$K342*IFERROR(INDEX('[1]salary allocation'!$E$6:$J$22,MATCH($H342,'[1]salary allocation'!$D$6:$D$22,0),MATCH(P$3,'[1]salary allocation'!$E$3:$J$3,0)),0)</f>
        <v>31017707</v>
      </c>
      <c r="Q342" s="15">
        <f>-$K342*IFERROR(INDEX('[1]salary allocation'!$E$6:$J$22,MATCH($H342,'[1]salary allocation'!$D$6:$D$22,0),MATCH(Q$3,'[1]salary allocation'!$E$3:$J$3,0)),0)</f>
        <v>0</v>
      </c>
      <c r="R342" s="15">
        <f>-$K342*IFERROR(INDEX('[1]salary allocation'!$E$6:$J$22,MATCH($H342,'[1]salary allocation'!$D$6:$D$22,0),MATCH(R$3,'[1]salary allocation'!$E$3:$J$3,0)),0)</f>
        <v>0</v>
      </c>
      <c r="S342" s="15">
        <f>-$K342*IFERROR(INDEX('[1]salary allocation'!$E$6:$J$22,MATCH($H342,'[1]salary allocation'!$D$6:$D$22,0),MATCH(S$3,'[1]salary allocation'!$E$3:$J$3,0)),0)</f>
        <v>6203541.4000000004</v>
      </c>
      <c r="T342" s="15">
        <f>-$K342*IFERROR(INDEX('[1]salary allocation'!$E$6:$J$22,MATCH($H342,'[1]salary allocation'!$D$6:$D$22,0),MATCH(T$3,'[1]salary allocation'!$E$3:$J$3,0)),0)</f>
        <v>6203541.4000000004</v>
      </c>
      <c r="U342" s="15">
        <f>-$K342*IFERROR(INDEX('[1]salary allocation'!$E$6:$J$22,MATCH($H342,'[1]salary allocation'!$D$6:$D$22,0),MATCH(U$3,'[1]salary allocation'!$E$3:$J$3,0)),0)</f>
        <v>6203541.4000000004</v>
      </c>
      <c r="V342" s="15">
        <f>-$K342*IFERROR(INDEX('[1]salary allocation'!$E$6:$J$22,MATCH($H342,'[1]salary allocation'!$D$6:$D$22,0),MATCH(V$3,'[1]salary allocation'!$E$3:$J$3,0)),0)</f>
        <v>0</v>
      </c>
      <c r="W342" s="15">
        <f>-$K342*IFERROR(INDEX('[1]salary allocation'!$E$6:$J$22,MATCH($H342,'[1]salary allocation'!$D$6:$D$22,0),MATCH(W$3,'[1]salary allocation'!$E$3:$J$3,0)),0)</f>
        <v>12407082.800000001</v>
      </c>
      <c r="X342" s="15">
        <f>-$K342*IFERROR(INDEX('[1]salary allocation'!$E$6:$J$22,MATCH($H342,'[1]salary allocation'!$D$6:$D$22,0),MATCH(X$3,'[1]salary allocation'!$E$3:$J$3,0)),0)</f>
        <v>0</v>
      </c>
      <c r="Y342" s="15">
        <f>-$K342*IFERROR(INDEX('[1]salary allocation'!$E$6:$J$22,MATCH($H342,'[1]salary allocation'!$D$6:$D$22,0),MATCH(Y$3,'[1]salary allocation'!$E$3:$J$3,0)),0)</f>
        <v>0</v>
      </c>
      <c r="Z342" s="15">
        <f>-$K342*IFERROR(INDEX('[1]salary allocation'!$E$6:$J$22,MATCH($H342,'[1]salary allocation'!$D$6:$D$22,0),MATCH(Z$3,'[1]salary allocation'!$E$3:$J$3,0)),0)</f>
        <v>0</v>
      </c>
      <c r="AA342" s="15">
        <f>-$K342*IFERROR(INDEX('[1]salary allocation'!$E$6:$J$22,MATCH($H342,'[1]salary allocation'!$D$6:$D$22,0),MATCH(AA$3,'[1]salary allocation'!$E$3:$J$3,0)),0)</f>
        <v>0</v>
      </c>
      <c r="AB342" s="15">
        <f>-$K342*IFERROR(INDEX('[1]salary allocation'!$E$6:$J$22,MATCH($H342,'[1]salary allocation'!$D$6:$D$22,0),MATCH(AB$3,'[1]salary allocation'!$E$3:$J$3,0)),0)</f>
        <v>0</v>
      </c>
      <c r="AC342" s="18">
        <f>-$K342*IFERROR(INDEX('[1]salary allocation'!$E$6:$J$22,MATCH($H342,'[1]salary allocation'!$D$6:$D$22,0),MATCH(AC$3,'[1]salary allocation'!$E$3:$J$3,0)),0)</f>
        <v>0</v>
      </c>
      <c r="AD342" s="17"/>
      <c r="AE342" s="16"/>
      <c r="AF342" s="15">
        <f>-$K342</f>
        <v>62035414</v>
      </c>
      <c r="AG342" s="15"/>
      <c r="AH342" s="2">
        <f>K342+SUM(O342:AC342)</f>
        <v>0</v>
      </c>
      <c r="AI342" s="2">
        <f>K342+SUM(AF342:AG342)</f>
        <v>0</v>
      </c>
    </row>
    <row r="343" spans="1:35" ht="34" x14ac:dyDescent="0.2">
      <c r="A343" s="59" t="s">
        <v>57</v>
      </c>
      <c r="B343" s="53" t="s">
        <v>519</v>
      </c>
      <c r="H343" s="52" t="s">
        <v>57</v>
      </c>
      <c r="I343" s="52" t="s">
        <v>550</v>
      </c>
      <c r="K343" s="13">
        <v>-52595492</v>
      </c>
      <c r="L343" s="46">
        <v>42025</v>
      </c>
      <c r="M343" s="11" t="s">
        <v>138</v>
      </c>
      <c r="N343" s="11" t="str">
        <f>M343</f>
        <v>VNOther</v>
      </c>
      <c r="O343" s="15">
        <f>-$K343*IFERROR(INDEX('[1]salary allocation'!$E$6:$J$22,MATCH($H343,'[1]salary allocation'!$D$6:$D$22,0),MATCH(O$3,'[1]salary allocation'!$E$3:$J$3,0)),0)</f>
        <v>0</v>
      </c>
      <c r="P343" s="15">
        <f>-$K343*IFERROR(INDEX('[1]salary allocation'!$E$6:$J$22,MATCH($H343,'[1]salary allocation'!$D$6:$D$22,0),MATCH(P$3,'[1]salary allocation'!$E$3:$J$3,0)),0)</f>
        <v>26297746</v>
      </c>
      <c r="Q343" s="15">
        <f>-$K343*IFERROR(INDEX('[1]salary allocation'!$E$6:$J$22,MATCH($H343,'[1]salary allocation'!$D$6:$D$22,0),MATCH(Q$3,'[1]salary allocation'!$E$3:$J$3,0)),0)</f>
        <v>0</v>
      </c>
      <c r="R343" s="15">
        <f>-$K343*IFERROR(INDEX('[1]salary allocation'!$E$6:$J$22,MATCH($H343,'[1]salary allocation'!$D$6:$D$22,0),MATCH(R$3,'[1]salary allocation'!$E$3:$J$3,0)),0)</f>
        <v>0</v>
      </c>
      <c r="S343" s="15">
        <f>-$K343*IFERROR(INDEX('[1]salary allocation'!$E$6:$J$22,MATCH($H343,'[1]salary allocation'!$D$6:$D$22,0),MATCH(S$3,'[1]salary allocation'!$E$3:$J$3,0)),0)</f>
        <v>5259549.2</v>
      </c>
      <c r="T343" s="15">
        <f>-$K343*IFERROR(INDEX('[1]salary allocation'!$E$6:$J$22,MATCH($H343,'[1]salary allocation'!$D$6:$D$22,0),MATCH(T$3,'[1]salary allocation'!$E$3:$J$3,0)),0)</f>
        <v>5259549.2</v>
      </c>
      <c r="U343" s="15">
        <f>-$K343*IFERROR(INDEX('[1]salary allocation'!$E$6:$J$22,MATCH($H343,'[1]salary allocation'!$D$6:$D$22,0),MATCH(U$3,'[1]salary allocation'!$E$3:$J$3,0)),0)</f>
        <v>5259549.2</v>
      </c>
      <c r="V343" s="15">
        <f>-$K343*IFERROR(INDEX('[1]salary allocation'!$E$6:$J$22,MATCH($H343,'[1]salary allocation'!$D$6:$D$22,0),MATCH(V$3,'[1]salary allocation'!$E$3:$J$3,0)),0)</f>
        <v>0</v>
      </c>
      <c r="W343" s="15">
        <f>-$K343*IFERROR(INDEX('[1]salary allocation'!$E$6:$J$22,MATCH($H343,'[1]salary allocation'!$D$6:$D$22,0),MATCH(W$3,'[1]salary allocation'!$E$3:$J$3,0)),0)</f>
        <v>10519098.4</v>
      </c>
      <c r="X343" s="15">
        <f>-$K343*IFERROR(INDEX('[1]salary allocation'!$E$6:$J$22,MATCH($H343,'[1]salary allocation'!$D$6:$D$22,0),MATCH(X$3,'[1]salary allocation'!$E$3:$J$3,0)),0)</f>
        <v>0</v>
      </c>
      <c r="Y343" s="15">
        <f>-$K343*IFERROR(INDEX('[1]salary allocation'!$E$6:$J$22,MATCH($H343,'[1]salary allocation'!$D$6:$D$22,0),MATCH(Y$3,'[1]salary allocation'!$E$3:$J$3,0)),0)</f>
        <v>0</v>
      </c>
      <c r="Z343" s="15">
        <f>-$K343*IFERROR(INDEX('[1]salary allocation'!$E$6:$J$22,MATCH($H343,'[1]salary allocation'!$D$6:$D$22,0),MATCH(Z$3,'[1]salary allocation'!$E$3:$J$3,0)),0)</f>
        <v>0</v>
      </c>
      <c r="AA343" s="15">
        <f>-$K343*IFERROR(INDEX('[1]salary allocation'!$E$6:$J$22,MATCH($H343,'[1]salary allocation'!$D$6:$D$22,0),MATCH(AA$3,'[1]salary allocation'!$E$3:$J$3,0)),0)</f>
        <v>0</v>
      </c>
      <c r="AB343" s="15">
        <f>-$K343*IFERROR(INDEX('[1]salary allocation'!$E$6:$J$22,MATCH($H343,'[1]salary allocation'!$D$6:$D$22,0),MATCH(AB$3,'[1]salary allocation'!$E$3:$J$3,0)),0)</f>
        <v>0</v>
      </c>
      <c r="AC343" s="18">
        <f>-$K343*IFERROR(INDEX('[1]salary allocation'!$E$6:$J$22,MATCH($H343,'[1]salary allocation'!$D$6:$D$22,0),MATCH(AC$3,'[1]salary allocation'!$E$3:$J$3,0)),0)</f>
        <v>0</v>
      </c>
      <c r="AD343" s="17"/>
      <c r="AE343" s="16"/>
      <c r="AF343" s="15">
        <f>-$K343</f>
        <v>52595492</v>
      </c>
      <c r="AG343" s="15"/>
      <c r="AH343" s="2">
        <f>K343+SUM(O343:AC343)</f>
        <v>0</v>
      </c>
      <c r="AI343" s="2">
        <f>K343+SUM(AF343:AG343)</f>
        <v>0</v>
      </c>
    </row>
    <row r="344" spans="1:35" ht="34" x14ac:dyDescent="0.2">
      <c r="A344" s="59" t="s">
        <v>57</v>
      </c>
      <c r="B344" s="49" t="s">
        <v>515</v>
      </c>
      <c r="H344" s="48" t="s">
        <v>57</v>
      </c>
      <c r="I344" s="48" t="s">
        <v>549</v>
      </c>
      <c r="K344" s="47">
        <v>-53005834</v>
      </c>
      <c r="L344" s="46">
        <v>52025</v>
      </c>
      <c r="M344" s="11" t="s">
        <v>138</v>
      </c>
      <c r="N344" s="11" t="str">
        <f>M344</f>
        <v>VNOther</v>
      </c>
      <c r="O344" s="15">
        <f>-$K344*IFERROR(INDEX('[1]salary allocation'!$E$6:$J$22,MATCH($H344,'[1]salary allocation'!$D$6:$D$22,0),MATCH(O$3,'[1]salary allocation'!$E$3:$J$3,0)),0)</f>
        <v>0</v>
      </c>
      <c r="P344" s="15">
        <f>-$K344*IFERROR(INDEX('[1]salary allocation'!$E$6:$J$22,MATCH($H344,'[1]salary allocation'!$D$6:$D$22,0),MATCH(P$3,'[1]salary allocation'!$E$3:$J$3,0)),0)</f>
        <v>26502917</v>
      </c>
      <c r="Q344" s="15">
        <f>-$K344*IFERROR(INDEX('[1]salary allocation'!$E$6:$J$22,MATCH($H344,'[1]salary allocation'!$D$6:$D$22,0),MATCH(Q$3,'[1]salary allocation'!$E$3:$J$3,0)),0)</f>
        <v>0</v>
      </c>
      <c r="R344" s="15">
        <f>-$K344*IFERROR(INDEX('[1]salary allocation'!$E$6:$J$22,MATCH($H344,'[1]salary allocation'!$D$6:$D$22,0),MATCH(R$3,'[1]salary allocation'!$E$3:$J$3,0)),0)</f>
        <v>0</v>
      </c>
      <c r="S344" s="15">
        <f>-$K344*IFERROR(INDEX('[1]salary allocation'!$E$6:$J$22,MATCH($H344,'[1]salary allocation'!$D$6:$D$22,0),MATCH(S$3,'[1]salary allocation'!$E$3:$J$3,0)),0)</f>
        <v>5300583.4000000004</v>
      </c>
      <c r="T344" s="15">
        <f>-$K344*IFERROR(INDEX('[1]salary allocation'!$E$6:$J$22,MATCH($H344,'[1]salary allocation'!$D$6:$D$22,0),MATCH(T$3,'[1]salary allocation'!$E$3:$J$3,0)),0)</f>
        <v>5300583.4000000004</v>
      </c>
      <c r="U344" s="15">
        <f>-$K344*IFERROR(INDEX('[1]salary allocation'!$E$6:$J$22,MATCH($H344,'[1]salary allocation'!$D$6:$D$22,0),MATCH(U$3,'[1]salary allocation'!$E$3:$J$3,0)),0)</f>
        <v>5300583.4000000004</v>
      </c>
      <c r="V344" s="15">
        <f>-$K344*IFERROR(INDEX('[1]salary allocation'!$E$6:$J$22,MATCH($H344,'[1]salary allocation'!$D$6:$D$22,0),MATCH(V$3,'[1]salary allocation'!$E$3:$J$3,0)),0)</f>
        <v>0</v>
      </c>
      <c r="W344" s="15">
        <f>-$K344*IFERROR(INDEX('[1]salary allocation'!$E$6:$J$22,MATCH($H344,'[1]salary allocation'!$D$6:$D$22,0),MATCH(W$3,'[1]salary allocation'!$E$3:$J$3,0)),0)</f>
        <v>10601166.800000001</v>
      </c>
      <c r="X344" s="15">
        <f>-$K344*IFERROR(INDEX('[1]salary allocation'!$E$6:$J$22,MATCH($H344,'[1]salary allocation'!$D$6:$D$22,0),MATCH(X$3,'[1]salary allocation'!$E$3:$J$3,0)),0)</f>
        <v>0</v>
      </c>
      <c r="Y344" s="15">
        <f>-$K344*IFERROR(INDEX('[1]salary allocation'!$E$6:$J$22,MATCH($H344,'[1]salary allocation'!$D$6:$D$22,0),MATCH(Y$3,'[1]salary allocation'!$E$3:$J$3,0)),0)</f>
        <v>0</v>
      </c>
      <c r="Z344" s="15">
        <f>-$K344*IFERROR(INDEX('[1]salary allocation'!$E$6:$J$22,MATCH($H344,'[1]salary allocation'!$D$6:$D$22,0),MATCH(Z$3,'[1]salary allocation'!$E$3:$J$3,0)),0)</f>
        <v>0</v>
      </c>
      <c r="AA344" s="15">
        <f>-$K344*IFERROR(INDEX('[1]salary allocation'!$E$6:$J$22,MATCH($H344,'[1]salary allocation'!$D$6:$D$22,0),MATCH(AA$3,'[1]salary allocation'!$E$3:$J$3,0)),0)</f>
        <v>0</v>
      </c>
      <c r="AB344" s="15">
        <f>-$K344*IFERROR(INDEX('[1]salary allocation'!$E$6:$J$22,MATCH($H344,'[1]salary allocation'!$D$6:$D$22,0),MATCH(AB$3,'[1]salary allocation'!$E$3:$J$3,0)),0)</f>
        <v>0</v>
      </c>
      <c r="AC344" s="18">
        <f>-$K344*IFERROR(INDEX('[1]salary allocation'!$E$6:$J$22,MATCH($H344,'[1]salary allocation'!$D$6:$D$22,0),MATCH(AC$3,'[1]salary allocation'!$E$3:$J$3,0)),0)</f>
        <v>0</v>
      </c>
      <c r="AD344" s="17"/>
      <c r="AE344" s="16"/>
      <c r="AF344" s="15">
        <f>-$K344</f>
        <v>53005834</v>
      </c>
      <c r="AG344" s="15"/>
      <c r="AH344" s="2">
        <f>K344+SUM(O344:AC344)</f>
        <v>0</v>
      </c>
      <c r="AI344" s="2">
        <f>K344+SUM(AF344:AG344)</f>
        <v>0</v>
      </c>
    </row>
    <row r="345" spans="1:35" ht="17" x14ac:dyDescent="0.2">
      <c r="A345" s="59" t="s">
        <v>53</v>
      </c>
      <c r="B345" s="64" t="s">
        <v>531</v>
      </c>
      <c r="H345" s="59" t="s">
        <v>53</v>
      </c>
      <c r="I345" s="59" t="s">
        <v>548</v>
      </c>
      <c r="K345" s="62">
        <v>-44990737</v>
      </c>
      <c r="L345" s="46">
        <v>12025</v>
      </c>
      <c r="M345" s="61" t="s">
        <v>138</v>
      </c>
      <c r="N345" s="11" t="str">
        <f>M345</f>
        <v>VNOther</v>
      </c>
      <c r="O345" s="15">
        <f>-$K345*IFERROR(INDEX('[1]salary allocation'!$E$6:$J$22,MATCH($H345,'[1]salary allocation'!$D$6:$D$22,0),MATCH(O$3,'[1]salary allocation'!$E$3:$J$3,0)),0)</f>
        <v>0</v>
      </c>
      <c r="P345" s="15">
        <f>-$K345*IFERROR(INDEX('[1]salary allocation'!$E$6:$J$22,MATCH($H345,'[1]salary allocation'!$D$6:$D$22,0),MATCH(P$3,'[1]salary allocation'!$E$3:$J$3,0)),0)</f>
        <v>6748610.5499999998</v>
      </c>
      <c r="Q345" s="15">
        <f>-$K345*IFERROR(INDEX('[1]salary allocation'!$E$6:$J$22,MATCH($H345,'[1]salary allocation'!$D$6:$D$22,0),MATCH(Q$3,'[1]salary allocation'!$E$3:$J$3,0)),0)</f>
        <v>0</v>
      </c>
      <c r="R345" s="15">
        <f>-$K345*IFERROR(INDEX('[1]salary allocation'!$E$6:$J$22,MATCH($H345,'[1]salary allocation'!$D$6:$D$22,0),MATCH(R$3,'[1]salary allocation'!$E$3:$J$3,0)),0)</f>
        <v>0</v>
      </c>
      <c r="S345" s="15">
        <f>-$K345*IFERROR(INDEX('[1]salary allocation'!$E$6:$J$22,MATCH($H345,'[1]salary allocation'!$D$6:$D$22,0),MATCH(S$3,'[1]salary allocation'!$E$3:$J$3,0)),0)</f>
        <v>7648425.2899999991</v>
      </c>
      <c r="T345" s="15">
        <f>-$K345*IFERROR(INDEX('[1]salary allocation'!$E$6:$J$22,MATCH($H345,'[1]salary allocation'!$D$6:$D$22,0),MATCH(T$3,'[1]salary allocation'!$E$3:$J$3,0)),0)</f>
        <v>7648425.2899999991</v>
      </c>
      <c r="U345" s="15">
        <f>-$K345*IFERROR(INDEX('[1]salary allocation'!$E$6:$J$22,MATCH($H345,'[1]salary allocation'!$D$6:$D$22,0),MATCH(U$3,'[1]salary allocation'!$E$3:$J$3,0)),0)</f>
        <v>7648425.2899999991</v>
      </c>
      <c r="V345" s="15">
        <f>-$K345*IFERROR(INDEX('[1]salary allocation'!$E$6:$J$22,MATCH($H345,'[1]salary allocation'!$D$6:$D$22,0),MATCH(V$3,'[1]salary allocation'!$E$3:$J$3,0)),0)</f>
        <v>0</v>
      </c>
      <c r="W345" s="15">
        <f>-$K345*IFERROR(INDEX('[1]salary allocation'!$E$6:$J$22,MATCH($H345,'[1]salary allocation'!$D$6:$D$22,0),MATCH(W$3,'[1]salary allocation'!$E$3:$J$3,0)),0)</f>
        <v>15296850.579999998</v>
      </c>
      <c r="X345" s="15">
        <f>-$K345*IFERROR(INDEX('[1]salary allocation'!$E$6:$J$22,MATCH($H345,'[1]salary allocation'!$D$6:$D$22,0),MATCH(X$3,'[1]salary allocation'!$E$3:$J$3,0)),0)</f>
        <v>0</v>
      </c>
      <c r="Y345" s="15">
        <f>-$K345*IFERROR(INDEX('[1]salary allocation'!$E$6:$J$22,MATCH($H345,'[1]salary allocation'!$D$6:$D$22,0),MATCH(Y$3,'[1]salary allocation'!$E$3:$J$3,0)),0)</f>
        <v>0</v>
      </c>
      <c r="Z345" s="15">
        <f>-$K345*IFERROR(INDEX('[1]salary allocation'!$E$6:$J$22,MATCH($H345,'[1]salary allocation'!$D$6:$D$22,0),MATCH(Z$3,'[1]salary allocation'!$E$3:$J$3,0)),0)</f>
        <v>0</v>
      </c>
      <c r="AA345" s="15">
        <f>-$K345*IFERROR(INDEX('[1]salary allocation'!$E$6:$J$22,MATCH($H345,'[1]salary allocation'!$D$6:$D$22,0),MATCH(AA$3,'[1]salary allocation'!$E$3:$J$3,0)),0)</f>
        <v>0</v>
      </c>
      <c r="AB345" s="15">
        <f>-$K345*IFERROR(INDEX('[1]salary allocation'!$E$6:$J$22,MATCH($H345,'[1]salary allocation'!$D$6:$D$22,0),MATCH(AB$3,'[1]salary allocation'!$E$3:$J$3,0)),0)</f>
        <v>0</v>
      </c>
      <c r="AC345" s="18">
        <f>-$K345*IFERROR(INDEX('[1]salary allocation'!$E$6:$J$22,MATCH($H345,'[1]salary allocation'!$D$6:$D$22,0),MATCH(AC$3,'[1]salary allocation'!$E$3:$J$3,0)),0)</f>
        <v>0</v>
      </c>
      <c r="AD345" s="17"/>
      <c r="AE345" s="16"/>
      <c r="AF345" s="15">
        <f>-$K345</f>
        <v>44990737</v>
      </c>
      <c r="AG345" s="15"/>
      <c r="AH345" s="2">
        <f>K345+SUM(O345:AC345)</f>
        <v>0</v>
      </c>
      <c r="AI345" s="2">
        <f>K345+SUM(AF345:AG345)</f>
        <v>0</v>
      </c>
    </row>
    <row r="346" spans="1:35" ht="17" x14ac:dyDescent="0.2">
      <c r="A346" s="59" t="s">
        <v>53</v>
      </c>
      <c r="B346" s="55" t="s">
        <v>527</v>
      </c>
      <c r="H346" s="60" t="s">
        <v>53</v>
      </c>
      <c r="I346" s="59" t="s">
        <v>547</v>
      </c>
      <c r="K346" s="47">
        <v>-49170615</v>
      </c>
      <c r="L346" s="46">
        <v>22025</v>
      </c>
      <c r="M346" s="49" t="s">
        <v>138</v>
      </c>
      <c r="N346" s="11" t="str">
        <f>M346</f>
        <v>VNOther</v>
      </c>
      <c r="O346" s="15">
        <f>-$K346*IFERROR(INDEX('[1]salary allocation'!$E$6:$J$22,MATCH($H346,'[1]salary allocation'!$D$6:$D$22,0),MATCH(O$3,'[1]salary allocation'!$E$3:$J$3,0)),0)</f>
        <v>0</v>
      </c>
      <c r="P346" s="15">
        <f>-$K346*IFERROR(INDEX('[1]salary allocation'!$E$6:$J$22,MATCH($H346,'[1]salary allocation'!$D$6:$D$22,0),MATCH(P$3,'[1]salary allocation'!$E$3:$J$3,0)),0)</f>
        <v>7375592.25</v>
      </c>
      <c r="Q346" s="15">
        <f>-$K346*IFERROR(INDEX('[1]salary allocation'!$E$6:$J$22,MATCH($H346,'[1]salary allocation'!$D$6:$D$22,0),MATCH(Q$3,'[1]salary allocation'!$E$3:$J$3,0)),0)</f>
        <v>0</v>
      </c>
      <c r="R346" s="15">
        <f>-$K346*IFERROR(INDEX('[1]salary allocation'!$E$6:$J$22,MATCH($H346,'[1]salary allocation'!$D$6:$D$22,0),MATCH(R$3,'[1]salary allocation'!$E$3:$J$3,0)),0)</f>
        <v>0</v>
      </c>
      <c r="S346" s="15">
        <f>-$K346*IFERROR(INDEX('[1]salary allocation'!$E$6:$J$22,MATCH($H346,'[1]salary allocation'!$D$6:$D$22,0),MATCH(S$3,'[1]salary allocation'!$E$3:$J$3,0)),0)</f>
        <v>8359004.5499999989</v>
      </c>
      <c r="T346" s="15">
        <f>-$K346*IFERROR(INDEX('[1]salary allocation'!$E$6:$J$22,MATCH($H346,'[1]salary allocation'!$D$6:$D$22,0),MATCH(T$3,'[1]salary allocation'!$E$3:$J$3,0)),0)</f>
        <v>8359004.5499999989</v>
      </c>
      <c r="U346" s="15">
        <f>-$K346*IFERROR(INDEX('[1]salary allocation'!$E$6:$J$22,MATCH($H346,'[1]salary allocation'!$D$6:$D$22,0),MATCH(U$3,'[1]salary allocation'!$E$3:$J$3,0)),0)</f>
        <v>8359004.5499999989</v>
      </c>
      <c r="V346" s="15">
        <f>-$K346*IFERROR(INDEX('[1]salary allocation'!$E$6:$J$22,MATCH($H346,'[1]salary allocation'!$D$6:$D$22,0),MATCH(V$3,'[1]salary allocation'!$E$3:$J$3,0)),0)</f>
        <v>0</v>
      </c>
      <c r="W346" s="15">
        <f>-$K346*IFERROR(INDEX('[1]salary allocation'!$E$6:$J$22,MATCH($H346,'[1]salary allocation'!$D$6:$D$22,0),MATCH(W$3,'[1]salary allocation'!$E$3:$J$3,0)),0)</f>
        <v>16718009.099999998</v>
      </c>
      <c r="X346" s="15">
        <f>-$K346*IFERROR(INDEX('[1]salary allocation'!$E$6:$J$22,MATCH($H346,'[1]salary allocation'!$D$6:$D$22,0),MATCH(X$3,'[1]salary allocation'!$E$3:$J$3,0)),0)</f>
        <v>0</v>
      </c>
      <c r="Y346" s="15">
        <f>-$K346*IFERROR(INDEX('[1]salary allocation'!$E$6:$J$22,MATCH($H346,'[1]salary allocation'!$D$6:$D$22,0),MATCH(Y$3,'[1]salary allocation'!$E$3:$J$3,0)),0)</f>
        <v>0</v>
      </c>
      <c r="Z346" s="15">
        <f>-$K346*IFERROR(INDEX('[1]salary allocation'!$E$6:$J$22,MATCH($H346,'[1]salary allocation'!$D$6:$D$22,0),MATCH(Z$3,'[1]salary allocation'!$E$3:$J$3,0)),0)</f>
        <v>0</v>
      </c>
      <c r="AA346" s="15">
        <f>-$K346*IFERROR(INDEX('[1]salary allocation'!$E$6:$J$22,MATCH($H346,'[1]salary allocation'!$D$6:$D$22,0),MATCH(AA$3,'[1]salary allocation'!$E$3:$J$3,0)),0)</f>
        <v>0</v>
      </c>
      <c r="AB346" s="15">
        <f>-$K346*IFERROR(INDEX('[1]salary allocation'!$E$6:$J$22,MATCH($H346,'[1]salary allocation'!$D$6:$D$22,0),MATCH(AB$3,'[1]salary allocation'!$E$3:$J$3,0)),0)</f>
        <v>0</v>
      </c>
      <c r="AC346" s="18">
        <f>-$K346*IFERROR(INDEX('[1]salary allocation'!$E$6:$J$22,MATCH($H346,'[1]salary allocation'!$D$6:$D$22,0),MATCH(AC$3,'[1]salary allocation'!$E$3:$J$3,0)),0)</f>
        <v>0</v>
      </c>
      <c r="AD346" s="17"/>
      <c r="AE346" s="16"/>
      <c r="AF346" s="15">
        <f>-$K346</f>
        <v>49170615</v>
      </c>
      <c r="AG346" s="15"/>
      <c r="AH346" s="2">
        <f>K346+SUM(O346:AC346)</f>
        <v>0</v>
      </c>
      <c r="AI346" s="2">
        <f>K346+SUM(AF346:AG346)</f>
        <v>0</v>
      </c>
    </row>
    <row r="347" spans="1:35" ht="17" x14ac:dyDescent="0.2">
      <c r="A347" s="59" t="s">
        <v>53</v>
      </c>
      <c r="B347" s="55" t="s">
        <v>523</v>
      </c>
      <c r="H347" s="52" t="s">
        <v>53</v>
      </c>
      <c r="I347" s="54" t="s">
        <v>546</v>
      </c>
      <c r="K347" s="47">
        <v>-55518221</v>
      </c>
      <c r="L347" s="46">
        <v>32025</v>
      </c>
      <c r="M347" s="49" t="s">
        <v>138</v>
      </c>
      <c r="N347" s="11" t="str">
        <f>M347</f>
        <v>VNOther</v>
      </c>
      <c r="O347" s="15">
        <f>-$K347*IFERROR(INDEX('[1]salary allocation'!$E$6:$J$22,MATCH($H347,'[1]salary allocation'!$D$6:$D$22,0),MATCH(O$3,'[1]salary allocation'!$E$3:$J$3,0)),0)</f>
        <v>0</v>
      </c>
      <c r="P347" s="15">
        <f>-$K347*IFERROR(INDEX('[1]salary allocation'!$E$6:$J$22,MATCH($H347,'[1]salary allocation'!$D$6:$D$22,0),MATCH(P$3,'[1]salary allocation'!$E$3:$J$3,0)),0)</f>
        <v>8327733.1499999994</v>
      </c>
      <c r="Q347" s="15">
        <f>-$K347*IFERROR(INDEX('[1]salary allocation'!$E$6:$J$22,MATCH($H347,'[1]salary allocation'!$D$6:$D$22,0),MATCH(Q$3,'[1]salary allocation'!$E$3:$J$3,0)),0)</f>
        <v>0</v>
      </c>
      <c r="R347" s="15">
        <f>-$K347*IFERROR(INDEX('[1]salary allocation'!$E$6:$J$22,MATCH($H347,'[1]salary allocation'!$D$6:$D$22,0),MATCH(R$3,'[1]salary allocation'!$E$3:$J$3,0)),0)</f>
        <v>0</v>
      </c>
      <c r="S347" s="15">
        <f>-$K347*IFERROR(INDEX('[1]salary allocation'!$E$6:$J$22,MATCH($H347,'[1]salary allocation'!$D$6:$D$22,0),MATCH(S$3,'[1]salary allocation'!$E$3:$J$3,0)),0)</f>
        <v>9438097.5699999984</v>
      </c>
      <c r="T347" s="15">
        <f>-$K347*IFERROR(INDEX('[1]salary allocation'!$E$6:$J$22,MATCH($H347,'[1]salary allocation'!$D$6:$D$22,0),MATCH(T$3,'[1]salary allocation'!$E$3:$J$3,0)),0)</f>
        <v>9438097.5699999984</v>
      </c>
      <c r="U347" s="15">
        <f>-$K347*IFERROR(INDEX('[1]salary allocation'!$E$6:$J$22,MATCH($H347,'[1]salary allocation'!$D$6:$D$22,0),MATCH(U$3,'[1]salary allocation'!$E$3:$J$3,0)),0)</f>
        <v>9438097.5699999984</v>
      </c>
      <c r="V347" s="15">
        <f>-$K347*IFERROR(INDEX('[1]salary allocation'!$E$6:$J$22,MATCH($H347,'[1]salary allocation'!$D$6:$D$22,0),MATCH(V$3,'[1]salary allocation'!$E$3:$J$3,0)),0)</f>
        <v>0</v>
      </c>
      <c r="W347" s="15">
        <f>-$K347*IFERROR(INDEX('[1]salary allocation'!$E$6:$J$22,MATCH($H347,'[1]salary allocation'!$D$6:$D$22,0),MATCH(W$3,'[1]salary allocation'!$E$3:$J$3,0)),0)</f>
        <v>18876195.139999997</v>
      </c>
      <c r="X347" s="15">
        <f>-$K347*IFERROR(INDEX('[1]salary allocation'!$E$6:$J$22,MATCH($H347,'[1]salary allocation'!$D$6:$D$22,0),MATCH(X$3,'[1]salary allocation'!$E$3:$J$3,0)),0)</f>
        <v>0</v>
      </c>
      <c r="Y347" s="15">
        <f>-$K347*IFERROR(INDEX('[1]salary allocation'!$E$6:$J$22,MATCH($H347,'[1]salary allocation'!$D$6:$D$22,0),MATCH(Y$3,'[1]salary allocation'!$E$3:$J$3,0)),0)</f>
        <v>0</v>
      </c>
      <c r="Z347" s="15">
        <f>-$K347*IFERROR(INDEX('[1]salary allocation'!$E$6:$J$22,MATCH($H347,'[1]salary allocation'!$D$6:$D$22,0),MATCH(Z$3,'[1]salary allocation'!$E$3:$J$3,0)),0)</f>
        <v>0</v>
      </c>
      <c r="AA347" s="15">
        <f>-$K347*IFERROR(INDEX('[1]salary allocation'!$E$6:$J$22,MATCH($H347,'[1]salary allocation'!$D$6:$D$22,0),MATCH(AA$3,'[1]salary allocation'!$E$3:$J$3,0)),0)</f>
        <v>0</v>
      </c>
      <c r="AB347" s="15">
        <f>-$K347*IFERROR(INDEX('[1]salary allocation'!$E$6:$J$22,MATCH($H347,'[1]salary allocation'!$D$6:$D$22,0),MATCH(AB$3,'[1]salary allocation'!$E$3:$J$3,0)),0)</f>
        <v>0</v>
      </c>
      <c r="AC347" s="18">
        <f>-$K347*IFERROR(INDEX('[1]salary allocation'!$E$6:$J$22,MATCH($H347,'[1]salary allocation'!$D$6:$D$22,0),MATCH(AC$3,'[1]salary allocation'!$E$3:$J$3,0)),0)</f>
        <v>0</v>
      </c>
      <c r="AD347" s="17"/>
      <c r="AE347" s="16"/>
      <c r="AF347" s="15">
        <f>-$K347</f>
        <v>55518221</v>
      </c>
      <c r="AG347" s="15"/>
      <c r="AH347" s="2">
        <f>K347+SUM(O347:AC347)</f>
        <v>0</v>
      </c>
      <c r="AI347" s="2">
        <f>K347+SUM(AF347:AG347)</f>
        <v>0</v>
      </c>
    </row>
    <row r="348" spans="1:35" ht="17" x14ac:dyDescent="0.2">
      <c r="A348" s="59" t="s">
        <v>53</v>
      </c>
      <c r="B348" s="66" t="s">
        <v>519</v>
      </c>
      <c r="H348" s="65" t="s">
        <v>53</v>
      </c>
      <c r="I348" s="65" t="s">
        <v>545</v>
      </c>
      <c r="K348" s="13">
        <v>-47874104</v>
      </c>
      <c r="L348" s="46">
        <v>42025</v>
      </c>
      <c r="M348" s="11" t="s">
        <v>138</v>
      </c>
      <c r="N348" s="11" t="str">
        <f>M348</f>
        <v>VNOther</v>
      </c>
      <c r="O348" s="15">
        <f>-$K348*IFERROR(INDEX('[1]salary allocation'!$E$6:$J$22,MATCH($H348,'[1]salary allocation'!$D$6:$D$22,0),MATCH(O$3,'[1]salary allocation'!$E$3:$J$3,0)),0)</f>
        <v>0</v>
      </c>
      <c r="P348" s="15">
        <f>-$K348*IFERROR(INDEX('[1]salary allocation'!$E$6:$J$22,MATCH($H348,'[1]salary allocation'!$D$6:$D$22,0),MATCH(P$3,'[1]salary allocation'!$E$3:$J$3,0)),0)</f>
        <v>7181115.5999999996</v>
      </c>
      <c r="Q348" s="15">
        <f>-$K348*IFERROR(INDEX('[1]salary allocation'!$E$6:$J$22,MATCH($H348,'[1]salary allocation'!$D$6:$D$22,0),MATCH(Q$3,'[1]salary allocation'!$E$3:$J$3,0)),0)</f>
        <v>0</v>
      </c>
      <c r="R348" s="15">
        <f>-$K348*IFERROR(INDEX('[1]salary allocation'!$E$6:$J$22,MATCH($H348,'[1]salary allocation'!$D$6:$D$22,0),MATCH(R$3,'[1]salary allocation'!$E$3:$J$3,0)),0)</f>
        <v>0</v>
      </c>
      <c r="S348" s="15">
        <f>-$K348*IFERROR(INDEX('[1]salary allocation'!$E$6:$J$22,MATCH($H348,'[1]salary allocation'!$D$6:$D$22,0),MATCH(S$3,'[1]salary allocation'!$E$3:$J$3,0)),0)</f>
        <v>8138597.6799999997</v>
      </c>
      <c r="T348" s="15">
        <f>-$K348*IFERROR(INDEX('[1]salary allocation'!$E$6:$J$22,MATCH($H348,'[1]salary allocation'!$D$6:$D$22,0),MATCH(T$3,'[1]salary allocation'!$E$3:$J$3,0)),0)</f>
        <v>8138597.6799999997</v>
      </c>
      <c r="U348" s="15">
        <f>-$K348*IFERROR(INDEX('[1]salary allocation'!$E$6:$J$22,MATCH($H348,'[1]salary allocation'!$D$6:$D$22,0),MATCH(U$3,'[1]salary allocation'!$E$3:$J$3,0)),0)</f>
        <v>8138597.6799999997</v>
      </c>
      <c r="V348" s="15">
        <f>-$K348*IFERROR(INDEX('[1]salary allocation'!$E$6:$J$22,MATCH($H348,'[1]salary allocation'!$D$6:$D$22,0),MATCH(V$3,'[1]salary allocation'!$E$3:$J$3,0)),0)</f>
        <v>0</v>
      </c>
      <c r="W348" s="15">
        <f>-$K348*IFERROR(INDEX('[1]salary allocation'!$E$6:$J$22,MATCH($H348,'[1]salary allocation'!$D$6:$D$22,0),MATCH(W$3,'[1]salary allocation'!$E$3:$J$3,0)),0)</f>
        <v>16277195.359999999</v>
      </c>
      <c r="X348" s="15">
        <f>-$K348*IFERROR(INDEX('[1]salary allocation'!$E$6:$J$22,MATCH($H348,'[1]salary allocation'!$D$6:$D$22,0),MATCH(X$3,'[1]salary allocation'!$E$3:$J$3,0)),0)</f>
        <v>0</v>
      </c>
      <c r="Y348" s="15">
        <f>-$K348*IFERROR(INDEX('[1]salary allocation'!$E$6:$J$22,MATCH($H348,'[1]salary allocation'!$D$6:$D$22,0),MATCH(Y$3,'[1]salary allocation'!$E$3:$J$3,0)),0)</f>
        <v>0</v>
      </c>
      <c r="Z348" s="15">
        <f>-$K348*IFERROR(INDEX('[1]salary allocation'!$E$6:$J$22,MATCH($H348,'[1]salary allocation'!$D$6:$D$22,0),MATCH(Z$3,'[1]salary allocation'!$E$3:$J$3,0)),0)</f>
        <v>0</v>
      </c>
      <c r="AA348" s="15">
        <f>-$K348*IFERROR(INDEX('[1]salary allocation'!$E$6:$J$22,MATCH($H348,'[1]salary allocation'!$D$6:$D$22,0),MATCH(AA$3,'[1]salary allocation'!$E$3:$J$3,0)),0)</f>
        <v>0</v>
      </c>
      <c r="AB348" s="15">
        <f>-$K348*IFERROR(INDEX('[1]salary allocation'!$E$6:$J$22,MATCH($H348,'[1]salary allocation'!$D$6:$D$22,0),MATCH(AB$3,'[1]salary allocation'!$E$3:$J$3,0)),0)</f>
        <v>0</v>
      </c>
      <c r="AC348" s="18">
        <f>-$K348*IFERROR(INDEX('[1]salary allocation'!$E$6:$J$22,MATCH($H348,'[1]salary allocation'!$D$6:$D$22,0),MATCH(AC$3,'[1]salary allocation'!$E$3:$J$3,0)),0)</f>
        <v>0</v>
      </c>
      <c r="AD348" s="17"/>
      <c r="AE348" s="16"/>
      <c r="AF348" s="15">
        <f>-$K348</f>
        <v>47874104</v>
      </c>
      <c r="AG348" s="15"/>
      <c r="AH348" s="2">
        <f>K348+SUM(O348:AC348)</f>
        <v>0</v>
      </c>
      <c r="AI348" s="2">
        <f>K348+SUM(AF348:AG348)</f>
        <v>0</v>
      </c>
    </row>
    <row r="349" spans="1:35" ht="17" x14ac:dyDescent="0.2">
      <c r="A349" s="59" t="s">
        <v>53</v>
      </c>
      <c r="B349" s="51" t="s">
        <v>515</v>
      </c>
      <c r="H349" s="50" t="s">
        <v>53</v>
      </c>
      <c r="I349" s="50" t="s">
        <v>544</v>
      </c>
      <c r="K349" s="47">
        <v>-48244616</v>
      </c>
      <c r="L349" s="46">
        <v>52025</v>
      </c>
      <c r="M349" s="11" t="s">
        <v>138</v>
      </c>
      <c r="N349" s="11" t="str">
        <f>M349</f>
        <v>VNOther</v>
      </c>
      <c r="O349" s="15">
        <f>-$K349*IFERROR(INDEX('[1]salary allocation'!$E$6:$J$22,MATCH($H349,'[1]salary allocation'!$D$6:$D$22,0),MATCH(O$3,'[1]salary allocation'!$E$3:$J$3,0)),0)</f>
        <v>0</v>
      </c>
      <c r="P349" s="15">
        <f>-$K349*IFERROR(INDEX('[1]salary allocation'!$E$6:$J$22,MATCH($H349,'[1]salary allocation'!$D$6:$D$22,0),MATCH(P$3,'[1]salary allocation'!$E$3:$J$3,0)),0)</f>
        <v>7236692.3999999994</v>
      </c>
      <c r="Q349" s="15">
        <f>-$K349*IFERROR(INDEX('[1]salary allocation'!$E$6:$J$22,MATCH($H349,'[1]salary allocation'!$D$6:$D$22,0),MATCH(Q$3,'[1]salary allocation'!$E$3:$J$3,0)),0)</f>
        <v>0</v>
      </c>
      <c r="R349" s="15">
        <f>-$K349*IFERROR(INDEX('[1]salary allocation'!$E$6:$J$22,MATCH($H349,'[1]salary allocation'!$D$6:$D$22,0),MATCH(R$3,'[1]salary allocation'!$E$3:$J$3,0)),0)</f>
        <v>0</v>
      </c>
      <c r="S349" s="15">
        <f>-$K349*IFERROR(INDEX('[1]salary allocation'!$E$6:$J$22,MATCH($H349,'[1]salary allocation'!$D$6:$D$22,0),MATCH(S$3,'[1]salary allocation'!$E$3:$J$3,0)),0)</f>
        <v>8201584.7199999988</v>
      </c>
      <c r="T349" s="15">
        <f>-$K349*IFERROR(INDEX('[1]salary allocation'!$E$6:$J$22,MATCH($H349,'[1]salary allocation'!$D$6:$D$22,0),MATCH(T$3,'[1]salary allocation'!$E$3:$J$3,0)),0)</f>
        <v>8201584.7199999988</v>
      </c>
      <c r="U349" s="15">
        <f>-$K349*IFERROR(INDEX('[1]salary allocation'!$E$6:$J$22,MATCH($H349,'[1]salary allocation'!$D$6:$D$22,0),MATCH(U$3,'[1]salary allocation'!$E$3:$J$3,0)),0)</f>
        <v>8201584.7199999988</v>
      </c>
      <c r="V349" s="15">
        <f>-$K349*IFERROR(INDEX('[1]salary allocation'!$E$6:$J$22,MATCH($H349,'[1]salary allocation'!$D$6:$D$22,0),MATCH(V$3,'[1]salary allocation'!$E$3:$J$3,0)),0)</f>
        <v>0</v>
      </c>
      <c r="W349" s="15">
        <f>-$K349*IFERROR(INDEX('[1]salary allocation'!$E$6:$J$22,MATCH($H349,'[1]salary allocation'!$D$6:$D$22,0),MATCH(W$3,'[1]salary allocation'!$E$3:$J$3,0)),0)</f>
        <v>16403169.439999998</v>
      </c>
      <c r="X349" s="15">
        <f>-$K349*IFERROR(INDEX('[1]salary allocation'!$E$6:$J$22,MATCH($H349,'[1]salary allocation'!$D$6:$D$22,0),MATCH(X$3,'[1]salary allocation'!$E$3:$J$3,0)),0)</f>
        <v>0</v>
      </c>
      <c r="Y349" s="15">
        <f>-$K349*IFERROR(INDEX('[1]salary allocation'!$E$6:$J$22,MATCH($H349,'[1]salary allocation'!$D$6:$D$22,0),MATCH(Y$3,'[1]salary allocation'!$E$3:$J$3,0)),0)</f>
        <v>0</v>
      </c>
      <c r="Z349" s="15">
        <f>-$K349*IFERROR(INDEX('[1]salary allocation'!$E$6:$J$22,MATCH($H349,'[1]salary allocation'!$D$6:$D$22,0),MATCH(Z$3,'[1]salary allocation'!$E$3:$J$3,0)),0)</f>
        <v>0</v>
      </c>
      <c r="AA349" s="15">
        <f>-$K349*IFERROR(INDEX('[1]salary allocation'!$E$6:$J$22,MATCH($H349,'[1]salary allocation'!$D$6:$D$22,0),MATCH(AA$3,'[1]salary allocation'!$E$3:$J$3,0)),0)</f>
        <v>0</v>
      </c>
      <c r="AB349" s="15">
        <f>-$K349*IFERROR(INDEX('[1]salary allocation'!$E$6:$J$22,MATCH($H349,'[1]salary allocation'!$D$6:$D$22,0),MATCH(AB$3,'[1]salary allocation'!$E$3:$J$3,0)),0)</f>
        <v>0</v>
      </c>
      <c r="AC349" s="18">
        <f>-$K349*IFERROR(INDEX('[1]salary allocation'!$E$6:$J$22,MATCH($H349,'[1]salary allocation'!$D$6:$D$22,0),MATCH(AC$3,'[1]salary allocation'!$E$3:$J$3,0)),0)</f>
        <v>0</v>
      </c>
      <c r="AD349" s="17"/>
      <c r="AE349" s="16"/>
      <c r="AF349" s="15">
        <f>-$K349</f>
        <v>48244616</v>
      </c>
      <c r="AG349" s="15"/>
      <c r="AH349" s="2">
        <f>K349+SUM(O349:AC349)</f>
        <v>0</v>
      </c>
      <c r="AI349" s="2">
        <f>K349+SUM(AF349:AG349)</f>
        <v>0</v>
      </c>
    </row>
    <row r="350" spans="1:35" ht="17" x14ac:dyDescent="0.2">
      <c r="A350" s="59" t="s">
        <v>51</v>
      </c>
      <c r="B350" s="63" t="s">
        <v>531</v>
      </c>
      <c r="H350" s="56" t="s">
        <v>51</v>
      </c>
      <c r="I350" s="56" t="s">
        <v>543</v>
      </c>
      <c r="K350" s="62">
        <v>-34709716</v>
      </c>
      <c r="L350" s="46">
        <v>12025</v>
      </c>
      <c r="M350" s="61" t="s">
        <v>138</v>
      </c>
      <c r="N350" s="11" t="str">
        <f>M350</f>
        <v>VNOther</v>
      </c>
      <c r="O350" s="15">
        <f>-$K350*IFERROR(INDEX('[1]salary allocation'!$E$6:$J$22,MATCH($H350,'[1]salary allocation'!$D$6:$D$22,0),MATCH(O$3,'[1]salary allocation'!$E$3:$J$3,0)),0)</f>
        <v>0</v>
      </c>
      <c r="P350" s="15">
        <f>-$K350*IFERROR(INDEX('[1]salary allocation'!$E$6:$J$22,MATCH($H350,'[1]salary allocation'!$D$6:$D$22,0),MATCH(P$3,'[1]salary allocation'!$E$3:$J$3,0)),0)</f>
        <v>17354858</v>
      </c>
      <c r="Q350" s="15">
        <f>-$K350*IFERROR(INDEX('[1]salary allocation'!$E$6:$J$22,MATCH($H350,'[1]salary allocation'!$D$6:$D$22,0),MATCH(Q$3,'[1]salary allocation'!$E$3:$J$3,0)),0)</f>
        <v>0</v>
      </c>
      <c r="R350" s="15">
        <f>-$K350*IFERROR(INDEX('[1]salary allocation'!$E$6:$J$22,MATCH($H350,'[1]salary allocation'!$D$6:$D$22,0),MATCH(R$3,'[1]salary allocation'!$E$3:$J$3,0)),0)</f>
        <v>0</v>
      </c>
      <c r="S350" s="15">
        <f>-$K350*IFERROR(INDEX('[1]salary allocation'!$E$6:$J$22,MATCH($H350,'[1]salary allocation'!$D$6:$D$22,0),MATCH(S$3,'[1]salary allocation'!$E$3:$J$3,0)),0)</f>
        <v>3470971.6</v>
      </c>
      <c r="T350" s="15">
        <f>-$K350*IFERROR(INDEX('[1]salary allocation'!$E$6:$J$22,MATCH($H350,'[1]salary allocation'!$D$6:$D$22,0),MATCH(T$3,'[1]salary allocation'!$E$3:$J$3,0)),0)</f>
        <v>3470971.6</v>
      </c>
      <c r="U350" s="15">
        <f>-$K350*IFERROR(INDEX('[1]salary allocation'!$E$6:$J$22,MATCH($H350,'[1]salary allocation'!$D$6:$D$22,0),MATCH(U$3,'[1]salary allocation'!$E$3:$J$3,0)),0)</f>
        <v>3470971.6</v>
      </c>
      <c r="V350" s="15">
        <f>-$K350*IFERROR(INDEX('[1]salary allocation'!$E$6:$J$22,MATCH($H350,'[1]salary allocation'!$D$6:$D$22,0),MATCH(V$3,'[1]salary allocation'!$E$3:$J$3,0)),0)</f>
        <v>0</v>
      </c>
      <c r="W350" s="15">
        <f>-$K350*IFERROR(INDEX('[1]salary allocation'!$E$6:$J$22,MATCH($H350,'[1]salary allocation'!$D$6:$D$22,0),MATCH(W$3,'[1]salary allocation'!$E$3:$J$3,0)),0)</f>
        <v>6941943.2000000002</v>
      </c>
      <c r="X350" s="15">
        <f>-$K350*IFERROR(INDEX('[1]salary allocation'!$E$6:$J$22,MATCH($H350,'[1]salary allocation'!$D$6:$D$22,0),MATCH(X$3,'[1]salary allocation'!$E$3:$J$3,0)),0)</f>
        <v>0</v>
      </c>
      <c r="Y350" s="15">
        <f>-$K350*IFERROR(INDEX('[1]salary allocation'!$E$6:$J$22,MATCH($H350,'[1]salary allocation'!$D$6:$D$22,0),MATCH(Y$3,'[1]salary allocation'!$E$3:$J$3,0)),0)</f>
        <v>0</v>
      </c>
      <c r="Z350" s="15">
        <f>-$K350*IFERROR(INDEX('[1]salary allocation'!$E$6:$J$22,MATCH($H350,'[1]salary allocation'!$D$6:$D$22,0),MATCH(Z$3,'[1]salary allocation'!$E$3:$J$3,0)),0)</f>
        <v>0</v>
      </c>
      <c r="AA350" s="15">
        <f>-$K350*IFERROR(INDEX('[1]salary allocation'!$E$6:$J$22,MATCH($H350,'[1]salary allocation'!$D$6:$D$22,0),MATCH(AA$3,'[1]salary allocation'!$E$3:$J$3,0)),0)</f>
        <v>0</v>
      </c>
      <c r="AB350" s="15">
        <f>-$K350*IFERROR(INDEX('[1]salary allocation'!$E$6:$J$22,MATCH($H350,'[1]salary allocation'!$D$6:$D$22,0),MATCH(AB$3,'[1]salary allocation'!$E$3:$J$3,0)),0)</f>
        <v>0</v>
      </c>
      <c r="AC350" s="18">
        <f>-$K350*IFERROR(INDEX('[1]salary allocation'!$E$6:$J$22,MATCH($H350,'[1]salary allocation'!$D$6:$D$22,0),MATCH(AC$3,'[1]salary allocation'!$E$3:$J$3,0)),0)</f>
        <v>0</v>
      </c>
      <c r="AD350" s="17"/>
      <c r="AE350" s="16"/>
      <c r="AF350" s="15">
        <f>-$K350</f>
        <v>34709716</v>
      </c>
      <c r="AG350" s="15"/>
      <c r="AH350" s="2">
        <f>K350+SUM(O350:AC350)</f>
        <v>0</v>
      </c>
      <c r="AI350" s="2">
        <f>K350+SUM(AF350:AG350)</f>
        <v>0</v>
      </c>
    </row>
    <row r="351" spans="1:35" ht="17" x14ac:dyDescent="0.2">
      <c r="A351" s="59" t="s">
        <v>51</v>
      </c>
      <c r="B351" s="55" t="s">
        <v>527</v>
      </c>
      <c r="H351" s="60" t="s">
        <v>51</v>
      </c>
      <c r="I351" s="59" t="s">
        <v>542</v>
      </c>
      <c r="K351" s="47">
        <v>-37743555</v>
      </c>
      <c r="L351" s="46">
        <v>22025</v>
      </c>
      <c r="M351" s="49" t="s">
        <v>138</v>
      </c>
      <c r="N351" s="11" t="str">
        <f>M351</f>
        <v>VNOther</v>
      </c>
      <c r="O351" s="15">
        <f>-$K351*IFERROR(INDEX('[1]salary allocation'!$E$6:$J$22,MATCH($H351,'[1]salary allocation'!$D$6:$D$22,0),MATCH(O$3,'[1]salary allocation'!$E$3:$J$3,0)),0)</f>
        <v>0</v>
      </c>
      <c r="P351" s="15">
        <f>-$K351*IFERROR(INDEX('[1]salary allocation'!$E$6:$J$22,MATCH($H351,'[1]salary allocation'!$D$6:$D$22,0),MATCH(P$3,'[1]salary allocation'!$E$3:$J$3,0)),0)</f>
        <v>18871777.5</v>
      </c>
      <c r="Q351" s="15">
        <f>-$K351*IFERROR(INDEX('[1]salary allocation'!$E$6:$J$22,MATCH($H351,'[1]salary allocation'!$D$6:$D$22,0),MATCH(Q$3,'[1]salary allocation'!$E$3:$J$3,0)),0)</f>
        <v>0</v>
      </c>
      <c r="R351" s="15">
        <f>-$K351*IFERROR(INDEX('[1]salary allocation'!$E$6:$J$22,MATCH($H351,'[1]salary allocation'!$D$6:$D$22,0),MATCH(R$3,'[1]salary allocation'!$E$3:$J$3,0)),0)</f>
        <v>0</v>
      </c>
      <c r="S351" s="15">
        <f>-$K351*IFERROR(INDEX('[1]salary allocation'!$E$6:$J$22,MATCH($H351,'[1]salary allocation'!$D$6:$D$22,0),MATCH(S$3,'[1]salary allocation'!$E$3:$J$3,0)),0)</f>
        <v>3774355.5</v>
      </c>
      <c r="T351" s="15">
        <f>-$K351*IFERROR(INDEX('[1]salary allocation'!$E$6:$J$22,MATCH($H351,'[1]salary allocation'!$D$6:$D$22,0),MATCH(T$3,'[1]salary allocation'!$E$3:$J$3,0)),0)</f>
        <v>3774355.5</v>
      </c>
      <c r="U351" s="15">
        <f>-$K351*IFERROR(INDEX('[1]salary allocation'!$E$6:$J$22,MATCH($H351,'[1]salary allocation'!$D$6:$D$22,0),MATCH(U$3,'[1]salary allocation'!$E$3:$J$3,0)),0)</f>
        <v>3774355.5</v>
      </c>
      <c r="V351" s="15">
        <f>-$K351*IFERROR(INDEX('[1]salary allocation'!$E$6:$J$22,MATCH($H351,'[1]salary allocation'!$D$6:$D$22,0),MATCH(V$3,'[1]salary allocation'!$E$3:$J$3,0)),0)</f>
        <v>0</v>
      </c>
      <c r="W351" s="15">
        <f>-$K351*IFERROR(INDEX('[1]salary allocation'!$E$6:$J$22,MATCH($H351,'[1]salary allocation'!$D$6:$D$22,0),MATCH(W$3,'[1]salary allocation'!$E$3:$J$3,0)),0)</f>
        <v>7548711</v>
      </c>
      <c r="X351" s="15">
        <f>-$K351*IFERROR(INDEX('[1]salary allocation'!$E$6:$J$22,MATCH($H351,'[1]salary allocation'!$D$6:$D$22,0),MATCH(X$3,'[1]salary allocation'!$E$3:$J$3,0)),0)</f>
        <v>0</v>
      </c>
      <c r="Y351" s="15">
        <f>-$K351*IFERROR(INDEX('[1]salary allocation'!$E$6:$J$22,MATCH($H351,'[1]salary allocation'!$D$6:$D$22,0),MATCH(Y$3,'[1]salary allocation'!$E$3:$J$3,0)),0)</f>
        <v>0</v>
      </c>
      <c r="Z351" s="15">
        <f>-$K351*IFERROR(INDEX('[1]salary allocation'!$E$6:$J$22,MATCH($H351,'[1]salary allocation'!$D$6:$D$22,0),MATCH(Z$3,'[1]salary allocation'!$E$3:$J$3,0)),0)</f>
        <v>0</v>
      </c>
      <c r="AA351" s="15">
        <f>-$K351*IFERROR(INDEX('[1]salary allocation'!$E$6:$J$22,MATCH($H351,'[1]salary allocation'!$D$6:$D$22,0),MATCH(AA$3,'[1]salary allocation'!$E$3:$J$3,0)),0)</f>
        <v>0</v>
      </c>
      <c r="AB351" s="15">
        <f>-$K351*IFERROR(INDEX('[1]salary allocation'!$E$6:$J$22,MATCH($H351,'[1]salary allocation'!$D$6:$D$22,0),MATCH(AB$3,'[1]salary allocation'!$E$3:$J$3,0)),0)</f>
        <v>0</v>
      </c>
      <c r="AC351" s="18">
        <f>-$K351*IFERROR(INDEX('[1]salary allocation'!$E$6:$J$22,MATCH($H351,'[1]salary allocation'!$D$6:$D$22,0),MATCH(AC$3,'[1]salary allocation'!$E$3:$J$3,0)),0)</f>
        <v>0</v>
      </c>
      <c r="AD351" s="17"/>
      <c r="AE351" s="16"/>
      <c r="AF351" s="15">
        <f>-$K351</f>
        <v>37743555</v>
      </c>
      <c r="AG351" s="15"/>
      <c r="AH351" s="2">
        <f>K351+SUM(O351:AC351)</f>
        <v>0</v>
      </c>
      <c r="AI351" s="2">
        <f>K351+SUM(AF351:AG351)</f>
        <v>0</v>
      </c>
    </row>
    <row r="352" spans="1:35" ht="17" x14ac:dyDescent="0.2">
      <c r="A352" s="59" t="s">
        <v>51</v>
      </c>
      <c r="B352" s="55" t="s">
        <v>523</v>
      </c>
      <c r="H352" s="52" t="s">
        <v>51</v>
      </c>
      <c r="I352" s="54" t="s">
        <v>541</v>
      </c>
      <c r="K352" s="47">
        <v>-42513646</v>
      </c>
      <c r="L352" s="46">
        <v>32025</v>
      </c>
      <c r="M352" s="49" t="s">
        <v>138</v>
      </c>
      <c r="N352" s="11" t="str">
        <f>M352</f>
        <v>VNOther</v>
      </c>
      <c r="O352" s="15">
        <f>-$K352*IFERROR(INDEX('[1]salary allocation'!$E$6:$J$22,MATCH($H352,'[1]salary allocation'!$D$6:$D$22,0),MATCH(O$3,'[1]salary allocation'!$E$3:$J$3,0)),0)</f>
        <v>0</v>
      </c>
      <c r="P352" s="15">
        <f>-$K352*IFERROR(INDEX('[1]salary allocation'!$E$6:$J$22,MATCH($H352,'[1]salary allocation'!$D$6:$D$22,0),MATCH(P$3,'[1]salary allocation'!$E$3:$J$3,0)),0)</f>
        <v>21256823</v>
      </c>
      <c r="Q352" s="15">
        <f>-$K352*IFERROR(INDEX('[1]salary allocation'!$E$6:$J$22,MATCH($H352,'[1]salary allocation'!$D$6:$D$22,0),MATCH(Q$3,'[1]salary allocation'!$E$3:$J$3,0)),0)</f>
        <v>0</v>
      </c>
      <c r="R352" s="15">
        <f>-$K352*IFERROR(INDEX('[1]salary allocation'!$E$6:$J$22,MATCH($H352,'[1]salary allocation'!$D$6:$D$22,0),MATCH(R$3,'[1]salary allocation'!$E$3:$J$3,0)),0)</f>
        <v>0</v>
      </c>
      <c r="S352" s="15">
        <f>-$K352*IFERROR(INDEX('[1]salary allocation'!$E$6:$J$22,MATCH($H352,'[1]salary allocation'!$D$6:$D$22,0),MATCH(S$3,'[1]salary allocation'!$E$3:$J$3,0)),0)</f>
        <v>4251364.6000000006</v>
      </c>
      <c r="T352" s="15">
        <f>-$K352*IFERROR(INDEX('[1]salary allocation'!$E$6:$J$22,MATCH($H352,'[1]salary allocation'!$D$6:$D$22,0),MATCH(T$3,'[1]salary allocation'!$E$3:$J$3,0)),0)</f>
        <v>4251364.6000000006</v>
      </c>
      <c r="U352" s="15">
        <f>-$K352*IFERROR(INDEX('[1]salary allocation'!$E$6:$J$22,MATCH($H352,'[1]salary allocation'!$D$6:$D$22,0),MATCH(U$3,'[1]salary allocation'!$E$3:$J$3,0)),0)</f>
        <v>4251364.6000000006</v>
      </c>
      <c r="V352" s="15">
        <f>-$K352*IFERROR(INDEX('[1]salary allocation'!$E$6:$J$22,MATCH($H352,'[1]salary allocation'!$D$6:$D$22,0),MATCH(V$3,'[1]salary allocation'!$E$3:$J$3,0)),0)</f>
        <v>0</v>
      </c>
      <c r="W352" s="15">
        <f>-$K352*IFERROR(INDEX('[1]salary allocation'!$E$6:$J$22,MATCH($H352,'[1]salary allocation'!$D$6:$D$22,0),MATCH(W$3,'[1]salary allocation'!$E$3:$J$3,0)),0)</f>
        <v>8502729.2000000011</v>
      </c>
      <c r="X352" s="15">
        <f>-$K352*IFERROR(INDEX('[1]salary allocation'!$E$6:$J$22,MATCH($H352,'[1]salary allocation'!$D$6:$D$22,0),MATCH(X$3,'[1]salary allocation'!$E$3:$J$3,0)),0)</f>
        <v>0</v>
      </c>
      <c r="Y352" s="15">
        <f>-$K352*IFERROR(INDEX('[1]salary allocation'!$E$6:$J$22,MATCH($H352,'[1]salary allocation'!$D$6:$D$22,0),MATCH(Y$3,'[1]salary allocation'!$E$3:$J$3,0)),0)</f>
        <v>0</v>
      </c>
      <c r="Z352" s="15">
        <f>-$K352*IFERROR(INDEX('[1]salary allocation'!$E$6:$J$22,MATCH($H352,'[1]salary allocation'!$D$6:$D$22,0),MATCH(Z$3,'[1]salary allocation'!$E$3:$J$3,0)),0)</f>
        <v>0</v>
      </c>
      <c r="AA352" s="15">
        <f>-$K352*IFERROR(INDEX('[1]salary allocation'!$E$6:$J$22,MATCH($H352,'[1]salary allocation'!$D$6:$D$22,0),MATCH(AA$3,'[1]salary allocation'!$E$3:$J$3,0)),0)</f>
        <v>0</v>
      </c>
      <c r="AB352" s="15">
        <f>-$K352*IFERROR(INDEX('[1]salary allocation'!$E$6:$J$22,MATCH($H352,'[1]salary allocation'!$D$6:$D$22,0),MATCH(AB$3,'[1]salary allocation'!$E$3:$J$3,0)),0)</f>
        <v>0</v>
      </c>
      <c r="AC352" s="18">
        <f>-$K352*IFERROR(INDEX('[1]salary allocation'!$E$6:$J$22,MATCH($H352,'[1]salary allocation'!$D$6:$D$22,0),MATCH(AC$3,'[1]salary allocation'!$E$3:$J$3,0)),0)</f>
        <v>0</v>
      </c>
      <c r="AD352" s="17"/>
      <c r="AE352" s="16"/>
      <c r="AF352" s="15">
        <f>-$K352</f>
        <v>42513646</v>
      </c>
      <c r="AG352" s="15"/>
      <c r="AH352" s="2">
        <f>K352+SUM(O352:AC352)</f>
        <v>0</v>
      </c>
      <c r="AI352" s="2">
        <f>K352+SUM(AF352:AG352)</f>
        <v>0</v>
      </c>
    </row>
    <row r="353" spans="1:35" ht="17" x14ac:dyDescent="0.2">
      <c r="A353" s="59" t="s">
        <v>51</v>
      </c>
      <c r="B353" s="53" t="s">
        <v>519</v>
      </c>
      <c r="H353" s="52" t="s">
        <v>51</v>
      </c>
      <c r="I353" s="52" t="s">
        <v>540</v>
      </c>
      <c r="K353" s="13">
        <v>-36848673</v>
      </c>
      <c r="L353" s="46">
        <v>42025</v>
      </c>
      <c r="M353" s="11" t="s">
        <v>138</v>
      </c>
      <c r="N353" s="11" t="str">
        <f>M353</f>
        <v>VNOther</v>
      </c>
      <c r="O353" s="15">
        <f>-$K353*IFERROR(INDEX('[1]salary allocation'!$E$6:$J$22,MATCH($H353,'[1]salary allocation'!$D$6:$D$22,0),MATCH(O$3,'[1]salary allocation'!$E$3:$J$3,0)),0)</f>
        <v>0</v>
      </c>
      <c r="P353" s="15">
        <f>-$K353*IFERROR(INDEX('[1]salary allocation'!$E$6:$J$22,MATCH($H353,'[1]salary allocation'!$D$6:$D$22,0),MATCH(P$3,'[1]salary allocation'!$E$3:$J$3,0)),0)</f>
        <v>18424336.5</v>
      </c>
      <c r="Q353" s="15">
        <f>-$K353*IFERROR(INDEX('[1]salary allocation'!$E$6:$J$22,MATCH($H353,'[1]salary allocation'!$D$6:$D$22,0),MATCH(Q$3,'[1]salary allocation'!$E$3:$J$3,0)),0)</f>
        <v>0</v>
      </c>
      <c r="R353" s="15">
        <f>-$K353*IFERROR(INDEX('[1]salary allocation'!$E$6:$J$22,MATCH($H353,'[1]salary allocation'!$D$6:$D$22,0),MATCH(R$3,'[1]salary allocation'!$E$3:$J$3,0)),0)</f>
        <v>0</v>
      </c>
      <c r="S353" s="15">
        <f>-$K353*IFERROR(INDEX('[1]salary allocation'!$E$6:$J$22,MATCH($H353,'[1]salary allocation'!$D$6:$D$22,0),MATCH(S$3,'[1]salary allocation'!$E$3:$J$3,0)),0)</f>
        <v>3684867.3000000003</v>
      </c>
      <c r="T353" s="15">
        <f>-$K353*IFERROR(INDEX('[1]salary allocation'!$E$6:$J$22,MATCH($H353,'[1]salary allocation'!$D$6:$D$22,0),MATCH(T$3,'[1]salary allocation'!$E$3:$J$3,0)),0)</f>
        <v>3684867.3000000003</v>
      </c>
      <c r="U353" s="15">
        <f>-$K353*IFERROR(INDEX('[1]salary allocation'!$E$6:$J$22,MATCH($H353,'[1]salary allocation'!$D$6:$D$22,0),MATCH(U$3,'[1]salary allocation'!$E$3:$J$3,0)),0)</f>
        <v>3684867.3000000003</v>
      </c>
      <c r="V353" s="15">
        <f>-$K353*IFERROR(INDEX('[1]salary allocation'!$E$6:$J$22,MATCH($H353,'[1]salary allocation'!$D$6:$D$22,0),MATCH(V$3,'[1]salary allocation'!$E$3:$J$3,0)),0)</f>
        <v>0</v>
      </c>
      <c r="W353" s="15">
        <f>-$K353*IFERROR(INDEX('[1]salary allocation'!$E$6:$J$22,MATCH($H353,'[1]salary allocation'!$D$6:$D$22,0),MATCH(W$3,'[1]salary allocation'!$E$3:$J$3,0)),0)</f>
        <v>7369734.6000000006</v>
      </c>
      <c r="X353" s="15">
        <f>-$K353*IFERROR(INDEX('[1]salary allocation'!$E$6:$J$22,MATCH($H353,'[1]salary allocation'!$D$6:$D$22,0),MATCH(X$3,'[1]salary allocation'!$E$3:$J$3,0)),0)</f>
        <v>0</v>
      </c>
      <c r="Y353" s="15">
        <f>-$K353*IFERROR(INDEX('[1]salary allocation'!$E$6:$J$22,MATCH($H353,'[1]salary allocation'!$D$6:$D$22,0),MATCH(Y$3,'[1]salary allocation'!$E$3:$J$3,0)),0)</f>
        <v>0</v>
      </c>
      <c r="Z353" s="15">
        <f>-$K353*IFERROR(INDEX('[1]salary allocation'!$E$6:$J$22,MATCH($H353,'[1]salary allocation'!$D$6:$D$22,0),MATCH(Z$3,'[1]salary allocation'!$E$3:$J$3,0)),0)</f>
        <v>0</v>
      </c>
      <c r="AA353" s="15">
        <f>-$K353*IFERROR(INDEX('[1]salary allocation'!$E$6:$J$22,MATCH($H353,'[1]salary allocation'!$D$6:$D$22,0),MATCH(AA$3,'[1]salary allocation'!$E$3:$J$3,0)),0)</f>
        <v>0</v>
      </c>
      <c r="AB353" s="15">
        <f>-$K353*IFERROR(INDEX('[1]salary allocation'!$E$6:$J$22,MATCH($H353,'[1]salary allocation'!$D$6:$D$22,0),MATCH(AB$3,'[1]salary allocation'!$E$3:$J$3,0)),0)</f>
        <v>0</v>
      </c>
      <c r="AC353" s="18">
        <f>-$K353*IFERROR(INDEX('[1]salary allocation'!$E$6:$J$22,MATCH($H353,'[1]salary allocation'!$D$6:$D$22,0),MATCH(AC$3,'[1]salary allocation'!$E$3:$J$3,0)),0)</f>
        <v>0</v>
      </c>
      <c r="AD353" s="17"/>
      <c r="AE353" s="16"/>
      <c r="AF353" s="15">
        <f>-$K353</f>
        <v>36848673</v>
      </c>
      <c r="AG353" s="15"/>
      <c r="AH353" s="2">
        <f>K353+SUM(O353:AC353)</f>
        <v>0</v>
      </c>
      <c r="AI353" s="2">
        <f>K353+SUM(AF353:AG353)</f>
        <v>0</v>
      </c>
    </row>
    <row r="354" spans="1:35" ht="17" x14ac:dyDescent="0.2">
      <c r="A354" s="59" t="s">
        <v>51</v>
      </c>
      <c r="B354" s="49" t="s">
        <v>515</v>
      </c>
      <c r="H354" s="48" t="s">
        <v>51</v>
      </c>
      <c r="I354" s="48" t="s">
        <v>539</v>
      </c>
      <c r="K354" s="47">
        <v>-37146193</v>
      </c>
      <c r="L354" s="46">
        <v>52025</v>
      </c>
      <c r="M354" s="11" t="s">
        <v>138</v>
      </c>
      <c r="N354" s="11" t="str">
        <f>M354</f>
        <v>VNOther</v>
      </c>
      <c r="O354" s="15">
        <f>-$K354*IFERROR(INDEX('[1]salary allocation'!$E$6:$J$22,MATCH($H354,'[1]salary allocation'!$D$6:$D$22,0),MATCH(O$3,'[1]salary allocation'!$E$3:$J$3,0)),0)</f>
        <v>0</v>
      </c>
      <c r="P354" s="15">
        <f>-$K354*IFERROR(INDEX('[1]salary allocation'!$E$6:$J$22,MATCH($H354,'[1]salary allocation'!$D$6:$D$22,0),MATCH(P$3,'[1]salary allocation'!$E$3:$J$3,0)),0)</f>
        <v>18573096.5</v>
      </c>
      <c r="Q354" s="15">
        <f>-$K354*IFERROR(INDEX('[1]salary allocation'!$E$6:$J$22,MATCH($H354,'[1]salary allocation'!$D$6:$D$22,0),MATCH(Q$3,'[1]salary allocation'!$E$3:$J$3,0)),0)</f>
        <v>0</v>
      </c>
      <c r="R354" s="15">
        <f>-$K354*IFERROR(INDEX('[1]salary allocation'!$E$6:$J$22,MATCH($H354,'[1]salary allocation'!$D$6:$D$22,0),MATCH(R$3,'[1]salary allocation'!$E$3:$J$3,0)),0)</f>
        <v>0</v>
      </c>
      <c r="S354" s="15">
        <f>-$K354*IFERROR(INDEX('[1]salary allocation'!$E$6:$J$22,MATCH($H354,'[1]salary allocation'!$D$6:$D$22,0),MATCH(S$3,'[1]salary allocation'!$E$3:$J$3,0)),0)</f>
        <v>3714619.3000000003</v>
      </c>
      <c r="T354" s="15">
        <f>-$K354*IFERROR(INDEX('[1]salary allocation'!$E$6:$J$22,MATCH($H354,'[1]salary allocation'!$D$6:$D$22,0),MATCH(T$3,'[1]salary allocation'!$E$3:$J$3,0)),0)</f>
        <v>3714619.3000000003</v>
      </c>
      <c r="U354" s="15">
        <f>-$K354*IFERROR(INDEX('[1]salary allocation'!$E$6:$J$22,MATCH($H354,'[1]salary allocation'!$D$6:$D$22,0),MATCH(U$3,'[1]salary allocation'!$E$3:$J$3,0)),0)</f>
        <v>3714619.3000000003</v>
      </c>
      <c r="V354" s="15">
        <f>-$K354*IFERROR(INDEX('[1]salary allocation'!$E$6:$J$22,MATCH($H354,'[1]salary allocation'!$D$6:$D$22,0),MATCH(V$3,'[1]salary allocation'!$E$3:$J$3,0)),0)</f>
        <v>0</v>
      </c>
      <c r="W354" s="15">
        <f>-$K354*IFERROR(INDEX('[1]salary allocation'!$E$6:$J$22,MATCH($H354,'[1]salary allocation'!$D$6:$D$22,0),MATCH(W$3,'[1]salary allocation'!$E$3:$J$3,0)),0)</f>
        <v>7429238.6000000006</v>
      </c>
      <c r="X354" s="15">
        <f>-$K354*IFERROR(INDEX('[1]salary allocation'!$E$6:$J$22,MATCH($H354,'[1]salary allocation'!$D$6:$D$22,0),MATCH(X$3,'[1]salary allocation'!$E$3:$J$3,0)),0)</f>
        <v>0</v>
      </c>
      <c r="Y354" s="15">
        <f>-$K354*IFERROR(INDEX('[1]salary allocation'!$E$6:$J$22,MATCH($H354,'[1]salary allocation'!$D$6:$D$22,0),MATCH(Y$3,'[1]salary allocation'!$E$3:$J$3,0)),0)</f>
        <v>0</v>
      </c>
      <c r="Z354" s="15">
        <f>-$K354*IFERROR(INDEX('[1]salary allocation'!$E$6:$J$22,MATCH($H354,'[1]salary allocation'!$D$6:$D$22,0),MATCH(Z$3,'[1]salary allocation'!$E$3:$J$3,0)),0)</f>
        <v>0</v>
      </c>
      <c r="AA354" s="15">
        <f>-$K354*IFERROR(INDEX('[1]salary allocation'!$E$6:$J$22,MATCH($H354,'[1]salary allocation'!$D$6:$D$22,0),MATCH(AA$3,'[1]salary allocation'!$E$3:$J$3,0)),0)</f>
        <v>0</v>
      </c>
      <c r="AB354" s="15">
        <f>-$K354*IFERROR(INDEX('[1]salary allocation'!$E$6:$J$22,MATCH($H354,'[1]salary allocation'!$D$6:$D$22,0),MATCH(AB$3,'[1]salary allocation'!$E$3:$J$3,0)),0)</f>
        <v>0</v>
      </c>
      <c r="AC354" s="18">
        <f>-$K354*IFERROR(INDEX('[1]salary allocation'!$E$6:$J$22,MATCH($H354,'[1]salary allocation'!$D$6:$D$22,0),MATCH(AC$3,'[1]salary allocation'!$E$3:$J$3,0)),0)</f>
        <v>0</v>
      </c>
      <c r="AD354" s="17"/>
      <c r="AE354" s="16"/>
      <c r="AF354" s="15">
        <f>-$K354</f>
        <v>37146193</v>
      </c>
      <c r="AG354" s="15"/>
      <c r="AH354" s="2">
        <f>K354+SUM(O354:AC354)</f>
        <v>0</v>
      </c>
      <c r="AI354" s="2">
        <f>K354+SUM(AF354:AG354)</f>
        <v>0</v>
      </c>
    </row>
    <row r="355" spans="1:35" ht="17" x14ac:dyDescent="0.2">
      <c r="A355" s="59" t="s">
        <v>110</v>
      </c>
      <c r="B355" s="64" t="s">
        <v>531</v>
      </c>
      <c r="H355" s="59" t="s">
        <v>110</v>
      </c>
      <c r="I355" s="59" t="s">
        <v>538</v>
      </c>
      <c r="K355" s="2">
        <v>-6771200</v>
      </c>
      <c r="L355" s="46">
        <v>12025</v>
      </c>
      <c r="M355" s="61" t="s">
        <v>138</v>
      </c>
      <c r="N355" s="11" t="str">
        <f>M355</f>
        <v>VNOther</v>
      </c>
      <c r="O355" s="15">
        <f>-$K355*IFERROR(INDEX('[1]salary allocation'!$E$6:$J$22,MATCH($H355,'[1]salary allocation'!$D$6:$D$22,0),MATCH(O$3,'[1]salary allocation'!$E$3:$J$3,0)),0)</f>
        <v>0</v>
      </c>
      <c r="P355" s="15">
        <f>-$K355*IFERROR(INDEX('[1]salary allocation'!$E$6:$J$22,MATCH($H355,'[1]salary allocation'!$D$6:$D$22,0),MATCH(P$3,'[1]salary allocation'!$E$3:$J$3,0)),0)</f>
        <v>1015680</v>
      </c>
      <c r="Q355" s="15">
        <f>-$K355*IFERROR(INDEX('[1]salary allocation'!$E$6:$J$22,MATCH($H355,'[1]salary allocation'!$D$6:$D$22,0),MATCH(Q$3,'[1]salary allocation'!$E$3:$J$3,0)),0)</f>
        <v>0</v>
      </c>
      <c r="R355" s="15">
        <f>-$K355*IFERROR(INDEX('[1]salary allocation'!$E$6:$J$22,MATCH($H355,'[1]salary allocation'!$D$6:$D$22,0),MATCH(R$3,'[1]salary allocation'!$E$3:$J$3,0)),0)</f>
        <v>0</v>
      </c>
      <c r="S355" s="15">
        <f>-$K355*IFERROR(INDEX('[1]salary allocation'!$E$6:$J$22,MATCH($H355,'[1]salary allocation'!$D$6:$D$22,0),MATCH(S$3,'[1]salary allocation'!$E$3:$J$3,0)),0)</f>
        <v>1151104</v>
      </c>
      <c r="T355" s="15">
        <f>-$K355*IFERROR(INDEX('[1]salary allocation'!$E$6:$J$22,MATCH($H355,'[1]salary allocation'!$D$6:$D$22,0),MATCH(T$3,'[1]salary allocation'!$E$3:$J$3,0)),0)</f>
        <v>1151104</v>
      </c>
      <c r="U355" s="15">
        <f>-$K355*IFERROR(INDEX('[1]salary allocation'!$E$6:$J$22,MATCH($H355,'[1]salary allocation'!$D$6:$D$22,0),MATCH(U$3,'[1]salary allocation'!$E$3:$J$3,0)),0)</f>
        <v>1151104</v>
      </c>
      <c r="V355" s="15">
        <f>-$K355*IFERROR(INDEX('[1]salary allocation'!$E$6:$J$22,MATCH($H355,'[1]salary allocation'!$D$6:$D$22,0),MATCH(V$3,'[1]salary allocation'!$E$3:$J$3,0)),0)</f>
        <v>0</v>
      </c>
      <c r="W355" s="15">
        <f>-$K355*IFERROR(INDEX('[1]salary allocation'!$E$6:$J$22,MATCH($H355,'[1]salary allocation'!$D$6:$D$22,0),MATCH(W$3,'[1]salary allocation'!$E$3:$J$3,0)),0)</f>
        <v>2302208</v>
      </c>
      <c r="X355" s="15">
        <f>-$K355*IFERROR(INDEX('[1]salary allocation'!$E$6:$J$22,MATCH($H355,'[1]salary allocation'!$D$6:$D$22,0),MATCH(X$3,'[1]salary allocation'!$E$3:$J$3,0)),0)</f>
        <v>0</v>
      </c>
      <c r="Y355" s="15">
        <f>-$K355*IFERROR(INDEX('[1]salary allocation'!$E$6:$J$22,MATCH($H355,'[1]salary allocation'!$D$6:$D$22,0),MATCH(Y$3,'[1]salary allocation'!$E$3:$J$3,0)),0)</f>
        <v>0</v>
      </c>
      <c r="Z355" s="15">
        <f>-$K355*IFERROR(INDEX('[1]salary allocation'!$E$6:$J$22,MATCH($H355,'[1]salary allocation'!$D$6:$D$22,0),MATCH(Z$3,'[1]salary allocation'!$E$3:$J$3,0)),0)</f>
        <v>0</v>
      </c>
      <c r="AA355" s="15">
        <f>-$K355*IFERROR(INDEX('[1]salary allocation'!$E$6:$J$22,MATCH($H355,'[1]salary allocation'!$D$6:$D$22,0),MATCH(AA$3,'[1]salary allocation'!$E$3:$J$3,0)),0)</f>
        <v>0</v>
      </c>
      <c r="AB355" s="15">
        <f>-$K355*IFERROR(INDEX('[1]salary allocation'!$E$6:$J$22,MATCH($H355,'[1]salary allocation'!$D$6:$D$22,0),MATCH(AB$3,'[1]salary allocation'!$E$3:$J$3,0)),0)</f>
        <v>0</v>
      </c>
      <c r="AC355" s="18">
        <f>-$K355*IFERROR(INDEX('[1]salary allocation'!$E$6:$J$22,MATCH($H355,'[1]salary allocation'!$D$6:$D$22,0),MATCH(AC$3,'[1]salary allocation'!$E$3:$J$3,0)),0)</f>
        <v>0</v>
      </c>
      <c r="AD355" s="17"/>
      <c r="AE355" s="16"/>
      <c r="AF355" s="15">
        <f>-$K355</f>
        <v>6771200</v>
      </c>
      <c r="AG355" s="15"/>
      <c r="AH355" s="2">
        <f>K355+SUM(O355:AC355)</f>
        <v>0</v>
      </c>
      <c r="AI355" s="2">
        <f>K355+SUM(AF355:AG355)</f>
        <v>0</v>
      </c>
    </row>
    <row r="356" spans="1:35" ht="17" x14ac:dyDescent="0.2">
      <c r="A356" s="59" t="s">
        <v>110</v>
      </c>
      <c r="B356" s="55" t="s">
        <v>527</v>
      </c>
      <c r="H356" s="60" t="s">
        <v>110</v>
      </c>
      <c r="I356" s="59" t="s">
        <v>537</v>
      </c>
      <c r="K356" s="2">
        <v>-7305800</v>
      </c>
      <c r="L356" s="46">
        <v>22025</v>
      </c>
      <c r="M356" s="49" t="s">
        <v>138</v>
      </c>
      <c r="N356" s="11" t="str">
        <f>M356</f>
        <v>VNOther</v>
      </c>
      <c r="O356" s="15">
        <f>-$K356*IFERROR(INDEX('[1]salary allocation'!$E$6:$J$22,MATCH($H356,'[1]salary allocation'!$D$6:$D$22,0),MATCH(O$3,'[1]salary allocation'!$E$3:$J$3,0)),0)</f>
        <v>0</v>
      </c>
      <c r="P356" s="15">
        <f>-$K356*IFERROR(INDEX('[1]salary allocation'!$E$6:$J$22,MATCH($H356,'[1]salary allocation'!$D$6:$D$22,0),MATCH(P$3,'[1]salary allocation'!$E$3:$J$3,0)),0)</f>
        <v>1095870</v>
      </c>
      <c r="Q356" s="15">
        <f>-$K356*IFERROR(INDEX('[1]salary allocation'!$E$6:$J$22,MATCH($H356,'[1]salary allocation'!$D$6:$D$22,0),MATCH(Q$3,'[1]salary allocation'!$E$3:$J$3,0)),0)</f>
        <v>0</v>
      </c>
      <c r="R356" s="15">
        <f>-$K356*IFERROR(INDEX('[1]salary allocation'!$E$6:$J$22,MATCH($H356,'[1]salary allocation'!$D$6:$D$22,0),MATCH(R$3,'[1]salary allocation'!$E$3:$J$3,0)),0)</f>
        <v>0</v>
      </c>
      <c r="S356" s="15">
        <f>-$K356*IFERROR(INDEX('[1]salary allocation'!$E$6:$J$22,MATCH($H356,'[1]salary allocation'!$D$6:$D$22,0),MATCH(S$3,'[1]salary allocation'!$E$3:$J$3,0)),0)</f>
        <v>1241986</v>
      </c>
      <c r="T356" s="15">
        <f>-$K356*IFERROR(INDEX('[1]salary allocation'!$E$6:$J$22,MATCH($H356,'[1]salary allocation'!$D$6:$D$22,0),MATCH(T$3,'[1]salary allocation'!$E$3:$J$3,0)),0)</f>
        <v>1241986</v>
      </c>
      <c r="U356" s="15">
        <f>-$K356*IFERROR(INDEX('[1]salary allocation'!$E$6:$J$22,MATCH($H356,'[1]salary allocation'!$D$6:$D$22,0),MATCH(U$3,'[1]salary allocation'!$E$3:$J$3,0)),0)</f>
        <v>1241986</v>
      </c>
      <c r="V356" s="15">
        <f>-$K356*IFERROR(INDEX('[1]salary allocation'!$E$6:$J$22,MATCH($H356,'[1]salary allocation'!$D$6:$D$22,0),MATCH(V$3,'[1]salary allocation'!$E$3:$J$3,0)),0)</f>
        <v>0</v>
      </c>
      <c r="W356" s="15">
        <f>-$K356*IFERROR(INDEX('[1]salary allocation'!$E$6:$J$22,MATCH($H356,'[1]salary allocation'!$D$6:$D$22,0),MATCH(W$3,'[1]salary allocation'!$E$3:$J$3,0)),0)</f>
        <v>2483972</v>
      </c>
      <c r="X356" s="15">
        <f>-$K356*IFERROR(INDEX('[1]salary allocation'!$E$6:$J$22,MATCH($H356,'[1]salary allocation'!$D$6:$D$22,0),MATCH(X$3,'[1]salary allocation'!$E$3:$J$3,0)),0)</f>
        <v>0</v>
      </c>
      <c r="Y356" s="15">
        <f>-$K356*IFERROR(INDEX('[1]salary allocation'!$E$6:$J$22,MATCH($H356,'[1]salary allocation'!$D$6:$D$22,0),MATCH(Y$3,'[1]salary allocation'!$E$3:$J$3,0)),0)</f>
        <v>0</v>
      </c>
      <c r="Z356" s="15">
        <f>-$K356*IFERROR(INDEX('[1]salary allocation'!$E$6:$J$22,MATCH($H356,'[1]salary allocation'!$D$6:$D$22,0),MATCH(Z$3,'[1]salary allocation'!$E$3:$J$3,0)),0)</f>
        <v>0</v>
      </c>
      <c r="AA356" s="15">
        <f>-$K356*IFERROR(INDEX('[1]salary allocation'!$E$6:$J$22,MATCH($H356,'[1]salary allocation'!$D$6:$D$22,0),MATCH(AA$3,'[1]salary allocation'!$E$3:$J$3,0)),0)</f>
        <v>0</v>
      </c>
      <c r="AB356" s="15">
        <f>-$K356*IFERROR(INDEX('[1]salary allocation'!$E$6:$J$22,MATCH($H356,'[1]salary allocation'!$D$6:$D$22,0),MATCH(AB$3,'[1]salary allocation'!$E$3:$J$3,0)),0)</f>
        <v>0</v>
      </c>
      <c r="AC356" s="18">
        <f>-$K356*IFERROR(INDEX('[1]salary allocation'!$E$6:$J$22,MATCH($H356,'[1]salary allocation'!$D$6:$D$22,0),MATCH(AC$3,'[1]salary allocation'!$E$3:$J$3,0)),0)</f>
        <v>0</v>
      </c>
      <c r="AD356" s="17"/>
      <c r="AE356" s="16"/>
      <c r="AF356" s="15">
        <f>-$K356</f>
        <v>7305800</v>
      </c>
      <c r="AG356" s="15"/>
      <c r="AH356" s="2">
        <f>K356+SUM(O356:AC356)</f>
        <v>0</v>
      </c>
      <c r="AI356" s="2">
        <f>K356+SUM(AF356:AG356)</f>
        <v>0</v>
      </c>
    </row>
    <row r="357" spans="1:35" ht="17" x14ac:dyDescent="0.2">
      <c r="A357" s="59" t="s">
        <v>110</v>
      </c>
      <c r="B357" s="55" t="s">
        <v>523</v>
      </c>
      <c r="H357" s="52" t="s">
        <v>110</v>
      </c>
      <c r="I357" s="54" t="s">
        <v>536</v>
      </c>
      <c r="K357" s="2">
        <v>-7082564</v>
      </c>
      <c r="L357" s="46">
        <v>32025</v>
      </c>
      <c r="M357" s="49" t="s">
        <v>138</v>
      </c>
      <c r="N357" s="11" t="str">
        <f>M357</f>
        <v>VNOther</v>
      </c>
      <c r="O357" s="15">
        <f>-$K357*IFERROR(INDEX('[1]salary allocation'!$E$6:$J$22,MATCH($H357,'[1]salary allocation'!$D$6:$D$22,0),MATCH(O$3,'[1]salary allocation'!$E$3:$J$3,0)),0)</f>
        <v>0</v>
      </c>
      <c r="P357" s="15">
        <f>-$K357*IFERROR(INDEX('[1]salary allocation'!$E$6:$J$22,MATCH($H357,'[1]salary allocation'!$D$6:$D$22,0),MATCH(P$3,'[1]salary allocation'!$E$3:$J$3,0)),0)</f>
        <v>1062384.5999999999</v>
      </c>
      <c r="Q357" s="15">
        <f>-$K357*IFERROR(INDEX('[1]salary allocation'!$E$6:$J$22,MATCH($H357,'[1]salary allocation'!$D$6:$D$22,0),MATCH(Q$3,'[1]salary allocation'!$E$3:$J$3,0)),0)</f>
        <v>0</v>
      </c>
      <c r="R357" s="15">
        <f>-$K357*IFERROR(INDEX('[1]salary allocation'!$E$6:$J$22,MATCH($H357,'[1]salary allocation'!$D$6:$D$22,0),MATCH(R$3,'[1]salary allocation'!$E$3:$J$3,0)),0)</f>
        <v>0</v>
      </c>
      <c r="S357" s="15">
        <f>-$K357*IFERROR(INDEX('[1]salary allocation'!$E$6:$J$22,MATCH($H357,'[1]salary allocation'!$D$6:$D$22,0),MATCH(S$3,'[1]salary allocation'!$E$3:$J$3,0)),0)</f>
        <v>1204035.8799999999</v>
      </c>
      <c r="T357" s="15">
        <f>-$K357*IFERROR(INDEX('[1]salary allocation'!$E$6:$J$22,MATCH($H357,'[1]salary allocation'!$D$6:$D$22,0),MATCH(T$3,'[1]salary allocation'!$E$3:$J$3,0)),0)</f>
        <v>1204035.8799999999</v>
      </c>
      <c r="U357" s="15">
        <f>-$K357*IFERROR(INDEX('[1]salary allocation'!$E$6:$J$22,MATCH($H357,'[1]salary allocation'!$D$6:$D$22,0),MATCH(U$3,'[1]salary allocation'!$E$3:$J$3,0)),0)</f>
        <v>1204035.8799999999</v>
      </c>
      <c r="V357" s="15">
        <f>-$K357*IFERROR(INDEX('[1]salary allocation'!$E$6:$J$22,MATCH($H357,'[1]salary allocation'!$D$6:$D$22,0),MATCH(V$3,'[1]salary allocation'!$E$3:$J$3,0)),0)</f>
        <v>0</v>
      </c>
      <c r="W357" s="15">
        <f>-$K357*IFERROR(INDEX('[1]salary allocation'!$E$6:$J$22,MATCH($H357,'[1]salary allocation'!$D$6:$D$22,0),MATCH(W$3,'[1]salary allocation'!$E$3:$J$3,0)),0)</f>
        <v>2408071.7599999998</v>
      </c>
      <c r="X357" s="15">
        <f>-$K357*IFERROR(INDEX('[1]salary allocation'!$E$6:$J$22,MATCH($H357,'[1]salary allocation'!$D$6:$D$22,0),MATCH(X$3,'[1]salary allocation'!$E$3:$J$3,0)),0)</f>
        <v>0</v>
      </c>
      <c r="Y357" s="15">
        <f>-$K357*IFERROR(INDEX('[1]salary allocation'!$E$6:$J$22,MATCH($H357,'[1]salary allocation'!$D$6:$D$22,0),MATCH(Y$3,'[1]salary allocation'!$E$3:$J$3,0)),0)</f>
        <v>0</v>
      </c>
      <c r="Z357" s="15">
        <f>-$K357*IFERROR(INDEX('[1]salary allocation'!$E$6:$J$22,MATCH($H357,'[1]salary allocation'!$D$6:$D$22,0),MATCH(Z$3,'[1]salary allocation'!$E$3:$J$3,0)),0)</f>
        <v>0</v>
      </c>
      <c r="AA357" s="15">
        <f>-$K357*IFERROR(INDEX('[1]salary allocation'!$E$6:$J$22,MATCH($H357,'[1]salary allocation'!$D$6:$D$22,0),MATCH(AA$3,'[1]salary allocation'!$E$3:$J$3,0)),0)</f>
        <v>0</v>
      </c>
      <c r="AB357" s="15">
        <f>-$K357*IFERROR(INDEX('[1]salary allocation'!$E$6:$J$22,MATCH($H357,'[1]salary allocation'!$D$6:$D$22,0),MATCH(AB$3,'[1]salary allocation'!$E$3:$J$3,0)),0)</f>
        <v>0</v>
      </c>
      <c r="AC357" s="18">
        <f>-$K357*IFERROR(INDEX('[1]salary allocation'!$E$6:$J$22,MATCH($H357,'[1]salary allocation'!$D$6:$D$22,0),MATCH(AC$3,'[1]salary allocation'!$E$3:$J$3,0)),0)</f>
        <v>0</v>
      </c>
      <c r="AD357" s="17"/>
      <c r="AE357" s="16"/>
      <c r="AF357" s="15">
        <f>-$K357</f>
        <v>7082564</v>
      </c>
      <c r="AG357" s="15"/>
      <c r="AH357" s="2">
        <f>K357+SUM(O357:AC357)</f>
        <v>0</v>
      </c>
      <c r="AI357" s="2">
        <f>K357+SUM(AF357:AG357)</f>
        <v>0</v>
      </c>
    </row>
    <row r="358" spans="1:35" ht="17" x14ac:dyDescent="0.2">
      <c r="A358" s="59" t="s">
        <v>110</v>
      </c>
      <c r="B358" s="66" t="s">
        <v>519</v>
      </c>
      <c r="H358" s="65" t="s">
        <v>110</v>
      </c>
      <c r="I358" s="65" t="s">
        <v>535</v>
      </c>
      <c r="K358" s="2">
        <v>-7155513</v>
      </c>
      <c r="L358" s="46">
        <v>42025</v>
      </c>
      <c r="M358" s="11" t="s">
        <v>138</v>
      </c>
      <c r="N358" s="11" t="str">
        <f>M358</f>
        <v>VNOther</v>
      </c>
      <c r="O358" s="15">
        <f>-$K358*IFERROR(INDEX('[1]salary allocation'!$E$6:$J$22,MATCH($H358,'[1]salary allocation'!$D$6:$D$22,0),MATCH(O$3,'[1]salary allocation'!$E$3:$J$3,0)),0)</f>
        <v>0</v>
      </c>
      <c r="P358" s="15">
        <f>-$K358*IFERROR(INDEX('[1]salary allocation'!$E$6:$J$22,MATCH($H358,'[1]salary allocation'!$D$6:$D$22,0),MATCH(P$3,'[1]salary allocation'!$E$3:$J$3,0)),0)</f>
        <v>1073326.95</v>
      </c>
      <c r="Q358" s="15">
        <f>-$K358*IFERROR(INDEX('[1]salary allocation'!$E$6:$J$22,MATCH($H358,'[1]salary allocation'!$D$6:$D$22,0),MATCH(Q$3,'[1]salary allocation'!$E$3:$J$3,0)),0)</f>
        <v>0</v>
      </c>
      <c r="R358" s="15">
        <f>-$K358*IFERROR(INDEX('[1]salary allocation'!$E$6:$J$22,MATCH($H358,'[1]salary allocation'!$D$6:$D$22,0),MATCH(R$3,'[1]salary allocation'!$E$3:$J$3,0)),0)</f>
        <v>0</v>
      </c>
      <c r="S358" s="15">
        <f>-$K358*IFERROR(INDEX('[1]salary allocation'!$E$6:$J$22,MATCH($H358,'[1]salary allocation'!$D$6:$D$22,0),MATCH(S$3,'[1]salary allocation'!$E$3:$J$3,0)),0)</f>
        <v>1216437.21</v>
      </c>
      <c r="T358" s="15">
        <f>-$K358*IFERROR(INDEX('[1]salary allocation'!$E$6:$J$22,MATCH($H358,'[1]salary allocation'!$D$6:$D$22,0),MATCH(T$3,'[1]salary allocation'!$E$3:$J$3,0)),0)</f>
        <v>1216437.21</v>
      </c>
      <c r="U358" s="15">
        <f>-$K358*IFERROR(INDEX('[1]salary allocation'!$E$6:$J$22,MATCH($H358,'[1]salary allocation'!$D$6:$D$22,0),MATCH(U$3,'[1]salary allocation'!$E$3:$J$3,0)),0)</f>
        <v>1216437.21</v>
      </c>
      <c r="V358" s="15">
        <f>-$K358*IFERROR(INDEX('[1]salary allocation'!$E$6:$J$22,MATCH($H358,'[1]salary allocation'!$D$6:$D$22,0),MATCH(V$3,'[1]salary allocation'!$E$3:$J$3,0)),0)</f>
        <v>0</v>
      </c>
      <c r="W358" s="15">
        <f>-$K358*IFERROR(INDEX('[1]salary allocation'!$E$6:$J$22,MATCH($H358,'[1]salary allocation'!$D$6:$D$22,0),MATCH(W$3,'[1]salary allocation'!$E$3:$J$3,0)),0)</f>
        <v>2432874.42</v>
      </c>
      <c r="X358" s="15">
        <f>-$K358*IFERROR(INDEX('[1]salary allocation'!$E$6:$J$22,MATCH($H358,'[1]salary allocation'!$D$6:$D$22,0),MATCH(X$3,'[1]salary allocation'!$E$3:$J$3,0)),0)</f>
        <v>0</v>
      </c>
      <c r="Y358" s="15">
        <f>-$K358*IFERROR(INDEX('[1]salary allocation'!$E$6:$J$22,MATCH($H358,'[1]salary allocation'!$D$6:$D$22,0),MATCH(Y$3,'[1]salary allocation'!$E$3:$J$3,0)),0)</f>
        <v>0</v>
      </c>
      <c r="Z358" s="15">
        <f>-$K358*IFERROR(INDEX('[1]salary allocation'!$E$6:$J$22,MATCH($H358,'[1]salary allocation'!$D$6:$D$22,0),MATCH(Z$3,'[1]salary allocation'!$E$3:$J$3,0)),0)</f>
        <v>0</v>
      </c>
      <c r="AA358" s="15">
        <f>-$K358*IFERROR(INDEX('[1]salary allocation'!$E$6:$J$22,MATCH($H358,'[1]salary allocation'!$D$6:$D$22,0),MATCH(AA$3,'[1]salary allocation'!$E$3:$J$3,0)),0)</f>
        <v>0</v>
      </c>
      <c r="AB358" s="15">
        <f>-$K358*IFERROR(INDEX('[1]salary allocation'!$E$6:$J$22,MATCH($H358,'[1]salary allocation'!$D$6:$D$22,0),MATCH(AB$3,'[1]salary allocation'!$E$3:$J$3,0)),0)</f>
        <v>0</v>
      </c>
      <c r="AC358" s="18">
        <f>-$K358*IFERROR(INDEX('[1]salary allocation'!$E$6:$J$22,MATCH($H358,'[1]salary allocation'!$D$6:$D$22,0),MATCH(AC$3,'[1]salary allocation'!$E$3:$J$3,0)),0)</f>
        <v>0</v>
      </c>
      <c r="AD358" s="17"/>
      <c r="AE358" s="16"/>
      <c r="AF358" s="15">
        <f>-$K358</f>
        <v>7155513</v>
      </c>
      <c r="AG358" s="15"/>
      <c r="AH358" s="2">
        <f>K358+SUM(O358:AC358)</f>
        <v>0</v>
      </c>
      <c r="AI358" s="2">
        <f>K358+SUM(AF358:AG358)</f>
        <v>0</v>
      </c>
    </row>
    <row r="359" spans="1:35" ht="17" x14ac:dyDescent="0.2">
      <c r="A359" s="59" t="s">
        <v>110</v>
      </c>
      <c r="B359" s="51" t="s">
        <v>515</v>
      </c>
      <c r="H359" s="50" t="s">
        <v>110</v>
      </c>
      <c r="I359" s="50" t="s">
        <v>534</v>
      </c>
      <c r="K359" s="2">
        <v>-7223004</v>
      </c>
      <c r="L359" s="46">
        <v>52025</v>
      </c>
      <c r="M359" s="11" t="s">
        <v>138</v>
      </c>
      <c r="N359" s="11" t="str">
        <f>M359</f>
        <v>VNOther</v>
      </c>
      <c r="O359" s="15">
        <f>-$K359*IFERROR(INDEX('[1]salary allocation'!$E$6:$J$22,MATCH($H359,'[1]salary allocation'!$D$6:$D$22,0),MATCH(O$3,'[1]salary allocation'!$E$3:$J$3,0)),0)</f>
        <v>0</v>
      </c>
      <c r="P359" s="15">
        <f>-$K359*IFERROR(INDEX('[1]salary allocation'!$E$6:$J$22,MATCH($H359,'[1]salary allocation'!$D$6:$D$22,0),MATCH(P$3,'[1]salary allocation'!$E$3:$J$3,0)),0)</f>
        <v>1083450.5999999999</v>
      </c>
      <c r="Q359" s="15">
        <f>-$K359*IFERROR(INDEX('[1]salary allocation'!$E$6:$J$22,MATCH($H359,'[1]salary allocation'!$D$6:$D$22,0),MATCH(Q$3,'[1]salary allocation'!$E$3:$J$3,0)),0)</f>
        <v>0</v>
      </c>
      <c r="R359" s="15">
        <f>-$K359*IFERROR(INDEX('[1]salary allocation'!$E$6:$J$22,MATCH($H359,'[1]salary allocation'!$D$6:$D$22,0),MATCH(R$3,'[1]salary allocation'!$E$3:$J$3,0)),0)</f>
        <v>0</v>
      </c>
      <c r="S359" s="15">
        <f>-$K359*IFERROR(INDEX('[1]salary allocation'!$E$6:$J$22,MATCH($H359,'[1]salary allocation'!$D$6:$D$22,0),MATCH(S$3,'[1]salary allocation'!$E$3:$J$3,0)),0)</f>
        <v>1227910.68</v>
      </c>
      <c r="T359" s="15">
        <f>-$K359*IFERROR(INDEX('[1]salary allocation'!$E$6:$J$22,MATCH($H359,'[1]salary allocation'!$D$6:$D$22,0),MATCH(T$3,'[1]salary allocation'!$E$3:$J$3,0)),0)</f>
        <v>1227910.68</v>
      </c>
      <c r="U359" s="15">
        <f>-$K359*IFERROR(INDEX('[1]salary allocation'!$E$6:$J$22,MATCH($H359,'[1]salary allocation'!$D$6:$D$22,0),MATCH(U$3,'[1]salary allocation'!$E$3:$J$3,0)),0)</f>
        <v>1227910.68</v>
      </c>
      <c r="V359" s="15">
        <f>-$K359*IFERROR(INDEX('[1]salary allocation'!$E$6:$J$22,MATCH($H359,'[1]salary allocation'!$D$6:$D$22,0),MATCH(V$3,'[1]salary allocation'!$E$3:$J$3,0)),0)</f>
        <v>0</v>
      </c>
      <c r="W359" s="15">
        <f>-$K359*IFERROR(INDEX('[1]salary allocation'!$E$6:$J$22,MATCH($H359,'[1]salary allocation'!$D$6:$D$22,0),MATCH(W$3,'[1]salary allocation'!$E$3:$J$3,0)),0)</f>
        <v>2455821.36</v>
      </c>
      <c r="X359" s="15">
        <f>-$K359*IFERROR(INDEX('[1]salary allocation'!$E$6:$J$22,MATCH($H359,'[1]salary allocation'!$D$6:$D$22,0),MATCH(X$3,'[1]salary allocation'!$E$3:$J$3,0)),0)</f>
        <v>0</v>
      </c>
      <c r="Y359" s="15">
        <f>-$K359*IFERROR(INDEX('[1]salary allocation'!$E$6:$J$22,MATCH($H359,'[1]salary allocation'!$D$6:$D$22,0),MATCH(Y$3,'[1]salary allocation'!$E$3:$J$3,0)),0)</f>
        <v>0</v>
      </c>
      <c r="Z359" s="15">
        <f>-$K359*IFERROR(INDEX('[1]salary allocation'!$E$6:$J$22,MATCH($H359,'[1]salary allocation'!$D$6:$D$22,0),MATCH(Z$3,'[1]salary allocation'!$E$3:$J$3,0)),0)</f>
        <v>0</v>
      </c>
      <c r="AA359" s="15">
        <f>-$K359*IFERROR(INDEX('[1]salary allocation'!$E$6:$J$22,MATCH($H359,'[1]salary allocation'!$D$6:$D$22,0),MATCH(AA$3,'[1]salary allocation'!$E$3:$J$3,0)),0)</f>
        <v>0</v>
      </c>
      <c r="AB359" s="15">
        <f>-$K359*IFERROR(INDEX('[1]salary allocation'!$E$6:$J$22,MATCH($H359,'[1]salary allocation'!$D$6:$D$22,0),MATCH(AB$3,'[1]salary allocation'!$E$3:$J$3,0)),0)</f>
        <v>0</v>
      </c>
      <c r="AC359" s="18">
        <f>-$K359*IFERROR(INDEX('[1]salary allocation'!$E$6:$J$22,MATCH($H359,'[1]salary allocation'!$D$6:$D$22,0),MATCH(AC$3,'[1]salary allocation'!$E$3:$J$3,0)),0)</f>
        <v>0</v>
      </c>
      <c r="AD359" s="17"/>
      <c r="AE359" s="16"/>
      <c r="AF359" s="15">
        <f>-$K359</f>
        <v>7223004</v>
      </c>
      <c r="AG359" s="15"/>
      <c r="AH359" s="2">
        <f>K359+SUM(O359:AC359)</f>
        <v>0</v>
      </c>
      <c r="AI359" s="2">
        <f>K359+SUM(AF359:AG359)</f>
        <v>0</v>
      </c>
    </row>
    <row r="360" spans="1:35" ht="17" x14ac:dyDescent="0.2">
      <c r="A360" s="59" t="s">
        <v>47</v>
      </c>
      <c r="B360" s="64" t="s">
        <v>531</v>
      </c>
      <c r="H360" s="59" t="s">
        <v>47</v>
      </c>
      <c r="I360" s="59" t="s">
        <v>533</v>
      </c>
      <c r="K360" s="62">
        <v>-50843669</v>
      </c>
      <c r="L360" s="46">
        <v>12025</v>
      </c>
      <c r="M360" s="61" t="s">
        <v>490</v>
      </c>
      <c r="N360" s="11" t="str">
        <f>M360</f>
        <v>VNHBC</v>
      </c>
      <c r="O360" s="15">
        <f>-$K360*IFERROR(INDEX('[1]salary allocation'!$E$6:$J$22,MATCH($H360,'[1]salary allocation'!$D$6:$D$22,0),MATCH(O$3,'[1]salary allocation'!$E$3:$J$3,0)),0)</f>
        <v>0</v>
      </c>
      <c r="P360" s="15">
        <f>-$K360*IFERROR(INDEX('[1]salary allocation'!$E$6:$J$22,MATCH($H360,'[1]salary allocation'!$D$6:$D$22,0),MATCH(P$3,'[1]salary allocation'!$E$3:$J$3,0)),0)</f>
        <v>0</v>
      </c>
      <c r="Q360" s="15">
        <f>-$K360*IFERROR(INDEX('[1]salary allocation'!$E$6:$J$22,MATCH($H360,'[1]salary allocation'!$D$6:$D$22,0),MATCH(Q$3,'[1]salary allocation'!$E$3:$J$3,0)),0)</f>
        <v>0</v>
      </c>
      <c r="R360" s="15">
        <f>-$K360*IFERROR(INDEX('[1]salary allocation'!$E$6:$J$22,MATCH($H360,'[1]salary allocation'!$D$6:$D$22,0),MATCH(R$3,'[1]salary allocation'!$E$3:$J$3,0)),0)</f>
        <v>0</v>
      </c>
      <c r="S360" s="15">
        <f>-$K360*IFERROR(INDEX('[1]salary allocation'!$E$6:$J$22,MATCH($H360,'[1]salary allocation'!$D$6:$D$22,0),MATCH(S$3,'[1]salary allocation'!$E$3:$J$3,0)),0)</f>
        <v>10168733.800000001</v>
      </c>
      <c r="T360" s="15">
        <f>-$K360*IFERROR(INDEX('[1]salary allocation'!$E$6:$J$22,MATCH($H360,'[1]salary allocation'!$D$6:$D$22,0),MATCH(T$3,'[1]salary allocation'!$E$3:$J$3,0)),0)</f>
        <v>10168733.800000001</v>
      </c>
      <c r="U360" s="15">
        <f>-$K360*IFERROR(INDEX('[1]salary allocation'!$E$6:$J$22,MATCH($H360,'[1]salary allocation'!$D$6:$D$22,0),MATCH(U$3,'[1]salary allocation'!$E$3:$J$3,0)),0)</f>
        <v>10168733.800000001</v>
      </c>
      <c r="V360" s="15">
        <f>-$K360*IFERROR(INDEX('[1]salary allocation'!$E$6:$J$22,MATCH($H360,'[1]salary allocation'!$D$6:$D$22,0),MATCH(V$3,'[1]salary allocation'!$E$3:$J$3,0)),0)</f>
        <v>0</v>
      </c>
      <c r="W360" s="15">
        <f>-$K360*IFERROR(INDEX('[1]salary allocation'!$E$6:$J$22,MATCH($H360,'[1]salary allocation'!$D$6:$D$22,0),MATCH(W$3,'[1]salary allocation'!$E$3:$J$3,0)),0)</f>
        <v>20337467.600000001</v>
      </c>
      <c r="X360" s="15">
        <f>-$K360*IFERROR(INDEX('[1]salary allocation'!$E$6:$J$22,MATCH($H360,'[1]salary allocation'!$D$6:$D$22,0),MATCH(X$3,'[1]salary allocation'!$E$3:$J$3,0)),0)</f>
        <v>0</v>
      </c>
      <c r="Y360" s="15">
        <f>-$K360*IFERROR(INDEX('[1]salary allocation'!$E$6:$J$22,MATCH($H360,'[1]salary allocation'!$D$6:$D$22,0),MATCH(Y$3,'[1]salary allocation'!$E$3:$J$3,0)),0)</f>
        <v>0</v>
      </c>
      <c r="Z360" s="15">
        <f>-$K360*IFERROR(INDEX('[1]salary allocation'!$E$6:$J$22,MATCH($H360,'[1]salary allocation'!$D$6:$D$22,0),MATCH(Z$3,'[1]salary allocation'!$E$3:$J$3,0)),0)</f>
        <v>0</v>
      </c>
      <c r="AA360" s="15">
        <f>-$K360*IFERROR(INDEX('[1]salary allocation'!$E$6:$J$22,MATCH($H360,'[1]salary allocation'!$D$6:$D$22,0),MATCH(AA$3,'[1]salary allocation'!$E$3:$J$3,0)),0)</f>
        <v>0</v>
      </c>
      <c r="AB360" s="15">
        <f>-$K360*IFERROR(INDEX('[1]salary allocation'!$E$6:$J$22,MATCH($H360,'[1]salary allocation'!$D$6:$D$22,0),MATCH(AB$3,'[1]salary allocation'!$E$3:$J$3,0)),0)</f>
        <v>0</v>
      </c>
      <c r="AC360" s="18">
        <f>-$K360*IFERROR(INDEX('[1]salary allocation'!$E$6:$J$22,MATCH($H360,'[1]salary allocation'!$D$6:$D$22,0),MATCH(AC$3,'[1]salary allocation'!$E$3:$J$3,0)),0)</f>
        <v>0</v>
      </c>
      <c r="AD360" s="17"/>
      <c r="AE360" s="16"/>
      <c r="AF360" s="15">
        <f>-$K360</f>
        <v>50843669</v>
      </c>
      <c r="AG360" s="15"/>
      <c r="AH360" s="2">
        <f>K360+SUM(O360:AC360)</f>
        <v>0</v>
      </c>
      <c r="AI360" s="2">
        <f>K360+SUM(AF360:AG360)</f>
        <v>0</v>
      </c>
    </row>
    <row r="361" spans="1:35" ht="17" x14ac:dyDescent="0.2">
      <c r="A361" s="59" t="s">
        <v>35</v>
      </c>
      <c r="B361" s="64" t="s">
        <v>531</v>
      </c>
      <c r="H361" s="59" t="s">
        <v>35</v>
      </c>
      <c r="I361" s="59" t="s">
        <v>532</v>
      </c>
      <c r="K361" s="62">
        <v>-56495450</v>
      </c>
      <c r="L361" s="46">
        <v>12025</v>
      </c>
      <c r="M361" s="61" t="s">
        <v>138</v>
      </c>
      <c r="N361" s="11" t="str">
        <f>M361</f>
        <v>VNOther</v>
      </c>
      <c r="O361" s="15">
        <f>-$K361*IFERROR(INDEX('[1]salary allocation'!$E$6:$J$22,MATCH($H361,'[1]salary allocation'!$D$6:$D$22,0),MATCH(O$3,'[1]salary allocation'!$E$3:$J$3,0)),0)</f>
        <v>0</v>
      </c>
      <c r="P361" s="15">
        <f>-$K361*IFERROR(INDEX('[1]salary allocation'!$E$6:$J$22,MATCH($H361,'[1]salary allocation'!$D$6:$D$22,0),MATCH(P$3,'[1]salary allocation'!$E$3:$J$3,0)),0)</f>
        <v>8474317.5</v>
      </c>
      <c r="Q361" s="15">
        <f>-$K361*IFERROR(INDEX('[1]salary allocation'!$E$6:$J$22,MATCH($H361,'[1]salary allocation'!$D$6:$D$22,0),MATCH(Q$3,'[1]salary allocation'!$E$3:$J$3,0)),0)</f>
        <v>0</v>
      </c>
      <c r="R361" s="15">
        <f>-$K361*IFERROR(INDEX('[1]salary allocation'!$E$6:$J$22,MATCH($H361,'[1]salary allocation'!$D$6:$D$22,0),MATCH(R$3,'[1]salary allocation'!$E$3:$J$3,0)),0)</f>
        <v>0</v>
      </c>
      <c r="S361" s="15">
        <f>-$K361*IFERROR(INDEX('[1]salary allocation'!$E$6:$J$22,MATCH($H361,'[1]salary allocation'!$D$6:$D$22,0),MATCH(S$3,'[1]salary allocation'!$E$3:$J$3,0)),0)</f>
        <v>9604226.5</v>
      </c>
      <c r="T361" s="15">
        <f>-$K361*IFERROR(INDEX('[1]salary allocation'!$E$6:$J$22,MATCH($H361,'[1]salary allocation'!$D$6:$D$22,0),MATCH(T$3,'[1]salary allocation'!$E$3:$J$3,0)),0)</f>
        <v>9604226.5</v>
      </c>
      <c r="U361" s="15">
        <f>-$K361*IFERROR(INDEX('[1]salary allocation'!$E$6:$J$22,MATCH($H361,'[1]salary allocation'!$D$6:$D$22,0),MATCH(U$3,'[1]salary allocation'!$E$3:$J$3,0)),0)</f>
        <v>9604226.5</v>
      </c>
      <c r="V361" s="15">
        <f>-$K361*IFERROR(INDEX('[1]salary allocation'!$E$6:$J$22,MATCH($H361,'[1]salary allocation'!$D$6:$D$22,0),MATCH(V$3,'[1]salary allocation'!$E$3:$J$3,0)),0)</f>
        <v>0</v>
      </c>
      <c r="W361" s="15">
        <f>-$K361*IFERROR(INDEX('[1]salary allocation'!$E$6:$J$22,MATCH($H361,'[1]salary allocation'!$D$6:$D$22,0),MATCH(W$3,'[1]salary allocation'!$E$3:$J$3,0)),0)</f>
        <v>19208453</v>
      </c>
      <c r="X361" s="15">
        <f>-$K361*IFERROR(INDEX('[1]salary allocation'!$E$6:$J$22,MATCH($H361,'[1]salary allocation'!$D$6:$D$22,0),MATCH(X$3,'[1]salary allocation'!$E$3:$J$3,0)),0)</f>
        <v>0</v>
      </c>
      <c r="Y361" s="15">
        <f>-$K361*IFERROR(INDEX('[1]salary allocation'!$E$6:$J$22,MATCH($H361,'[1]salary allocation'!$D$6:$D$22,0),MATCH(Y$3,'[1]salary allocation'!$E$3:$J$3,0)),0)</f>
        <v>0</v>
      </c>
      <c r="Z361" s="15">
        <f>-$K361*IFERROR(INDEX('[1]salary allocation'!$E$6:$J$22,MATCH($H361,'[1]salary allocation'!$D$6:$D$22,0),MATCH(Z$3,'[1]salary allocation'!$E$3:$J$3,0)),0)</f>
        <v>0</v>
      </c>
      <c r="AA361" s="15">
        <f>-$K361*IFERROR(INDEX('[1]salary allocation'!$E$6:$J$22,MATCH($H361,'[1]salary allocation'!$D$6:$D$22,0),MATCH(AA$3,'[1]salary allocation'!$E$3:$J$3,0)),0)</f>
        <v>0</v>
      </c>
      <c r="AB361" s="15">
        <f>-$K361*IFERROR(INDEX('[1]salary allocation'!$E$6:$J$22,MATCH($H361,'[1]salary allocation'!$D$6:$D$22,0),MATCH(AB$3,'[1]salary allocation'!$E$3:$J$3,0)),0)</f>
        <v>0</v>
      </c>
      <c r="AC361" s="18">
        <f>-$K361*IFERROR(INDEX('[1]salary allocation'!$E$6:$J$22,MATCH($H361,'[1]salary allocation'!$D$6:$D$22,0),MATCH(AC$3,'[1]salary allocation'!$E$3:$J$3,0)),0)</f>
        <v>0</v>
      </c>
      <c r="AD361" s="17"/>
      <c r="AE361" s="16"/>
      <c r="AF361" s="15">
        <f>-$K361</f>
        <v>56495450</v>
      </c>
      <c r="AG361" s="15"/>
      <c r="AH361" s="2">
        <f>K361+SUM(O361:AC361)</f>
        <v>0</v>
      </c>
      <c r="AI361" s="2">
        <f>K361+SUM(AF361:AG361)</f>
        <v>0</v>
      </c>
    </row>
    <row r="362" spans="1:35" ht="34" x14ac:dyDescent="0.2">
      <c r="A362" s="56" t="s">
        <v>37</v>
      </c>
      <c r="B362" s="63" t="s">
        <v>531</v>
      </c>
      <c r="H362" s="56" t="s">
        <v>37</v>
      </c>
      <c r="I362" s="56" t="s">
        <v>530</v>
      </c>
      <c r="K362" s="62">
        <v>-34450699</v>
      </c>
      <c r="L362" s="46">
        <v>12025</v>
      </c>
      <c r="M362" s="61" t="s">
        <v>138</v>
      </c>
      <c r="N362" s="11" t="str">
        <f>M362</f>
        <v>VNOther</v>
      </c>
      <c r="O362" s="15">
        <f>-$K362*IFERROR(INDEX('[1]salary allocation'!$E$6:$J$22,MATCH($H362,'[1]salary allocation'!$D$6:$D$22,0),MATCH(O$3,'[1]salary allocation'!$E$3:$J$3,0)),0)</f>
        <v>0</v>
      </c>
      <c r="P362" s="15">
        <f>-$K362*IFERROR(INDEX('[1]salary allocation'!$E$6:$J$22,MATCH($H362,'[1]salary allocation'!$D$6:$D$22,0),MATCH(P$3,'[1]salary allocation'!$E$3:$J$3,0)),0)</f>
        <v>5167604.8499999996</v>
      </c>
      <c r="Q362" s="15">
        <f>-$K362*IFERROR(INDEX('[1]salary allocation'!$E$6:$J$22,MATCH($H362,'[1]salary allocation'!$D$6:$D$22,0),MATCH(Q$3,'[1]salary allocation'!$E$3:$J$3,0)),0)</f>
        <v>0</v>
      </c>
      <c r="R362" s="15">
        <f>-$K362*IFERROR(INDEX('[1]salary allocation'!$E$6:$J$22,MATCH($H362,'[1]salary allocation'!$D$6:$D$22,0),MATCH(R$3,'[1]salary allocation'!$E$3:$J$3,0)),0)</f>
        <v>0</v>
      </c>
      <c r="S362" s="15">
        <f>-$K362*IFERROR(INDEX('[1]salary allocation'!$E$6:$J$22,MATCH($H362,'[1]salary allocation'!$D$6:$D$22,0),MATCH(S$3,'[1]salary allocation'!$E$3:$J$3,0)),0)</f>
        <v>5856618.8299999991</v>
      </c>
      <c r="T362" s="15">
        <f>-$K362*IFERROR(INDEX('[1]salary allocation'!$E$6:$J$22,MATCH($H362,'[1]salary allocation'!$D$6:$D$22,0),MATCH(T$3,'[1]salary allocation'!$E$3:$J$3,0)),0)</f>
        <v>5856618.8299999991</v>
      </c>
      <c r="U362" s="15">
        <f>-$K362*IFERROR(INDEX('[1]salary allocation'!$E$6:$J$22,MATCH($H362,'[1]salary allocation'!$D$6:$D$22,0),MATCH(U$3,'[1]salary allocation'!$E$3:$J$3,0)),0)</f>
        <v>5856618.8299999991</v>
      </c>
      <c r="V362" s="15">
        <f>-$K362*IFERROR(INDEX('[1]salary allocation'!$E$6:$J$22,MATCH($H362,'[1]salary allocation'!$D$6:$D$22,0),MATCH(V$3,'[1]salary allocation'!$E$3:$J$3,0)),0)</f>
        <v>0</v>
      </c>
      <c r="W362" s="15">
        <f>-$K362*IFERROR(INDEX('[1]salary allocation'!$E$6:$J$22,MATCH($H362,'[1]salary allocation'!$D$6:$D$22,0),MATCH(W$3,'[1]salary allocation'!$E$3:$J$3,0)),0)</f>
        <v>11713237.659999998</v>
      </c>
      <c r="X362" s="15">
        <f>-$K362*IFERROR(INDEX('[1]salary allocation'!$E$6:$J$22,MATCH($H362,'[1]salary allocation'!$D$6:$D$22,0),MATCH(X$3,'[1]salary allocation'!$E$3:$J$3,0)),0)</f>
        <v>0</v>
      </c>
      <c r="Y362" s="15">
        <f>-$K362*IFERROR(INDEX('[1]salary allocation'!$E$6:$J$22,MATCH($H362,'[1]salary allocation'!$D$6:$D$22,0),MATCH(Y$3,'[1]salary allocation'!$E$3:$J$3,0)),0)</f>
        <v>0</v>
      </c>
      <c r="Z362" s="15">
        <f>-$K362*IFERROR(INDEX('[1]salary allocation'!$E$6:$J$22,MATCH($H362,'[1]salary allocation'!$D$6:$D$22,0),MATCH(Z$3,'[1]salary allocation'!$E$3:$J$3,0)),0)</f>
        <v>0</v>
      </c>
      <c r="AA362" s="15">
        <f>-$K362*IFERROR(INDEX('[1]salary allocation'!$E$6:$J$22,MATCH($H362,'[1]salary allocation'!$D$6:$D$22,0),MATCH(AA$3,'[1]salary allocation'!$E$3:$J$3,0)),0)</f>
        <v>0</v>
      </c>
      <c r="AB362" s="15">
        <f>-$K362*IFERROR(INDEX('[1]salary allocation'!$E$6:$J$22,MATCH($H362,'[1]salary allocation'!$D$6:$D$22,0),MATCH(AB$3,'[1]salary allocation'!$E$3:$J$3,0)),0)</f>
        <v>0</v>
      </c>
      <c r="AC362" s="18">
        <f>-$K362*IFERROR(INDEX('[1]salary allocation'!$E$6:$J$22,MATCH($H362,'[1]salary allocation'!$D$6:$D$22,0),MATCH(AC$3,'[1]salary allocation'!$E$3:$J$3,0)),0)</f>
        <v>0</v>
      </c>
      <c r="AD362" s="17"/>
      <c r="AE362" s="16"/>
      <c r="AF362" s="15">
        <f>-K362</f>
        <v>34450699</v>
      </c>
      <c r="AG362" s="15"/>
      <c r="AH362" s="2">
        <f>K362+SUM(O362:AC362)</f>
        <v>0</v>
      </c>
      <c r="AI362" s="2">
        <f>K362+SUM(AF362:AG362)</f>
        <v>0</v>
      </c>
    </row>
    <row r="363" spans="1:35" ht="17" x14ac:dyDescent="0.2">
      <c r="A363" s="60" t="s">
        <v>47</v>
      </c>
      <c r="B363" s="55" t="s">
        <v>527</v>
      </c>
      <c r="H363" s="60" t="s">
        <v>47</v>
      </c>
      <c r="I363" s="59" t="s">
        <v>529</v>
      </c>
      <c r="K363" s="47">
        <v>-55546635</v>
      </c>
      <c r="L363" s="46">
        <v>22025</v>
      </c>
      <c r="M363" s="49" t="s">
        <v>490</v>
      </c>
      <c r="N363" s="11" t="str">
        <f>M363</f>
        <v>VNHBC</v>
      </c>
      <c r="O363" s="15">
        <f>-$K363*IFERROR(INDEX('[1]salary allocation'!$E$6:$J$22,MATCH($H363,'[1]salary allocation'!$D$6:$D$22,0),MATCH(O$3,'[1]salary allocation'!$E$3:$J$3,0)),0)</f>
        <v>0</v>
      </c>
      <c r="P363" s="15">
        <f>-$K363*IFERROR(INDEX('[1]salary allocation'!$E$6:$J$22,MATCH($H363,'[1]salary allocation'!$D$6:$D$22,0),MATCH(P$3,'[1]salary allocation'!$E$3:$J$3,0)),0)</f>
        <v>0</v>
      </c>
      <c r="Q363" s="15">
        <f>-$K363*IFERROR(INDEX('[1]salary allocation'!$E$6:$J$22,MATCH($H363,'[1]salary allocation'!$D$6:$D$22,0),MATCH(Q$3,'[1]salary allocation'!$E$3:$J$3,0)),0)</f>
        <v>0</v>
      </c>
      <c r="R363" s="15">
        <f>-$K363*IFERROR(INDEX('[1]salary allocation'!$E$6:$J$22,MATCH($H363,'[1]salary allocation'!$D$6:$D$22,0),MATCH(R$3,'[1]salary allocation'!$E$3:$J$3,0)),0)</f>
        <v>0</v>
      </c>
      <c r="S363" s="15">
        <f>-$K363*IFERROR(INDEX('[1]salary allocation'!$E$6:$J$22,MATCH($H363,'[1]salary allocation'!$D$6:$D$22,0),MATCH(S$3,'[1]salary allocation'!$E$3:$J$3,0)),0)</f>
        <v>11109327</v>
      </c>
      <c r="T363" s="15">
        <f>-$K363*IFERROR(INDEX('[1]salary allocation'!$E$6:$J$22,MATCH($H363,'[1]salary allocation'!$D$6:$D$22,0),MATCH(T$3,'[1]salary allocation'!$E$3:$J$3,0)),0)</f>
        <v>11109327</v>
      </c>
      <c r="U363" s="15">
        <f>-$K363*IFERROR(INDEX('[1]salary allocation'!$E$6:$J$22,MATCH($H363,'[1]salary allocation'!$D$6:$D$22,0),MATCH(U$3,'[1]salary allocation'!$E$3:$J$3,0)),0)</f>
        <v>11109327</v>
      </c>
      <c r="V363" s="15">
        <f>-$K363*IFERROR(INDEX('[1]salary allocation'!$E$6:$J$22,MATCH($H363,'[1]salary allocation'!$D$6:$D$22,0),MATCH(V$3,'[1]salary allocation'!$E$3:$J$3,0)),0)</f>
        <v>0</v>
      </c>
      <c r="W363" s="15">
        <f>-$K363*IFERROR(INDEX('[1]salary allocation'!$E$6:$J$22,MATCH($H363,'[1]salary allocation'!$D$6:$D$22,0),MATCH(W$3,'[1]salary allocation'!$E$3:$J$3,0)),0)</f>
        <v>22218654</v>
      </c>
      <c r="X363" s="15">
        <f>-$K363*IFERROR(INDEX('[1]salary allocation'!$E$6:$J$22,MATCH($H363,'[1]salary allocation'!$D$6:$D$22,0),MATCH(X$3,'[1]salary allocation'!$E$3:$J$3,0)),0)</f>
        <v>0</v>
      </c>
      <c r="Y363" s="15">
        <f>-$K363*IFERROR(INDEX('[1]salary allocation'!$E$6:$J$22,MATCH($H363,'[1]salary allocation'!$D$6:$D$22,0),MATCH(Y$3,'[1]salary allocation'!$E$3:$J$3,0)),0)</f>
        <v>0</v>
      </c>
      <c r="Z363" s="15">
        <f>-$K363*IFERROR(INDEX('[1]salary allocation'!$E$6:$J$22,MATCH($H363,'[1]salary allocation'!$D$6:$D$22,0),MATCH(Z$3,'[1]salary allocation'!$E$3:$J$3,0)),0)</f>
        <v>0</v>
      </c>
      <c r="AA363" s="15">
        <f>-$K363*IFERROR(INDEX('[1]salary allocation'!$E$6:$J$22,MATCH($H363,'[1]salary allocation'!$D$6:$D$22,0),MATCH(AA$3,'[1]salary allocation'!$E$3:$J$3,0)),0)</f>
        <v>0</v>
      </c>
      <c r="AB363" s="15">
        <f>-$K363*IFERROR(INDEX('[1]salary allocation'!$E$6:$J$22,MATCH($H363,'[1]salary allocation'!$D$6:$D$22,0),MATCH(AB$3,'[1]salary allocation'!$E$3:$J$3,0)),0)</f>
        <v>0</v>
      </c>
      <c r="AC363" s="18">
        <f>-$K363*IFERROR(INDEX('[1]salary allocation'!$E$6:$J$22,MATCH($H363,'[1]salary allocation'!$D$6:$D$22,0),MATCH(AC$3,'[1]salary allocation'!$E$3:$J$3,0)),0)</f>
        <v>0</v>
      </c>
      <c r="AD363" s="17"/>
      <c r="AE363" s="16"/>
      <c r="AF363" s="15">
        <f>-$K363</f>
        <v>55546635</v>
      </c>
      <c r="AG363" s="15"/>
      <c r="AH363" s="2">
        <f>K363+SUM(O363:AC363)</f>
        <v>0</v>
      </c>
      <c r="AI363" s="2">
        <f>K363+SUM(AF363:AG363)</f>
        <v>0</v>
      </c>
    </row>
    <row r="364" spans="1:35" ht="17" x14ac:dyDescent="0.2">
      <c r="A364" s="60" t="s">
        <v>37</v>
      </c>
      <c r="B364" s="55" t="s">
        <v>527</v>
      </c>
      <c r="H364" s="60" t="s">
        <v>37</v>
      </c>
      <c r="I364" s="59" t="s">
        <v>528</v>
      </c>
      <c r="K364" s="47">
        <v>-35060190</v>
      </c>
      <c r="L364" s="46">
        <v>22025</v>
      </c>
      <c r="M364" s="49" t="s">
        <v>138</v>
      </c>
      <c r="N364" s="11" t="str">
        <f>M364</f>
        <v>VNOther</v>
      </c>
      <c r="O364" s="15">
        <f>-$K364*IFERROR(INDEX('[1]salary allocation'!$E$6:$J$22,MATCH($H364,'[1]salary allocation'!$D$6:$D$22,0),MATCH(O$3,'[1]salary allocation'!$E$3:$J$3,0)),0)</f>
        <v>0</v>
      </c>
      <c r="P364" s="15">
        <f>-$K364*IFERROR(INDEX('[1]salary allocation'!$E$6:$J$22,MATCH($H364,'[1]salary allocation'!$D$6:$D$22,0),MATCH(P$3,'[1]salary allocation'!$E$3:$J$3,0)),0)</f>
        <v>5259028.5</v>
      </c>
      <c r="Q364" s="15">
        <f>-$K364*IFERROR(INDEX('[1]salary allocation'!$E$6:$J$22,MATCH($H364,'[1]salary allocation'!$D$6:$D$22,0),MATCH(Q$3,'[1]salary allocation'!$E$3:$J$3,0)),0)</f>
        <v>0</v>
      </c>
      <c r="R364" s="15">
        <f>-$K364*IFERROR(INDEX('[1]salary allocation'!$E$6:$J$22,MATCH($H364,'[1]salary allocation'!$D$6:$D$22,0),MATCH(R$3,'[1]salary allocation'!$E$3:$J$3,0)),0)</f>
        <v>0</v>
      </c>
      <c r="S364" s="15">
        <f>-$K364*IFERROR(INDEX('[1]salary allocation'!$E$6:$J$22,MATCH($H364,'[1]salary allocation'!$D$6:$D$22,0),MATCH(S$3,'[1]salary allocation'!$E$3:$J$3,0)),0)</f>
        <v>5960232.2999999998</v>
      </c>
      <c r="T364" s="15">
        <f>-$K364*IFERROR(INDEX('[1]salary allocation'!$E$6:$J$22,MATCH($H364,'[1]salary allocation'!$D$6:$D$22,0),MATCH(T$3,'[1]salary allocation'!$E$3:$J$3,0)),0)</f>
        <v>5960232.2999999998</v>
      </c>
      <c r="U364" s="15">
        <f>-$K364*IFERROR(INDEX('[1]salary allocation'!$E$6:$J$22,MATCH($H364,'[1]salary allocation'!$D$6:$D$22,0),MATCH(U$3,'[1]salary allocation'!$E$3:$J$3,0)),0)</f>
        <v>5960232.2999999998</v>
      </c>
      <c r="V364" s="15">
        <f>-$K364*IFERROR(INDEX('[1]salary allocation'!$E$6:$J$22,MATCH($H364,'[1]salary allocation'!$D$6:$D$22,0),MATCH(V$3,'[1]salary allocation'!$E$3:$J$3,0)),0)</f>
        <v>0</v>
      </c>
      <c r="W364" s="15">
        <f>-$K364*IFERROR(INDEX('[1]salary allocation'!$E$6:$J$22,MATCH($H364,'[1]salary allocation'!$D$6:$D$22,0),MATCH(W$3,'[1]salary allocation'!$E$3:$J$3,0)),0)</f>
        <v>11920464.6</v>
      </c>
      <c r="X364" s="15">
        <f>-$K364*IFERROR(INDEX('[1]salary allocation'!$E$6:$J$22,MATCH($H364,'[1]salary allocation'!$D$6:$D$22,0),MATCH(X$3,'[1]salary allocation'!$E$3:$J$3,0)),0)</f>
        <v>0</v>
      </c>
      <c r="Y364" s="15">
        <f>-$K364*IFERROR(INDEX('[1]salary allocation'!$E$6:$J$22,MATCH($H364,'[1]salary allocation'!$D$6:$D$22,0),MATCH(Y$3,'[1]salary allocation'!$E$3:$J$3,0)),0)</f>
        <v>0</v>
      </c>
      <c r="Z364" s="15">
        <f>-$K364*IFERROR(INDEX('[1]salary allocation'!$E$6:$J$22,MATCH($H364,'[1]salary allocation'!$D$6:$D$22,0),MATCH(Z$3,'[1]salary allocation'!$E$3:$J$3,0)),0)</f>
        <v>0</v>
      </c>
      <c r="AA364" s="15">
        <f>-$K364*IFERROR(INDEX('[1]salary allocation'!$E$6:$J$22,MATCH($H364,'[1]salary allocation'!$D$6:$D$22,0),MATCH(AA$3,'[1]salary allocation'!$E$3:$J$3,0)),0)</f>
        <v>0</v>
      </c>
      <c r="AB364" s="15">
        <f>-$K364*IFERROR(INDEX('[1]salary allocation'!$E$6:$J$22,MATCH($H364,'[1]salary allocation'!$D$6:$D$22,0),MATCH(AB$3,'[1]salary allocation'!$E$3:$J$3,0)),0)</f>
        <v>0</v>
      </c>
      <c r="AC364" s="18">
        <f>-$K364*IFERROR(INDEX('[1]salary allocation'!$E$6:$J$22,MATCH($H364,'[1]salary allocation'!$D$6:$D$22,0),MATCH(AC$3,'[1]salary allocation'!$E$3:$J$3,0)),0)</f>
        <v>0</v>
      </c>
      <c r="AD364" s="17"/>
      <c r="AE364" s="16"/>
      <c r="AF364" s="15">
        <f>-K364</f>
        <v>35060190</v>
      </c>
      <c r="AG364" s="15"/>
      <c r="AH364" s="2">
        <f>K364+SUM(O364:AC364)</f>
        <v>0</v>
      </c>
      <c r="AI364" s="2">
        <f>K364+SUM(AF364:AG364)</f>
        <v>0</v>
      </c>
    </row>
    <row r="365" spans="1:35" ht="17" x14ac:dyDescent="0.2">
      <c r="A365" s="57" t="s">
        <v>35</v>
      </c>
      <c r="B365" s="58" t="s">
        <v>527</v>
      </c>
      <c r="H365" s="57" t="s">
        <v>35</v>
      </c>
      <c r="I365" s="56" t="s">
        <v>526</v>
      </c>
      <c r="K365" s="47">
        <v>-61652865</v>
      </c>
      <c r="L365" s="46">
        <v>22025</v>
      </c>
      <c r="M365" s="49" t="s">
        <v>138</v>
      </c>
      <c r="N365" s="11" t="str">
        <f>M365</f>
        <v>VNOther</v>
      </c>
      <c r="O365" s="15">
        <f>-$K365*IFERROR(INDEX('[1]salary allocation'!$E$6:$J$22,MATCH($H365,'[1]salary allocation'!$D$6:$D$22,0),MATCH(O$3,'[1]salary allocation'!$E$3:$J$3,0)),0)</f>
        <v>0</v>
      </c>
      <c r="P365" s="15">
        <f>-$K365*IFERROR(INDEX('[1]salary allocation'!$E$6:$J$22,MATCH($H365,'[1]salary allocation'!$D$6:$D$22,0),MATCH(P$3,'[1]salary allocation'!$E$3:$J$3,0)),0)</f>
        <v>9247929.75</v>
      </c>
      <c r="Q365" s="15">
        <f>-$K365*IFERROR(INDEX('[1]salary allocation'!$E$6:$J$22,MATCH($H365,'[1]salary allocation'!$D$6:$D$22,0),MATCH(Q$3,'[1]salary allocation'!$E$3:$J$3,0)),0)</f>
        <v>0</v>
      </c>
      <c r="R365" s="15">
        <f>-$K365*IFERROR(INDEX('[1]salary allocation'!$E$6:$J$22,MATCH($H365,'[1]salary allocation'!$D$6:$D$22,0),MATCH(R$3,'[1]salary allocation'!$E$3:$J$3,0)),0)</f>
        <v>0</v>
      </c>
      <c r="S365" s="15">
        <f>-$K365*IFERROR(INDEX('[1]salary allocation'!$E$6:$J$22,MATCH($H365,'[1]salary allocation'!$D$6:$D$22,0),MATCH(S$3,'[1]salary allocation'!$E$3:$J$3,0)),0)</f>
        <v>10480987.049999999</v>
      </c>
      <c r="T365" s="15">
        <f>-$K365*IFERROR(INDEX('[1]salary allocation'!$E$6:$J$22,MATCH($H365,'[1]salary allocation'!$D$6:$D$22,0),MATCH(T$3,'[1]salary allocation'!$E$3:$J$3,0)),0)</f>
        <v>10480987.049999999</v>
      </c>
      <c r="U365" s="15">
        <f>-$K365*IFERROR(INDEX('[1]salary allocation'!$E$6:$J$22,MATCH($H365,'[1]salary allocation'!$D$6:$D$22,0),MATCH(U$3,'[1]salary allocation'!$E$3:$J$3,0)),0)</f>
        <v>10480987.049999999</v>
      </c>
      <c r="V365" s="15">
        <f>-$K365*IFERROR(INDEX('[1]salary allocation'!$E$6:$J$22,MATCH($H365,'[1]salary allocation'!$D$6:$D$22,0),MATCH(V$3,'[1]salary allocation'!$E$3:$J$3,0)),0)</f>
        <v>0</v>
      </c>
      <c r="W365" s="15">
        <f>-$K365*IFERROR(INDEX('[1]salary allocation'!$E$6:$J$22,MATCH($H365,'[1]salary allocation'!$D$6:$D$22,0),MATCH(W$3,'[1]salary allocation'!$E$3:$J$3,0)),0)</f>
        <v>20961974.099999998</v>
      </c>
      <c r="X365" s="15">
        <f>-$K365*IFERROR(INDEX('[1]salary allocation'!$E$6:$J$22,MATCH($H365,'[1]salary allocation'!$D$6:$D$22,0),MATCH(X$3,'[1]salary allocation'!$E$3:$J$3,0)),0)</f>
        <v>0</v>
      </c>
      <c r="Y365" s="15">
        <f>-$K365*IFERROR(INDEX('[1]salary allocation'!$E$6:$J$22,MATCH($H365,'[1]salary allocation'!$D$6:$D$22,0),MATCH(Y$3,'[1]salary allocation'!$E$3:$J$3,0)),0)</f>
        <v>0</v>
      </c>
      <c r="Z365" s="15">
        <f>-$K365*IFERROR(INDEX('[1]salary allocation'!$E$6:$J$22,MATCH($H365,'[1]salary allocation'!$D$6:$D$22,0),MATCH(Z$3,'[1]salary allocation'!$E$3:$J$3,0)),0)</f>
        <v>0</v>
      </c>
      <c r="AA365" s="15">
        <f>-$K365*IFERROR(INDEX('[1]salary allocation'!$E$6:$J$22,MATCH($H365,'[1]salary allocation'!$D$6:$D$22,0),MATCH(AA$3,'[1]salary allocation'!$E$3:$J$3,0)),0)</f>
        <v>0</v>
      </c>
      <c r="AB365" s="15">
        <f>-$K365*IFERROR(INDEX('[1]salary allocation'!$E$6:$J$22,MATCH($H365,'[1]salary allocation'!$D$6:$D$22,0),MATCH(AB$3,'[1]salary allocation'!$E$3:$J$3,0)),0)</f>
        <v>0</v>
      </c>
      <c r="AC365" s="18">
        <f>-$K365*IFERROR(INDEX('[1]salary allocation'!$E$6:$J$22,MATCH($H365,'[1]salary allocation'!$D$6:$D$22,0),MATCH(AC$3,'[1]salary allocation'!$E$3:$J$3,0)),0)</f>
        <v>0</v>
      </c>
      <c r="AD365" s="17"/>
      <c r="AE365" s="16"/>
      <c r="AF365" s="15">
        <f>-$K365</f>
        <v>61652865</v>
      </c>
      <c r="AG365" s="15"/>
      <c r="AH365" s="2">
        <f>K365+SUM(O365:AC365)</f>
        <v>0</v>
      </c>
      <c r="AI365" s="2">
        <f>K365+SUM(AF365:AG365)</f>
        <v>0</v>
      </c>
    </row>
    <row r="366" spans="1:35" ht="17" x14ac:dyDescent="0.2">
      <c r="A366" s="52" t="s">
        <v>47</v>
      </c>
      <c r="B366" s="55" t="s">
        <v>523</v>
      </c>
      <c r="H366" s="52" t="s">
        <v>47</v>
      </c>
      <c r="I366" s="54" t="s">
        <v>525</v>
      </c>
      <c r="K366" s="47">
        <v>-63747285</v>
      </c>
      <c r="L366" s="46">
        <v>32025</v>
      </c>
      <c r="M366" s="49" t="s">
        <v>490</v>
      </c>
      <c r="N366" s="11" t="str">
        <f>M366</f>
        <v>VNHBC</v>
      </c>
      <c r="O366" s="15">
        <f>-$K366*IFERROR(INDEX('[1]salary allocation'!$E$6:$J$22,MATCH($H366,'[1]salary allocation'!$D$6:$D$22,0),MATCH(O$3,'[1]salary allocation'!$E$3:$J$3,0)),0)</f>
        <v>0</v>
      </c>
      <c r="P366" s="15">
        <f>-$K366*IFERROR(INDEX('[1]salary allocation'!$E$6:$J$22,MATCH($H366,'[1]salary allocation'!$D$6:$D$22,0),MATCH(P$3,'[1]salary allocation'!$E$3:$J$3,0)),0)</f>
        <v>0</v>
      </c>
      <c r="Q366" s="15">
        <f>-$K366*IFERROR(INDEX('[1]salary allocation'!$E$6:$J$22,MATCH($H366,'[1]salary allocation'!$D$6:$D$22,0),MATCH(Q$3,'[1]salary allocation'!$E$3:$J$3,0)),0)</f>
        <v>0</v>
      </c>
      <c r="R366" s="15">
        <f>-$K366*IFERROR(INDEX('[1]salary allocation'!$E$6:$J$22,MATCH($H366,'[1]salary allocation'!$D$6:$D$22,0),MATCH(R$3,'[1]salary allocation'!$E$3:$J$3,0)),0)</f>
        <v>0</v>
      </c>
      <c r="S366" s="15">
        <f>-$K366*IFERROR(INDEX('[1]salary allocation'!$E$6:$J$22,MATCH($H366,'[1]salary allocation'!$D$6:$D$22,0),MATCH(S$3,'[1]salary allocation'!$E$3:$J$3,0)),0)</f>
        <v>12749457</v>
      </c>
      <c r="T366" s="15">
        <f>-$K366*IFERROR(INDEX('[1]salary allocation'!$E$6:$J$22,MATCH($H366,'[1]salary allocation'!$D$6:$D$22,0),MATCH(T$3,'[1]salary allocation'!$E$3:$J$3,0)),0)</f>
        <v>12749457</v>
      </c>
      <c r="U366" s="15">
        <f>-$K366*IFERROR(INDEX('[1]salary allocation'!$E$6:$J$22,MATCH($H366,'[1]salary allocation'!$D$6:$D$22,0),MATCH(U$3,'[1]salary allocation'!$E$3:$J$3,0)),0)</f>
        <v>12749457</v>
      </c>
      <c r="V366" s="15">
        <f>-$K366*IFERROR(INDEX('[1]salary allocation'!$E$6:$J$22,MATCH($H366,'[1]salary allocation'!$D$6:$D$22,0),MATCH(V$3,'[1]salary allocation'!$E$3:$J$3,0)),0)</f>
        <v>0</v>
      </c>
      <c r="W366" s="15">
        <f>-$K366*IFERROR(INDEX('[1]salary allocation'!$E$6:$J$22,MATCH($H366,'[1]salary allocation'!$D$6:$D$22,0),MATCH(W$3,'[1]salary allocation'!$E$3:$J$3,0)),0)</f>
        <v>25498914</v>
      </c>
      <c r="X366" s="15">
        <f>-$K366*IFERROR(INDEX('[1]salary allocation'!$E$6:$J$22,MATCH($H366,'[1]salary allocation'!$D$6:$D$22,0),MATCH(X$3,'[1]salary allocation'!$E$3:$J$3,0)),0)</f>
        <v>0</v>
      </c>
      <c r="Y366" s="15">
        <f>-$K366*IFERROR(INDEX('[1]salary allocation'!$E$6:$J$22,MATCH($H366,'[1]salary allocation'!$D$6:$D$22,0),MATCH(Y$3,'[1]salary allocation'!$E$3:$J$3,0)),0)</f>
        <v>0</v>
      </c>
      <c r="Z366" s="15">
        <f>-$K366*IFERROR(INDEX('[1]salary allocation'!$E$6:$J$22,MATCH($H366,'[1]salary allocation'!$D$6:$D$22,0),MATCH(Z$3,'[1]salary allocation'!$E$3:$J$3,0)),0)</f>
        <v>0</v>
      </c>
      <c r="AA366" s="15">
        <f>-$K366*IFERROR(INDEX('[1]salary allocation'!$E$6:$J$22,MATCH($H366,'[1]salary allocation'!$D$6:$D$22,0),MATCH(AA$3,'[1]salary allocation'!$E$3:$J$3,0)),0)</f>
        <v>0</v>
      </c>
      <c r="AB366" s="15">
        <f>-$K366*IFERROR(INDEX('[1]salary allocation'!$E$6:$J$22,MATCH($H366,'[1]salary allocation'!$D$6:$D$22,0),MATCH(AB$3,'[1]salary allocation'!$E$3:$J$3,0)),0)</f>
        <v>0</v>
      </c>
      <c r="AC366" s="18">
        <f>-$K366*IFERROR(INDEX('[1]salary allocation'!$E$6:$J$22,MATCH($H366,'[1]salary allocation'!$D$6:$D$22,0),MATCH(AC$3,'[1]salary allocation'!$E$3:$J$3,0)),0)</f>
        <v>0</v>
      </c>
      <c r="AD366" s="17"/>
      <c r="AE366" s="16"/>
      <c r="AF366" s="15">
        <f>-$K366</f>
        <v>63747285</v>
      </c>
      <c r="AG366" s="15"/>
      <c r="AH366" s="2">
        <f>K366+SUM(O366:AC366)</f>
        <v>0</v>
      </c>
      <c r="AI366" s="2">
        <f>K366+SUM(AF366:AG366)</f>
        <v>0</v>
      </c>
    </row>
    <row r="367" spans="1:35" ht="17" x14ac:dyDescent="0.2">
      <c r="A367" s="52" t="s">
        <v>35</v>
      </c>
      <c r="B367" s="55" t="s">
        <v>523</v>
      </c>
      <c r="H367" s="52" t="s">
        <v>35</v>
      </c>
      <c r="I367" s="54" t="s">
        <v>524</v>
      </c>
      <c r="K367" s="47">
        <v>-59392300</v>
      </c>
      <c r="L367" s="46">
        <v>32025</v>
      </c>
      <c r="M367" s="49" t="s">
        <v>138</v>
      </c>
      <c r="N367" s="11" t="str">
        <f>M367</f>
        <v>VNOther</v>
      </c>
      <c r="O367" s="15">
        <f>-$K367*IFERROR(INDEX('[1]salary allocation'!$E$6:$J$22,MATCH($H367,'[1]salary allocation'!$D$6:$D$22,0),MATCH(O$3,'[1]salary allocation'!$E$3:$J$3,0)),0)</f>
        <v>0</v>
      </c>
      <c r="P367" s="15">
        <f>-$K367*IFERROR(INDEX('[1]salary allocation'!$E$6:$J$22,MATCH($H367,'[1]salary allocation'!$D$6:$D$22,0),MATCH(P$3,'[1]salary allocation'!$E$3:$J$3,0)),0)</f>
        <v>8908845</v>
      </c>
      <c r="Q367" s="15">
        <f>-$K367*IFERROR(INDEX('[1]salary allocation'!$E$6:$J$22,MATCH($H367,'[1]salary allocation'!$D$6:$D$22,0),MATCH(Q$3,'[1]salary allocation'!$E$3:$J$3,0)),0)</f>
        <v>0</v>
      </c>
      <c r="R367" s="15">
        <f>-$K367*IFERROR(INDEX('[1]salary allocation'!$E$6:$J$22,MATCH($H367,'[1]salary allocation'!$D$6:$D$22,0),MATCH(R$3,'[1]salary allocation'!$E$3:$J$3,0)),0)</f>
        <v>0</v>
      </c>
      <c r="S367" s="15">
        <f>-$K367*IFERROR(INDEX('[1]salary allocation'!$E$6:$J$22,MATCH($H367,'[1]salary allocation'!$D$6:$D$22,0),MATCH(S$3,'[1]salary allocation'!$E$3:$J$3,0)),0)</f>
        <v>10096691</v>
      </c>
      <c r="T367" s="15">
        <f>-$K367*IFERROR(INDEX('[1]salary allocation'!$E$6:$J$22,MATCH($H367,'[1]salary allocation'!$D$6:$D$22,0),MATCH(T$3,'[1]salary allocation'!$E$3:$J$3,0)),0)</f>
        <v>10096691</v>
      </c>
      <c r="U367" s="15">
        <f>-$K367*IFERROR(INDEX('[1]salary allocation'!$E$6:$J$22,MATCH($H367,'[1]salary allocation'!$D$6:$D$22,0),MATCH(U$3,'[1]salary allocation'!$E$3:$J$3,0)),0)</f>
        <v>10096691</v>
      </c>
      <c r="V367" s="15">
        <f>-$K367*IFERROR(INDEX('[1]salary allocation'!$E$6:$J$22,MATCH($H367,'[1]salary allocation'!$D$6:$D$22,0),MATCH(V$3,'[1]salary allocation'!$E$3:$J$3,0)),0)</f>
        <v>0</v>
      </c>
      <c r="W367" s="15">
        <f>-$K367*IFERROR(INDEX('[1]salary allocation'!$E$6:$J$22,MATCH($H367,'[1]salary allocation'!$D$6:$D$22,0),MATCH(W$3,'[1]salary allocation'!$E$3:$J$3,0)),0)</f>
        <v>20193382</v>
      </c>
      <c r="X367" s="15">
        <f>-$K367*IFERROR(INDEX('[1]salary allocation'!$E$6:$J$22,MATCH($H367,'[1]salary allocation'!$D$6:$D$22,0),MATCH(X$3,'[1]salary allocation'!$E$3:$J$3,0)),0)</f>
        <v>0</v>
      </c>
      <c r="Y367" s="15">
        <f>-$K367*IFERROR(INDEX('[1]salary allocation'!$E$6:$J$22,MATCH($H367,'[1]salary allocation'!$D$6:$D$22,0),MATCH(Y$3,'[1]salary allocation'!$E$3:$J$3,0)),0)</f>
        <v>0</v>
      </c>
      <c r="Z367" s="15">
        <f>-$K367*IFERROR(INDEX('[1]salary allocation'!$E$6:$J$22,MATCH($H367,'[1]salary allocation'!$D$6:$D$22,0),MATCH(Z$3,'[1]salary allocation'!$E$3:$J$3,0)),0)</f>
        <v>0</v>
      </c>
      <c r="AA367" s="15">
        <f>-$K367*IFERROR(INDEX('[1]salary allocation'!$E$6:$J$22,MATCH($H367,'[1]salary allocation'!$D$6:$D$22,0),MATCH(AA$3,'[1]salary allocation'!$E$3:$J$3,0)),0)</f>
        <v>0</v>
      </c>
      <c r="AB367" s="15">
        <f>-$K367*IFERROR(INDEX('[1]salary allocation'!$E$6:$J$22,MATCH($H367,'[1]salary allocation'!$D$6:$D$22,0),MATCH(AB$3,'[1]salary allocation'!$E$3:$J$3,0)),0)</f>
        <v>0</v>
      </c>
      <c r="AC367" s="18">
        <f>-$K367*IFERROR(INDEX('[1]salary allocation'!$E$6:$J$22,MATCH($H367,'[1]salary allocation'!$D$6:$D$22,0),MATCH(AC$3,'[1]salary allocation'!$E$3:$J$3,0)),0)</f>
        <v>0</v>
      </c>
      <c r="AD367" s="17"/>
      <c r="AE367" s="16"/>
      <c r="AF367" s="15">
        <f>-$K367</f>
        <v>59392300</v>
      </c>
      <c r="AG367" s="15"/>
      <c r="AH367" s="2">
        <f>K367+SUM(O367:AC367)</f>
        <v>0</v>
      </c>
      <c r="AI367" s="2">
        <f>K367+SUM(AF367:AG367)</f>
        <v>0</v>
      </c>
    </row>
    <row r="368" spans="1:35" ht="34" x14ac:dyDescent="0.2">
      <c r="A368" s="52" t="s">
        <v>37</v>
      </c>
      <c r="B368" s="55" t="s">
        <v>523</v>
      </c>
      <c r="H368" s="52" t="s">
        <v>37</v>
      </c>
      <c r="I368" s="54" t="s">
        <v>522</v>
      </c>
      <c r="K368" s="47">
        <v>-34980062</v>
      </c>
      <c r="L368" s="46">
        <v>32025</v>
      </c>
      <c r="M368" s="49" t="s">
        <v>138</v>
      </c>
      <c r="N368" s="11" t="str">
        <f>M368</f>
        <v>VNOther</v>
      </c>
      <c r="O368" s="15">
        <f>-$K368*IFERROR(INDEX('[1]salary allocation'!$E$6:$J$22,MATCH($H368,'[1]salary allocation'!$D$6:$D$22,0),MATCH(O$3,'[1]salary allocation'!$E$3:$J$3,0)),0)</f>
        <v>0</v>
      </c>
      <c r="P368" s="15">
        <f>-$K368*IFERROR(INDEX('[1]salary allocation'!$E$6:$J$22,MATCH($H368,'[1]salary allocation'!$D$6:$D$22,0),MATCH(P$3,'[1]salary allocation'!$E$3:$J$3,0)),0)</f>
        <v>5247009.3</v>
      </c>
      <c r="Q368" s="15">
        <f>-$K368*IFERROR(INDEX('[1]salary allocation'!$E$6:$J$22,MATCH($H368,'[1]salary allocation'!$D$6:$D$22,0),MATCH(Q$3,'[1]salary allocation'!$E$3:$J$3,0)),0)</f>
        <v>0</v>
      </c>
      <c r="R368" s="15">
        <f>-$K368*IFERROR(INDEX('[1]salary allocation'!$E$6:$J$22,MATCH($H368,'[1]salary allocation'!$D$6:$D$22,0),MATCH(R$3,'[1]salary allocation'!$E$3:$J$3,0)),0)</f>
        <v>0</v>
      </c>
      <c r="S368" s="15">
        <f>-$K368*IFERROR(INDEX('[1]salary allocation'!$E$6:$J$22,MATCH($H368,'[1]salary allocation'!$D$6:$D$22,0),MATCH(S$3,'[1]salary allocation'!$E$3:$J$3,0)),0)</f>
        <v>5946610.5399999991</v>
      </c>
      <c r="T368" s="15">
        <f>-$K368*IFERROR(INDEX('[1]salary allocation'!$E$6:$J$22,MATCH($H368,'[1]salary allocation'!$D$6:$D$22,0),MATCH(T$3,'[1]salary allocation'!$E$3:$J$3,0)),0)</f>
        <v>5946610.5399999991</v>
      </c>
      <c r="U368" s="15">
        <f>-$K368*IFERROR(INDEX('[1]salary allocation'!$E$6:$J$22,MATCH($H368,'[1]salary allocation'!$D$6:$D$22,0),MATCH(U$3,'[1]salary allocation'!$E$3:$J$3,0)),0)</f>
        <v>5946610.5399999991</v>
      </c>
      <c r="V368" s="15">
        <f>-$K368*IFERROR(INDEX('[1]salary allocation'!$E$6:$J$22,MATCH($H368,'[1]salary allocation'!$D$6:$D$22,0),MATCH(V$3,'[1]salary allocation'!$E$3:$J$3,0)),0)</f>
        <v>0</v>
      </c>
      <c r="W368" s="15">
        <f>-$K368*IFERROR(INDEX('[1]salary allocation'!$E$6:$J$22,MATCH($H368,'[1]salary allocation'!$D$6:$D$22,0),MATCH(W$3,'[1]salary allocation'!$E$3:$J$3,0)),0)</f>
        <v>11893221.079999998</v>
      </c>
      <c r="X368" s="15">
        <f>-$K368*IFERROR(INDEX('[1]salary allocation'!$E$6:$J$22,MATCH($H368,'[1]salary allocation'!$D$6:$D$22,0),MATCH(X$3,'[1]salary allocation'!$E$3:$J$3,0)),0)</f>
        <v>0</v>
      </c>
      <c r="Y368" s="15">
        <f>-$K368*IFERROR(INDEX('[1]salary allocation'!$E$6:$J$22,MATCH($H368,'[1]salary allocation'!$D$6:$D$22,0),MATCH(Y$3,'[1]salary allocation'!$E$3:$J$3,0)),0)</f>
        <v>0</v>
      </c>
      <c r="Z368" s="15">
        <f>-$K368*IFERROR(INDEX('[1]salary allocation'!$E$6:$J$22,MATCH($H368,'[1]salary allocation'!$D$6:$D$22,0),MATCH(Z$3,'[1]salary allocation'!$E$3:$J$3,0)),0)</f>
        <v>0</v>
      </c>
      <c r="AA368" s="15">
        <f>-$K368*IFERROR(INDEX('[1]salary allocation'!$E$6:$J$22,MATCH($H368,'[1]salary allocation'!$D$6:$D$22,0),MATCH(AA$3,'[1]salary allocation'!$E$3:$J$3,0)),0)</f>
        <v>0</v>
      </c>
      <c r="AB368" s="15">
        <f>-$K368*IFERROR(INDEX('[1]salary allocation'!$E$6:$J$22,MATCH($H368,'[1]salary allocation'!$D$6:$D$22,0),MATCH(AB$3,'[1]salary allocation'!$E$3:$J$3,0)),0)</f>
        <v>0</v>
      </c>
      <c r="AC368" s="18">
        <f>-$K368*IFERROR(INDEX('[1]salary allocation'!$E$6:$J$22,MATCH($H368,'[1]salary allocation'!$D$6:$D$22,0),MATCH(AC$3,'[1]salary allocation'!$E$3:$J$3,0)),0)</f>
        <v>0</v>
      </c>
      <c r="AD368" s="17"/>
      <c r="AE368" s="16"/>
      <c r="AF368" s="15">
        <f>-K368</f>
        <v>34980062</v>
      </c>
      <c r="AG368" s="15"/>
      <c r="AH368" s="2">
        <f>K368+SUM(O368:AC368)</f>
        <v>0</v>
      </c>
      <c r="AI368" s="2">
        <f>K368+SUM(AF368:AG368)</f>
        <v>0</v>
      </c>
    </row>
    <row r="369" spans="1:35" ht="17" x14ac:dyDescent="0.2">
      <c r="A369" s="52" t="s">
        <v>47</v>
      </c>
      <c r="B369" s="53" t="s">
        <v>519</v>
      </c>
      <c r="H369" s="52" t="s">
        <v>47</v>
      </c>
      <c r="I369" s="52" t="s">
        <v>521</v>
      </c>
      <c r="K369" s="13">
        <v>-54052346</v>
      </c>
      <c r="L369" s="46">
        <v>42025</v>
      </c>
      <c r="M369" s="11" t="s">
        <v>490</v>
      </c>
      <c r="N369" s="11" t="str">
        <f>M369</f>
        <v>VNHBC</v>
      </c>
      <c r="O369" s="15">
        <f>-$K369*IFERROR(INDEX('[1]salary allocation'!$E$6:$J$22,MATCH($H369,'[1]salary allocation'!$D$6:$D$22,0),MATCH(O$3,'[1]salary allocation'!$E$3:$J$3,0)),0)</f>
        <v>0</v>
      </c>
      <c r="P369" s="15">
        <f>-$K369*IFERROR(INDEX('[1]salary allocation'!$E$6:$J$22,MATCH($H369,'[1]salary allocation'!$D$6:$D$22,0),MATCH(P$3,'[1]salary allocation'!$E$3:$J$3,0)),0)</f>
        <v>0</v>
      </c>
      <c r="Q369" s="15">
        <f>-$K369*IFERROR(INDEX('[1]salary allocation'!$E$6:$J$22,MATCH($H369,'[1]salary allocation'!$D$6:$D$22,0),MATCH(Q$3,'[1]salary allocation'!$E$3:$J$3,0)),0)</f>
        <v>0</v>
      </c>
      <c r="R369" s="15">
        <f>-$K369*IFERROR(INDEX('[1]salary allocation'!$E$6:$J$22,MATCH($H369,'[1]salary allocation'!$D$6:$D$22,0),MATCH(R$3,'[1]salary allocation'!$E$3:$J$3,0)),0)</f>
        <v>0</v>
      </c>
      <c r="S369" s="15">
        <f>-$K369*IFERROR(INDEX('[1]salary allocation'!$E$6:$J$22,MATCH($H369,'[1]salary allocation'!$D$6:$D$22,0),MATCH(S$3,'[1]salary allocation'!$E$3:$J$3,0)),0)</f>
        <v>10810469.200000001</v>
      </c>
      <c r="T369" s="15">
        <f>-$K369*IFERROR(INDEX('[1]salary allocation'!$E$6:$J$22,MATCH($H369,'[1]salary allocation'!$D$6:$D$22,0),MATCH(T$3,'[1]salary allocation'!$E$3:$J$3,0)),0)</f>
        <v>10810469.200000001</v>
      </c>
      <c r="U369" s="15">
        <f>-$K369*IFERROR(INDEX('[1]salary allocation'!$E$6:$J$22,MATCH($H369,'[1]salary allocation'!$D$6:$D$22,0),MATCH(U$3,'[1]salary allocation'!$E$3:$J$3,0)),0)</f>
        <v>10810469.200000001</v>
      </c>
      <c r="V369" s="15">
        <f>-$K369*IFERROR(INDEX('[1]salary allocation'!$E$6:$J$22,MATCH($H369,'[1]salary allocation'!$D$6:$D$22,0),MATCH(V$3,'[1]salary allocation'!$E$3:$J$3,0)),0)</f>
        <v>0</v>
      </c>
      <c r="W369" s="15">
        <f>-$K369*IFERROR(INDEX('[1]salary allocation'!$E$6:$J$22,MATCH($H369,'[1]salary allocation'!$D$6:$D$22,0),MATCH(W$3,'[1]salary allocation'!$E$3:$J$3,0)),0)</f>
        <v>21620938.400000002</v>
      </c>
      <c r="X369" s="15">
        <f>-$K369*IFERROR(INDEX('[1]salary allocation'!$E$6:$J$22,MATCH($H369,'[1]salary allocation'!$D$6:$D$22,0),MATCH(X$3,'[1]salary allocation'!$E$3:$J$3,0)),0)</f>
        <v>0</v>
      </c>
      <c r="Y369" s="15">
        <f>-$K369*IFERROR(INDEX('[1]salary allocation'!$E$6:$J$22,MATCH($H369,'[1]salary allocation'!$D$6:$D$22,0),MATCH(Y$3,'[1]salary allocation'!$E$3:$J$3,0)),0)</f>
        <v>0</v>
      </c>
      <c r="Z369" s="15">
        <f>-$K369*IFERROR(INDEX('[1]salary allocation'!$E$6:$J$22,MATCH($H369,'[1]salary allocation'!$D$6:$D$22,0),MATCH(Z$3,'[1]salary allocation'!$E$3:$J$3,0)),0)</f>
        <v>0</v>
      </c>
      <c r="AA369" s="15">
        <f>-$K369*IFERROR(INDEX('[1]salary allocation'!$E$6:$J$22,MATCH($H369,'[1]salary allocation'!$D$6:$D$22,0),MATCH(AA$3,'[1]salary allocation'!$E$3:$J$3,0)),0)</f>
        <v>0</v>
      </c>
      <c r="AB369" s="15">
        <f>-$K369*IFERROR(INDEX('[1]salary allocation'!$E$6:$J$22,MATCH($H369,'[1]salary allocation'!$D$6:$D$22,0),MATCH(AB$3,'[1]salary allocation'!$E$3:$J$3,0)),0)</f>
        <v>0</v>
      </c>
      <c r="AC369" s="18">
        <f>-$K369*IFERROR(INDEX('[1]salary allocation'!$E$6:$J$22,MATCH($H369,'[1]salary allocation'!$D$6:$D$22,0),MATCH(AC$3,'[1]salary allocation'!$E$3:$J$3,0)),0)</f>
        <v>0</v>
      </c>
      <c r="AD369" s="17"/>
      <c r="AE369" s="16"/>
      <c r="AF369" s="15">
        <f>-$K369</f>
        <v>54052346</v>
      </c>
      <c r="AG369" s="15"/>
      <c r="AH369" s="2">
        <f>K369+SUM(O369:AC369)</f>
        <v>0</v>
      </c>
      <c r="AI369" s="2">
        <f>K369+SUM(AF369:AG369)</f>
        <v>0</v>
      </c>
    </row>
    <row r="370" spans="1:35" ht="34" x14ac:dyDescent="0.2">
      <c r="A370" s="52" t="s">
        <v>37</v>
      </c>
      <c r="B370" s="53" t="s">
        <v>519</v>
      </c>
      <c r="H370" s="52" t="s">
        <v>37</v>
      </c>
      <c r="I370" s="52" t="s">
        <v>520</v>
      </c>
      <c r="K370" s="13">
        <v>-35366762</v>
      </c>
      <c r="L370" s="46">
        <v>42025</v>
      </c>
      <c r="M370" s="11" t="s">
        <v>138</v>
      </c>
      <c r="N370" s="11" t="str">
        <f>M370</f>
        <v>VNOther</v>
      </c>
      <c r="O370" s="15">
        <f>-$K370*IFERROR(INDEX('[1]salary allocation'!$E$6:$J$22,MATCH($H370,'[1]salary allocation'!$D$6:$D$22,0),MATCH(O$3,'[1]salary allocation'!$E$3:$J$3,0)),0)</f>
        <v>0</v>
      </c>
      <c r="P370" s="15">
        <f>-$K370*IFERROR(INDEX('[1]salary allocation'!$E$6:$J$22,MATCH($H370,'[1]salary allocation'!$D$6:$D$22,0),MATCH(P$3,'[1]salary allocation'!$E$3:$J$3,0)),0)</f>
        <v>5305014.3</v>
      </c>
      <c r="Q370" s="15">
        <f>-$K370*IFERROR(INDEX('[1]salary allocation'!$E$6:$J$22,MATCH($H370,'[1]salary allocation'!$D$6:$D$22,0),MATCH(Q$3,'[1]salary allocation'!$E$3:$J$3,0)),0)</f>
        <v>0</v>
      </c>
      <c r="R370" s="15">
        <f>-$K370*IFERROR(INDEX('[1]salary allocation'!$E$6:$J$22,MATCH($H370,'[1]salary allocation'!$D$6:$D$22,0),MATCH(R$3,'[1]salary allocation'!$E$3:$J$3,0)),0)</f>
        <v>0</v>
      </c>
      <c r="S370" s="15">
        <f>-$K370*IFERROR(INDEX('[1]salary allocation'!$E$6:$J$22,MATCH($H370,'[1]salary allocation'!$D$6:$D$22,0),MATCH(S$3,'[1]salary allocation'!$E$3:$J$3,0)),0)</f>
        <v>6012349.5399999991</v>
      </c>
      <c r="T370" s="15">
        <f>-$K370*IFERROR(INDEX('[1]salary allocation'!$E$6:$J$22,MATCH($H370,'[1]salary allocation'!$D$6:$D$22,0),MATCH(T$3,'[1]salary allocation'!$E$3:$J$3,0)),0)</f>
        <v>6012349.5399999991</v>
      </c>
      <c r="U370" s="15">
        <f>-$K370*IFERROR(INDEX('[1]salary allocation'!$E$6:$J$22,MATCH($H370,'[1]salary allocation'!$D$6:$D$22,0),MATCH(U$3,'[1]salary allocation'!$E$3:$J$3,0)),0)</f>
        <v>6012349.5399999991</v>
      </c>
      <c r="V370" s="15">
        <f>-$K370*IFERROR(INDEX('[1]salary allocation'!$E$6:$J$22,MATCH($H370,'[1]salary allocation'!$D$6:$D$22,0),MATCH(V$3,'[1]salary allocation'!$E$3:$J$3,0)),0)</f>
        <v>0</v>
      </c>
      <c r="W370" s="15">
        <f>-$K370*IFERROR(INDEX('[1]salary allocation'!$E$6:$J$22,MATCH($H370,'[1]salary allocation'!$D$6:$D$22,0),MATCH(W$3,'[1]salary allocation'!$E$3:$J$3,0)),0)</f>
        <v>12024699.079999998</v>
      </c>
      <c r="X370" s="15">
        <f>-$K370*IFERROR(INDEX('[1]salary allocation'!$E$6:$J$22,MATCH($H370,'[1]salary allocation'!$D$6:$D$22,0),MATCH(X$3,'[1]salary allocation'!$E$3:$J$3,0)),0)</f>
        <v>0</v>
      </c>
      <c r="Y370" s="15">
        <f>-$K370*IFERROR(INDEX('[1]salary allocation'!$E$6:$J$22,MATCH($H370,'[1]salary allocation'!$D$6:$D$22,0),MATCH(Y$3,'[1]salary allocation'!$E$3:$J$3,0)),0)</f>
        <v>0</v>
      </c>
      <c r="Z370" s="15">
        <f>-$K370*IFERROR(INDEX('[1]salary allocation'!$E$6:$J$22,MATCH($H370,'[1]salary allocation'!$D$6:$D$22,0),MATCH(Z$3,'[1]salary allocation'!$E$3:$J$3,0)),0)</f>
        <v>0</v>
      </c>
      <c r="AA370" s="15">
        <f>-$K370*IFERROR(INDEX('[1]salary allocation'!$E$6:$J$22,MATCH($H370,'[1]salary allocation'!$D$6:$D$22,0),MATCH(AA$3,'[1]salary allocation'!$E$3:$J$3,0)),0)</f>
        <v>0</v>
      </c>
      <c r="AB370" s="15">
        <f>-$K370*IFERROR(INDEX('[1]salary allocation'!$E$6:$J$22,MATCH($H370,'[1]salary allocation'!$D$6:$D$22,0),MATCH(AB$3,'[1]salary allocation'!$E$3:$J$3,0)),0)</f>
        <v>0</v>
      </c>
      <c r="AC370" s="18">
        <f>-$K370*IFERROR(INDEX('[1]salary allocation'!$E$6:$J$22,MATCH($H370,'[1]salary allocation'!$D$6:$D$22,0),MATCH(AC$3,'[1]salary allocation'!$E$3:$J$3,0)),0)</f>
        <v>0</v>
      </c>
      <c r="AD370" s="17"/>
      <c r="AE370" s="16"/>
      <c r="AF370" s="15">
        <f>-K370</f>
        <v>35366762</v>
      </c>
      <c r="AG370" s="15"/>
      <c r="AH370" s="2">
        <f>K370+SUM(O370:AC370)</f>
        <v>0</v>
      </c>
      <c r="AI370" s="2">
        <f>K370+SUM(AF370:AG370)</f>
        <v>0</v>
      </c>
    </row>
    <row r="371" spans="1:35" ht="17" x14ac:dyDescent="0.2">
      <c r="A371" s="52" t="s">
        <v>35</v>
      </c>
      <c r="B371" s="53" t="s">
        <v>519</v>
      </c>
      <c r="H371" s="52" t="s">
        <v>35</v>
      </c>
      <c r="I371" s="52" t="s">
        <v>518</v>
      </c>
      <c r="K371" s="13">
        <v>-60012087</v>
      </c>
      <c r="L371" s="46">
        <v>42025</v>
      </c>
      <c r="M371" s="11" t="s">
        <v>138</v>
      </c>
      <c r="N371" s="11" t="str">
        <f>M371</f>
        <v>VNOther</v>
      </c>
      <c r="O371" s="15">
        <f>-$K371*IFERROR(INDEX('[1]salary allocation'!$E$6:$J$22,MATCH($H371,'[1]salary allocation'!$D$6:$D$22,0),MATCH(O$3,'[1]salary allocation'!$E$3:$J$3,0)),0)</f>
        <v>0</v>
      </c>
      <c r="P371" s="15">
        <f>-$K371*IFERROR(INDEX('[1]salary allocation'!$E$6:$J$22,MATCH($H371,'[1]salary allocation'!$D$6:$D$22,0),MATCH(P$3,'[1]salary allocation'!$E$3:$J$3,0)),0)</f>
        <v>9001813.0499999989</v>
      </c>
      <c r="Q371" s="15">
        <f>-$K371*IFERROR(INDEX('[1]salary allocation'!$E$6:$J$22,MATCH($H371,'[1]salary allocation'!$D$6:$D$22,0),MATCH(Q$3,'[1]salary allocation'!$E$3:$J$3,0)),0)</f>
        <v>0</v>
      </c>
      <c r="R371" s="15">
        <f>-$K371*IFERROR(INDEX('[1]salary allocation'!$E$6:$J$22,MATCH($H371,'[1]salary allocation'!$D$6:$D$22,0),MATCH(R$3,'[1]salary allocation'!$E$3:$J$3,0)),0)</f>
        <v>0</v>
      </c>
      <c r="S371" s="15">
        <f>-$K371*IFERROR(INDEX('[1]salary allocation'!$E$6:$J$22,MATCH($H371,'[1]salary allocation'!$D$6:$D$22,0),MATCH(S$3,'[1]salary allocation'!$E$3:$J$3,0)),0)</f>
        <v>10202054.789999999</v>
      </c>
      <c r="T371" s="15">
        <f>-$K371*IFERROR(INDEX('[1]salary allocation'!$E$6:$J$22,MATCH($H371,'[1]salary allocation'!$D$6:$D$22,0),MATCH(T$3,'[1]salary allocation'!$E$3:$J$3,0)),0)</f>
        <v>10202054.789999999</v>
      </c>
      <c r="U371" s="15">
        <f>-$K371*IFERROR(INDEX('[1]salary allocation'!$E$6:$J$22,MATCH($H371,'[1]salary allocation'!$D$6:$D$22,0),MATCH(U$3,'[1]salary allocation'!$E$3:$J$3,0)),0)</f>
        <v>10202054.789999999</v>
      </c>
      <c r="V371" s="15">
        <f>-$K371*IFERROR(INDEX('[1]salary allocation'!$E$6:$J$22,MATCH($H371,'[1]salary allocation'!$D$6:$D$22,0),MATCH(V$3,'[1]salary allocation'!$E$3:$J$3,0)),0)</f>
        <v>0</v>
      </c>
      <c r="W371" s="15">
        <f>-$K371*IFERROR(INDEX('[1]salary allocation'!$E$6:$J$22,MATCH($H371,'[1]salary allocation'!$D$6:$D$22,0),MATCH(W$3,'[1]salary allocation'!$E$3:$J$3,0)),0)</f>
        <v>20404109.579999998</v>
      </c>
      <c r="X371" s="15">
        <f>-$K371*IFERROR(INDEX('[1]salary allocation'!$E$6:$J$22,MATCH($H371,'[1]salary allocation'!$D$6:$D$22,0),MATCH(X$3,'[1]salary allocation'!$E$3:$J$3,0)),0)</f>
        <v>0</v>
      </c>
      <c r="Y371" s="15">
        <f>-$K371*IFERROR(INDEX('[1]salary allocation'!$E$6:$J$22,MATCH($H371,'[1]salary allocation'!$D$6:$D$22,0),MATCH(Y$3,'[1]salary allocation'!$E$3:$J$3,0)),0)</f>
        <v>0</v>
      </c>
      <c r="Z371" s="15">
        <f>-$K371*IFERROR(INDEX('[1]salary allocation'!$E$6:$J$22,MATCH($H371,'[1]salary allocation'!$D$6:$D$22,0),MATCH(Z$3,'[1]salary allocation'!$E$3:$J$3,0)),0)</f>
        <v>0</v>
      </c>
      <c r="AA371" s="15">
        <f>-$K371*IFERROR(INDEX('[1]salary allocation'!$E$6:$J$22,MATCH($H371,'[1]salary allocation'!$D$6:$D$22,0),MATCH(AA$3,'[1]salary allocation'!$E$3:$J$3,0)),0)</f>
        <v>0</v>
      </c>
      <c r="AB371" s="15">
        <f>-$K371*IFERROR(INDEX('[1]salary allocation'!$E$6:$J$22,MATCH($H371,'[1]salary allocation'!$D$6:$D$22,0),MATCH(AB$3,'[1]salary allocation'!$E$3:$J$3,0)),0)</f>
        <v>0</v>
      </c>
      <c r="AC371" s="18">
        <f>-$K371*IFERROR(INDEX('[1]salary allocation'!$E$6:$J$22,MATCH($H371,'[1]salary allocation'!$D$6:$D$22,0),MATCH(AC$3,'[1]salary allocation'!$E$3:$J$3,0)),0)</f>
        <v>0</v>
      </c>
      <c r="AD371" s="17"/>
      <c r="AE371" s="16"/>
      <c r="AF371" s="15">
        <f>-$K371</f>
        <v>60012087</v>
      </c>
      <c r="AG371" s="15"/>
      <c r="AH371" s="2">
        <f>K371+SUM(O371:AC371)</f>
        <v>0</v>
      </c>
      <c r="AI371" s="2">
        <f>K371+SUM(AF371:AG371)</f>
        <v>0</v>
      </c>
    </row>
    <row r="372" spans="1:35" ht="17" x14ac:dyDescent="0.2">
      <c r="A372" s="50" t="s">
        <v>47</v>
      </c>
      <c r="B372" s="51" t="s">
        <v>515</v>
      </c>
      <c r="H372" s="50" t="s">
        <v>47</v>
      </c>
      <c r="I372" s="50" t="s">
        <v>517</v>
      </c>
      <c r="K372" s="47">
        <v>-54483854</v>
      </c>
      <c r="L372" s="46">
        <v>52025</v>
      </c>
      <c r="M372" s="11" t="s">
        <v>490</v>
      </c>
      <c r="N372" s="11" t="str">
        <f>M372</f>
        <v>VNHBC</v>
      </c>
      <c r="O372" s="15">
        <f>-$K372*IFERROR(INDEX('[1]salary allocation'!$E$6:$J$22,MATCH($H372,'[1]salary allocation'!$D$6:$D$22,0),MATCH(O$3,'[1]salary allocation'!$E$3:$J$3,0)),0)</f>
        <v>0</v>
      </c>
      <c r="P372" s="15">
        <f>-$K372*IFERROR(INDEX('[1]salary allocation'!$E$6:$J$22,MATCH($H372,'[1]salary allocation'!$D$6:$D$22,0),MATCH(P$3,'[1]salary allocation'!$E$3:$J$3,0)),0)</f>
        <v>0</v>
      </c>
      <c r="Q372" s="15">
        <f>-$K372*IFERROR(INDEX('[1]salary allocation'!$E$6:$J$22,MATCH($H372,'[1]salary allocation'!$D$6:$D$22,0),MATCH(Q$3,'[1]salary allocation'!$E$3:$J$3,0)),0)</f>
        <v>0</v>
      </c>
      <c r="R372" s="15">
        <f>-$K372*IFERROR(INDEX('[1]salary allocation'!$E$6:$J$22,MATCH($H372,'[1]salary allocation'!$D$6:$D$22,0),MATCH(R$3,'[1]salary allocation'!$E$3:$J$3,0)),0)</f>
        <v>0</v>
      </c>
      <c r="S372" s="15">
        <f>-$K372*IFERROR(INDEX('[1]salary allocation'!$E$6:$J$22,MATCH($H372,'[1]salary allocation'!$D$6:$D$22,0),MATCH(S$3,'[1]salary allocation'!$E$3:$J$3,0)),0)</f>
        <v>10896770.800000001</v>
      </c>
      <c r="T372" s="15">
        <f>-$K372*IFERROR(INDEX('[1]salary allocation'!$E$6:$J$22,MATCH($H372,'[1]salary allocation'!$D$6:$D$22,0),MATCH(T$3,'[1]salary allocation'!$E$3:$J$3,0)),0)</f>
        <v>10896770.800000001</v>
      </c>
      <c r="U372" s="15">
        <f>-$K372*IFERROR(INDEX('[1]salary allocation'!$E$6:$J$22,MATCH($H372,'[1]salary allocation'!$D$6:$D$22,0),MATCH(U$3,'[1]salary allocation'!$E$3:$J$3,0)),0)</f>
        <v>10896770.800000001</v>
      </c>
      <c r="V372" s="15">
        <f>-$K372*IFERROR(INDEX('[1]salary allocation'!$E$6:$J$22,MATCH($H372,'[1]salary allocation'!$D$6:$D$22,0),MATCH(V$3,'[1]salary allocation'!$E$3:$J$3,0)),0)</f>
        <v>0</v>
      </c>
      <c r="W372" s="15">
        <f>-$K372*IFERROR(INDEX('[1]salary allocation'!$E$6:$J$22,MATCH($H372,'[1]salary allocation'!$D$6:$D$22,0),MATCH(W$3,'[1]salary allocation'!$E$3:$J$3,0)),0)</f>
        <v>21793541.600000001</v>
      </c>
      <c r="X372" s="15">
        <f>-$K372*IFERROR(INDEX('[1]salary allocation'!$E$6:$J$22,MATCH($H372,'[1]salary allocation'!$D$6:$D$22,0),MATCH(X$3,'[1]salary allocation'!$E$3:$J$3,0)),0)</f>
        <v>0</v>
      </c>
      <c r="Y372" s="15">
        <f>-$K372*IFERROR(INDEX('[1]salary allocation'!$E$6:$J$22,MATCH($H372,'[1]salary allocation'!$D$6:$D$22,0),MATCH(Y$3,'[1]salary allocation'!$E$3:$J$3,0)),0)</f>
        <v>0</v>
      </c>
      <c r="Z372" s="15">
        <f>-$K372*IFERROR(INDEX('[1]salary allocation'!$E$6:$J$22,MATCH($H372,'[1]salary allocation'!$D$6:$D$22,0),MATCH(Z$3,'[1]salary allocation'!$E$3:$J$3,0)),0)</f>
        <v>0</v>
      </c>
      <c r="AA372" s="15">
        <f>-$K372*IFERROR(INDEX('[1]salary allocation'!$E$6:$J$22,MATCH($H372,'[1]salary allocation'!$D$6:$D$22,0),MATCH(AA$3,'[1]salary allocation'!$E$3:$J$3,0)),0)</f>
        <v>0</v>
      </c>
      <c r="AB372" s="15">
        <f>-$K372*IFERROR(INDEX('[1]salary allocation'!$E$6:$J$22,MATCH($H372,'[1]salary allocation'!$D$6:$D$22,0),MATCH(AB$3,'[1]salary allocation'!$E$3:$J$3,0)),0)</f>
        <v>0</v>
      </c>
      <c r="AC372" s="18">
        <f>-$K372*IFERROR(INDEX('[1]salary allocation'!$E$6:$J$22,MATCH($H372,'[1]salary allocation'!$D$6:$D$22,0),MATCH(AC$3,'[1]salary allocation'!$E$3:$J$3,0)),0)</f>
        <v>0</v>
      </c>
      <c r="AD372" s="17"/>
      <c r="AE372" s="16"/>
      <c r="AF372" s="15">
        <f>-$K372</f>
        <v>54483854</v>
      </c>
      <c r="AG372" s="15"/>
      <c r="AH372" s="2">
        <f>K372+SUM(O372:AC372)</f>
        <v>0</v>
      </c>
      <c r="AI372" s="2">
        <f>K372+SUM(AF372:AG372)</f>
        <v>0</v>
      </c>
    </row>
    <row r="373" spans="1:35" ht="17" x14ac:dyDescent="0.2">
      <c r="A373" s="48" t="s">
        <v>35</v>
      </c>
      <c r="B373" s="49" t="s">
        <v>515</v>
      </c>
      <c r="H373" s="48" t="s">
        <v>35</v>
      </c>
      <c r="I373" s="48" t="s">
        <v>516</v>
      </c>
      <c r="K373" s="47">
        <v>-60484993</v>
      </c>
      <c r="L373" s="46">
        <v>52025</v>
      </c>
      <c r="M373" s="11" t="s">
        <v>138</v>
      </c>
      <c r="N373" s="11" t="str">
        <f>M373</f>
        <v>VNOther</v>
      </c>
      <c r="O373" s="15">
        <f>-$K373*IFERROR(INDEX('[1]salary allocation'!$E$6:$J$22,MATCH($H373,'[1]salary allocation'!$D$6:$D$22,0),MATCH(O$3,'[1]salary allocation'!$E$3:$J$3,0)),0)</f>
        <v>0</v>
      </c>
      <c r="P373" s="15">
        <f>-$K373*IFERROR(INDEX('[1]salary allocation'!$E$6:$J$22,MATCH($H373,'[1]salary allocation'!$D$6:$D$22,0),MATCH(P$3,'[1]salary allocation'!$E$3:$J$3,0)),0)</f>
        <v>9072748.9499999993</v>
      </c>
      <c r="Q373" s="15">
        <f>-$K373*IFERROR(INDEX('[1]salary allocation'!$E$6:$J$22,MATCH($H373,'[1]salary allocation'!$D$6:$D$22,0),MATCH(Q$3,'[1]salary allocation'!$E$3:$J$3,0)),0)</f>
        <v>0</v>
      </c>
      <c r="R373" s="15">
        <f>-$K373*IFERROR(INDEX('[1]salary allocation'!$E$6:$J$22,MATCH($H373,'[1]salary allocation'!$D$6:$D$22,0),MATCH(R$3,'[1]salary allocation'!$E$3:$J$3,0)),0)</f>
        <v>0</v>
      </c>
      <c r="S373" s="15">
        <f>-$K373*IFERROR(INDEX('[1]salary allocation'!$E$6:$J$22,MATCH($H373,'[1]salary allocation'!$D$6:$D$22,0),MATCH(S$3,'[1]salary allocation'!$E$3:$J$3,0)),0)</f>
        <v>10282448.809999999</v>
      </c>
      <c r="T373" s="15">
        <f>-$K373*IFERROR(INDEX('[1]salary allocation'!$E$6:$J$22,MATCH($H373,'[1]salary allocation'!$D$6:$D$22,0),MATCH(T$3,'[1]salary allocation'!$E$3:$J$3,0)),0)</f>
        <v>10282448.809999999</v>
      </c>
      <c r="U373" s="15">
        <f>-$K373*IFERROR(INDEX('[1]salary allocation'!$E$6:$J$22,MATCH($H373,'[1]salary allocation'!$D$6:$D$22,0),MATCH(U$3,'[1]salary allocation'!$E$3:$J$3,0)),0)</f>
        <v>10282448.809999999</v>
      </c>
      <c r="V373" s="15">
        <f>-$K373*IFERROR(INDEX('[1]salary allocation'!$E$6:$J$22,MATCH($H373,'[1]salary allocation'!$D$6:$D$22,0),MATCH(V$3,'[1]salary allocation'!$E$3:$J$3,0)),0)</f>
        <v>0</v>
      </c>
      <c r="W373" s="15">
        <f>-$K373*IFERROR(INDEX('[1]salary allocation'!$E$6:$J$22,MATCH($H373,'[1]salary allocation'!$D$6:$D$22,0),MATCH(W$3,'[1]salary allocation'!$E$3:$J$3,0)),0)</f>
        <v>20564897.619999997</v>
      </c>
      <c r="X373" s="15">
        <f>-$K373*IFERROR(INDEX('[1]salary allocation'!$E$6:$J$22,MATCH($H373,'[1]salary allocation'!$D$6:$D$22,0),MATCH(X$3,'[1]salary allocation'!$E$3:$J$3,0)),0)</f>
        <v>0</v>
      </c>
      <c r="Y373" s="15">
        <f>-$K373*IFERROR(INDEX('[1]salary allocation'!$E$6:$J$22,MATCH($H373,'[1]salary allocation'!$D$6:$D$22,0),MATCH(Y$3,'[1]salary allocation'!$E$3:$J$3,0)),0)</f>
        <v>0</v>
      </c>
      <c r="Z373" s="15">
        <f>-$K373*IFERROR(INDEX('[1]salary allocation'!$E$6:$J$22,MATCH($H373,'[1]salary allocation'!$D$6:$D$22,0),MATCH(Z$3,'[1]salary allocation'!$E$3:$J$3,0)),0)</f>
        <v>0</v>
      </c>
      <c r="AA373" s="15">
        <f>-$K373*IFERROR(INDEX('[1]salary allocation'!$E$6:$J$22,MATCH($H373,'[1]salary allocation'!$D$6:$D$22,0),MATCH(AA$3,'[1]salary allocation'!$E$3:$J$3,0)),0)</f>
        <v>0</v>
      </c>
      <c r="AB373" s="15">
        <f>-$K373*IFERROR(INDEX('[1]salary allocation'!$E$6:$J$22,MATCH($H373,'[1]salary allocation'!$D$6:$D$22,0),MATCH(AB$3,'[1]salary allocation'!$E$3:$J$3,0)),0)</f>
        <v>0</v>
      </c>
      <c r="AC373" s="18">
        <f>-$K373*IFERROR(INDEX('[1]salary allocation'!$E$6:$J$22,MATCH($H373,'[1]salary allocation'!$D$6:$D$22,0),MATCH(AC$3,'[1]salary allocation'!$E$3:$J$3,0)),0)</f>
        <v>0</v>
      </c>
      <c r="AD373" s="17"/>
      <c r="AE373" s="16"/>
      <c r="AF373" s="15">
        <f>-$K373</f>
        <v>60484993</v>
      </c>
      <c r="AG373" s="15"/>
      <c r="AH373" s="2">
        <f>K373+SUM(O373:AC373)</f>
        <v>0</v>
      </c>
      <c r="AI373" s="2">
        <f>K373+SUM(AF373:AG373)</f>
        <v>0</v>
      </c>
    </row>
    <row r="374" spans="1:35" ht="34" x14ac:dyDescent="0.2">
      <c r="A374" s="48" t="s">
        <v>37</v>
      </c>
      <c r="B374" s="49" t="s">
        <v>515</v>
      </c>
      <c r="H374" s="48" t="s">
        <v>37</v>
      </c>
      <c r="I374" s="48" t="s">
        <v>514</v>
      </c>
      <c r="K374" s="47">
        <v>-35666862</v>
      </c>
      <c r="L374" s="46">
        <v>52025</v>
      </c>
      <c r="M374" s="11" t="s">
        <v>138</v>
      </c>
      <c r="N374" s="11" t="str">
        <f>M374</f>
        <v>VNOther</v>
      </c>
      <c r="O374" s="15">
        <f>-$K374*IFERROR(INDEX('[1]salary allocation'!$E$6:$J$22,MATCH($H374,'[1]salary allocation'!$D$6:$D$22,0),MATCH(O$3,'[1]salary allocation'!$E$3:$J$3,0)),0)</f>
        <v>0</v>
      </c>
      <c r="P374" s="15">
        <f>-$K374*IFERROR(INDEX('[1]salary allocation'!$E$6:$J$22,MATCH($H374,'[1]salary allocation'!$D$6:$D$22,0),MATCH(P$3,'[1]salary allocation'!$E$3:$J$3,0)),0)</f>
        <v>5350029.3</v>
      </c>
      <c r="Q374" s="15">
        <f>-$K374*IFERROR(INDEX('[1]salary allocation'!$E$6:$J$22,MATCH($H374,'[1]salary allocation'!$D$6:$D$22,0),MATCH(Q$3,'[1]salary allocation'!$E$3:$J$3,0)),0)</f>
        <v>0</v>
      </c>
      <c r="R374" s="15">
        <f>-$K374*IFERROR(INDEX('[1]salary allocation'!$E$6:$J$22,MATCH($H374,'[1]salary allocation'!$D$6:$D$22,0),MATCH(R$3,'[1]salary allocation'!$E$3:$J$3,0)),0)</f>
        <v>0</v>
      </c>
      <c r="S374" s="15">
        <f>-$K374*IFERROR(INDEX('[1]salary allocation'!$E$6:$J$22,MATCH($H374,'[1]salary allocation'!$D$6:$D$22,0),MATCH(S$3,'[1]salary allocation'!$E$3:$J$3,0)),0)</f>
        <v>6063366.5399999991</v>
      </c>
      <c r="T374" s="15">
        <f>-$K374*IFERROR(INDEX('[1]salary allocation'!$E$6:$J$22,MATCH($H374,'[1]salary allocation'!$D$6:$D$22,0),MATCH(T$3,'[1]salary allocation'!$E$3:$J$3,0)),0)</f>
        <v>6063366.5399999991</v>
      </c>
      <c r="U374" s="15">
        <f>-$K374*IFERROR(INDEX('[1]salary allocation'!$E$6:$J$22,MATCH($H374,'[1]salary allocation'!$D$6:$D$22,0),MATCH(U$3,'[1]salary allocation'!$E$3:$J$3,0)),0)</f>
        <v>6063366.5399999991</v>
      </c>
      <c r="V374" s="15">
        <f>-$K374*IFERROR(INDEX('[1]salary allocation'!$E$6:$J$22,MATCH($H374,'[1]salary allocation'!$D$6:$D$22,0),MATCH(V$3,'[1]salary allocation'!$E$3:$J$3,0)),0)</f>
        <v>0</v>
      </c>
      <c r="W374" s="15">
        <f>-$K374*IFERROR(INDEX('[1]salary allocation'!$E$6:$J$22,MATCH($H374,'[1]salary allocation'!$D$6:$D$22,0),MATCH(W$3,'[1]salary allocation'!$E$3:$J$3,0)),0)</f>
        <v>12126733.079999998</v>
      </c>
      <c r="X374" s="15">
        <f>-$K374*IFERROR(INDEX('[1]salary allocation'!$E$6:$J$22,MATCH($H374,'[1]salary allocation'!$D$6:$D$22,0),MATCH(X$3,'[1]salary allocation'!$E$3:$J$3,0)),0)</f>
        <v>0</v>
      </c>
      <c r="Y374" s="15">
        <f>-$K374*IFERROR(INDEX('[1]salary allocation'!$E$6:$J$22,MATCH($H374,'[1]salary allocation'!$D$6:$D$22,0),MATCH(Y$3,'[1]salary allocation'!$E$3:$J$3,0)),0)</f>
        <v>0</v>
      </c>
      <c r="Z374" s="15">
        <f>-$K374*IFERROR(INDEX('[1]salary allocation'!$E$6:$J$22,MATCH($H374,'[1]salary allocation'!$D$6:$D$22,0),MATCH(Z$3,'[1]salary allocation'!$E$3:$J$3,0)),0)</f>
        <v>0</v>
      </c>
      <c r="AA374" s="15">
        <f>-$K374*IFERROR(INDEX('[1]salary allocation'!$E$6:$J$22,MATCH($H374,'[1]salary allocation'!$D$6:$D$22,0),MATCH(AA$3,'[1]salary allocation'!$E$3:$J$3,0)),0)</f>
        <v>0</v>
      </c>
      <c r="AB374" s="15">
        <f>-$K374*IFERROR(INDEX('[1]salary allocation'!$E$6:$J$22,MATCH($H374,'[1]salary allocation'!$D$6:$D$22,0),MATCH(AB$3,'[1]salary allocation'!$E$3:$J$3,0)),0)</f>
        <v>0</v>
      </c>
      <c r="AC374" s="18">
        <f>-$K374*IFERROR(INDEX('[1]salary allocation'!$E$6:$J$22,MATCH($H374,'[1]salary allocation'!$D$6:$D$22,0),MATCH(AC$3,'[1]salary allocation'!$E$3:$J$3,0)),0)</f>
        <v>0</v>
      </c>
      <c r="AD374" s="17"/>
      <c r="AE374" s="16"/>
      <c r="AF374" s="15">
        <f>-K374</f>
        <v>35666862</v>
      </c>
      <c r="AG374" s="15"/>
      <c r="AH374" s="2">
        <f>K374+SUM(O374:AC374)</f>
        <v>0</v>
      </c>
      <c r="AI374" s="2">
        <f>K374+SUM(AF374:AG374)</f>
        <v>0</v>
      </c>
    </row>
    <row r="375" spans="1:35" ht="17" x14ac:dyDescent="0.2">
      <c r="A375" s="11" t="s">
        <v>135</v>
      </c>
      <c r="B375" s="22" t="s">
        <v>500</v>
      </c>
      <c r="H375" s="40" t="s">
        <v>135</v>
      </c>
      <c r="I375" s="11" t="s">
        <v>513</v>
      </c>
      <c r="K375" s="13">
        <v>-132372334</v>
      </c>
      <c r="L375" s="12">
        <v>62025</v>
      </c>
      <c r="M375" s="11" t="s">
        <v>138</v>
      </c>
      <c r="N375" s="11" t="str">
        <f>M375</f>
        <v>VNOther</v>
      </c>
      <c r="O375" s="15">
        <f>-$K375*IFERROR(INDEX('[1]salary allocation'!$E$6:$J$22,MATCH($H375,'[1]salary allocation'!$D$6:$D$22,0),MATCH(O$3,'[1]salary allocation'!$E$3:$J$3,0)),0)</f>
        <v>0</v>
      </c>
      <c r="P375" s="15">
        <f>-$K375*IFERROR(INDEX('[1]salary allocation'!$E$6:$J$22,MATCH($H375,'[1]salary allocation'!$D$6:$D$22,0),MATCH(P$3,'[1]salary allocation'!$E$3:$J$3,0)),0)</f>
        <v>66186167</v>
      </c>
      <c r="Q375" s="15">
        <f>-$K375*IFERROR(INDEX('[1]salary allocation'!$E$6:$J$22,MATCH($H375,'[1]salary allocation'!$D$6:$D$22,0),MATCH(Q$3,'[1]salary allocation'!$E$3:$J$3,0)),0)</f>
        <v>0</v>
      </c>
      <c r="R375" s="15">
        <f>-$K375*IFERROR(INDEX('[1]salary allocation'!$E$6:$J$22,MATCH($H375,'[1]salary allocation'!$D$6:$D$22,0),MATCH(R$3,'[1]salary allocation'!$E$3:$J$3,0)),0)</f>
        <v>0</v>
      </c>
      <c r="S375" s="15">
        <f>-$K375*IFERROR(INDEX('[1]salary allocation'!$E$6:$J$22,MATCH($H375,'[1]salary allocation'!$D$6:$D$22,0),MATCH(S$3,'[1]salary allocation'!$E$3:$J$3,0)),0)</f>
        <v>13237233.4</v>
      </c>
      <c r="T375" s="15">
        <f>-$K375*IFERROR(INDEX('[1]salary allocation'!$E$6:$J$22,MATCH($H375,'[1]salary allocation'!$D$6:$D$22,0),MATCH(T$3,'[1]salary allocation'!$E$3:$J$3,0)),0)</f>
        <v>13237233.4</v>
      </c>
      <c r="U375" s="15">
        <f>-$K375*IFERROR(INDEX('[1]salary allocation'!$E$6:$J$22,MATCH($H375,'[1]salary allocation'!$D$6:$D$22,0),MATCH(U$3,'[1]salary allocation'!$E$3:$J$3,0)),0)</f>
        <v>13237233.4</v>
      </c>
      <c r="V375" s="15">
        <f>-$K375*IFERROR(INDEX('[1]salary allocation'!$E$6:$J$22,MATCH($H375,'[1]salary allocation'!$D$6:$D$22,0),MATCH(V$3,'[1]salary allocation'!$E$3:$J$3,0)),0)</f>
        <v>0</v>
      </c>
      <c r="W375" s="15">
        <f>-$K375*IFERROR(INDEX('[1]salary allocation'!$E$6:$J$22,MATCH($H375,'[1]salary allocation'!$D$6:$D$22,0),MATCH(W$3,'[1]salary allocation'!$E$3:$J$3,0)),0)</f>
        <v>26474466.800000001</v>
      </c>
      <c r="X375" s="15">
        <f>-$K375*IFERROR(INDEX('[1]salary allocation'!$E$6:$J$22,MATCH($H375,'[1]salary allocation'!$D$6:$D$22,0),MATCH(X$3,'[1]salary allocation'!$E$3:$J$3,0)),0)</f>
        <v>0</v>
      </c>
      <c r="Y375" s="15">
        <f>-$K375*IFERROR(INDEX('[1]salary allocation'!$E$6:$J$22,MATCH($H375,'[1]salary allocation'!$D$6:$D$22,0),MATCH(Y$3,'[1]salary allocation'!$E$3:$J$3,0)),0)</f>
        <v>0</v>
      </c>
      <c r="Z375" s="15">
        <f>-$K375*IFERROR(INDEX('[1]salary allocation'!$E$6:$J$22,MATCH($H375,'[1]salary allocation'!$D$6:$D$22,0),MATCH(Z$3,'[1]salary allocation'!$E$3:$J$3,0)),0)</f>
        <v>0</v>
      </c>
      <c r="AA375" s="15">
        <f>-$K375*IFERROR(INDEX('[1]salary allocation'!$E$6:$J$22,MATCH($H375,'[1]salary allocation'!$D$6:$D$22,0),MATCH(AA$3,'[1]salary allocation'!$E$3:$J$3,0)),0)</f>
        <v>0</v>
      </c>
      <c r="AB375" s="15">
        <f>-$K375*IFERROR(INDEX('[1]salary allocation'!$E$6:$J$22,MATCH($H375,'[1]salary allocation'!$D$6:$D$22,0),MATCH(AB$3,'[1]salary allocation'!$E$3:$J$3,0)),0)</f>
        <v>0</v>
      </c>
      <c r="AC375" s="18">
        <f>-$K375*IFERROR(INDEX('[1]salary allocation'!$E$6:$J$22,MATCH($H375,'[1]salary allocation'!$D$6:$D$22,0),MATCH(AC$3,'[1]salary allocation'!$E$3:$J$3,0)),0)</f>
        <v>0</v>
      </c>
      <c r="AD375" s="17"/>
      <c r="AE375" s="16"/>
      <c r="AF375" s="15">
        <f>-$K375</f>
        <v>132372334</v>
      </c>
      <c r="AG375" s="15"/>
      <c r="AH375" s="2">
        <f>K375+SUM(O375:AC375)</f>
        <v>0</v>
      </c>
      <c r="AI375" s="2">
        <f>K375+SUM(AF375:AG375)</f>
        <v>0</v>
      </c>
    </row>
    <row r="376" spans="1:35" ht="17" x14ac:dyDescent="0.2">
      <c r="A376" s="11" t="s">
        <v>57</v>
      </c>
      <c r="B376" s="22" t="s">
        <v>500</v>
      </c>
      <c r="H376" s="40" t="s">
        <v>57</v>
      </c>
      <c r="I376" s="11" t="s">
        <v>512</v>
      </c>
      <c r="K376" s="13">
        <v>-53224945</v>
      </c>
      <c r="L376" s="12">
        <v>62025</v>
      </c>
      <c r="M376" s="11" t="s">
        <v>138</v>
      </c>
      <c r="N376" s="11" t="str">
        <f>M376</f>
        <v>VNOther</v>
      </c>
      <c r="O376" s="15">
        <f>-$K376*IFERROR(INDEX('[1]salary allocation'!$E$6:$J$22,MATCH($H376,'[1]salary allocation'!$D$6:$D$22,0),MATCH(O$3,'[1]salary allocation'!$E$3:$J$3,0)),0)</f>
        <v>0</v>
      </c>
      <c r="P376" s="15">
        <f>-$K376*IFERROR(INDEX('[1]salary allocation'!$E$6:$J$22,MATCH($H376,'[1]salary allocation'!$D$6:$D$22,0),MATCH(P$3,'[1]salary allocation'!$E$3:$J$3,0)),0)</f>
        <v>26612472.5</v>
      </c>
      <c r="Q376" s="15">
        <f>-$K376*IFERROR(INDEX('[1]salary allocation'!$E$6:$J$22,MATCH($H376,'[1]salary allocation'!$D$6:$D$22,0),MATCH(Q$3,'[1]salary allocation'!$E$3:$J$3,0)),0)</f>
        <v>0</v>
      </c>
      <c r="R376" s="15">
        <f>-$K376*IFERROR(INDEX('[1]salary allocation'!$E$6:$J$22,MATCH($H376,'[1]salary allocation'!$D$6:$D$22,0),MATCH(R$3,'[1]salary allocation'!$E$3:$J$3,0)),0)</f>
        <v>0</v>
      </c>
      <c r="S376" s="15">
        <f>-$K376*IFERROR(INDEX('[1]salary allocation'!$E$6:$J$22,MATCH($H376,'[1]salary allocation'!$D$6:$D$22,0),MATCH(S$3,'[1]salary allocation'!$E$3:$J$3,0)),0)</f>
        <v>5322494.5</v>
      </c>
      <c r="T376" s="15">
        <f>-$K376*IFERROR(INDEX('[1]salary allocation'!$E$6:$J$22,MATCH($H376,'[1]salary allocation'!$D$6:$D$22,0),MATCH(T$3,'[1]salary allocation'!$E$3:$J$3,0)),0)</f>
        <v>5322494.5</v>
      </c>
      <c r="U376" s="15">
        <f>-$K376*IFERROR(INDEX('[1]salary allocation'!$E$6:$J$22,MATCH($H376,'[1]salary allocation'!$D$6:$D$22,0),MATCH(U$3,'[1]salary allocation'!$E$3:$J$3,0)),0)</f>
        <v>5322494.5</v>
      </c>
      <c r="V376" s="15">
        <f>-$K376*IFERROR(INDEX('[1]salary allocation'!$E$6:$J$22,MATCH($H376,'[1]salary allocation'!$D$6:$D$22,0),MATCH(V$3,'[1]salary allocation'!$E$3:$J$3,0)),0)</f>
        <v>0</v>
      </c>
      <c r="W376" s="15">
        <f>-$K376*IFERROR(INDEX('[1]salary allocation'!$E$6:$J$22,MATCH($H376,'[1]salary allocation'!$D$6:$D$22,0),MATCH(W$3,'[1]salary allocation'!$E$3:$J$3,0)),0)</f>
        <v>10644989</v>
      </c>
      <c r="X376" s="15">
        <f>-$K376*IFERROR(INDEX('[1]salary allocation'!$E$6:$J$22,MATCH($H376,'[1]salary allocation'!$D$6:$D$22,0),MATCH(X$3,'[1]salary allocation'!$E$3:$J$3,0)),0)</f>
        <v>0</v>
      </c>
      <c r="Y376" s="15">
        <f>-$K376*IFERROR(INDEX('[1]salary allocation'!$E$6:$J$22,MATCH($H376,'[1]salary allocation'!$D$6:$D$22,0),MATCH(Y$3,'[1]salary allocation'!$E$3:$J$3,0)),0)</f>
        <v>0</v>
      </c>
      <c r="Z376" s="15">
        <f>-$K376*IFERROR(INDEX('[1]salary allocation'!$E$6:$J$22,MATCH($H376,'[1]salary allocation'!$D$6:$D$22,0),MATCH(Z$3,'[1]salary allocation'!$E$3:$J$3,0)),0)</f>
        <v>0</v>
      </c>
      <c r="AA376" s="15">
        <f>-$K376*IFERROR(INDEX('[1]salary allocation'!$E$6:$J$22,MATCH($H376,'[1]salary allocation'!$D$6:$D$22,0),MATCH(AA$3,'[1]salary allocation'!$E$3:$J$3,0)),0)</f>
        <v>0</v>
      </c>
      <c r="AB376" s="15">
        <f>-$K376*IFERROR(INDEX('[1]salary allocation'!$E$6:$J$22,MATCH($H376,'[1]salary allocation'!$D$6:$D$22,0),MATCH(AB$3,'[1]salary allocation'!$E$3:$J$3,0)),0)</f>
        <v>0</v>
      </c>
      <c r="AC376" s="18">
        <f>-$K376*IFERROR(INDEX('[1]salary allocation'!$E$6:$J$22,MATCH($H376,'[1]salary allocation'!$D$6:$D$22,0),MATCH(AC$3,'[1]salary allocation'!$E$3:$J$3,0)),0)</f>
        <v>0</v>
      </c>
      <c r="AD376" s="17"/>
      <c r="AE376" s="16"/>
      <c r="AF376" s="15">
        <f>-$K376</f>
        <v>53224945</v>
      </c>
      <c r="AG376" s="15"/>
      <c r="AH376" s="2">
        <f>K376+SUM(O376:AC376)</f>
        <v>0</v>
      </c>
      <c r="AI376" s="2">
        <f>K376+SUM(AF376:AG376)</f>
        <v>0</v>
      </c>
    </row>
    <row r="377" spans="1:35" ht="17" x14ac:dyDescent="0.2">
      <c r="A377" s="11" t="s">
        <v>55</v>
      </c>
      <c r="B377" s="22" t="s">
        <v>500</v>
      </c>
      <c r="H377" s="40" t="s">
        <v>55</v>
      </c>
      <c r="I377" s="11" t="s">
        <v>511</v>
      </c>
      <c r="K377" s="13">
        <v>-58801759</v>
      </c>
      <c r="L377" s="12">
        <v>62025</v>
      </c>
      <c r="M377" s="11" t="s">
        <v>490</v>
      </c>
      <c r="N377" s="11" t="str">
        <f>M377</f>
        <v>VNHBC</v>
      </c>
      <c r="O377" s="15">
        <f>-$K377*IFERROR(INDEX('[1]salary allocation'!$E$6:$J$22,MATCH($H377,'[1]salary allocation'!$D$6:$D$22,0),MATCH(O$3,'[1]salary allocation'!$E$3:$J$3,0)),0)</f>
        <v>0</v>
      </c>
      <c r="P377" s="15">
        <f>-$K377*IFERROR(INDEX('[1]salary allocation'!$E$6:$J$22,MATCH($H377,'[1]salary allocation'!$D$6:$D$22,0),MATCH(P$3,'[1]salary allocation'!$E$3:$J$3,0)),0)</f>
        <v>0</v>
      </c>
      <c r="Q377" s="15">
        <f>-$K377*IFERROR(INDEX('[1]salary allocation'!$E$6:$J$22,MATCH($H377,'[1]salary allocation'!$D$6:$D$22,0),MATCH(Q$3,'[1]salary allocation'!$E$3:$J$3,0)),0)</f>
        <v>0</v>
      </c>
      <c r="R377" s="15">
        <f>-$K377*IFERROR(INDEX('[1]salary allocation'!$E$6:$J$22,MATCH($H377,'[1]salary allocation'!$D$6:$D$22,0),MATCH(R$3,'[1]salary allocation'!$E$3:$J$3,0)),0)</f>
        <v>0</v>
      </c>
      <c r="S377" s="15">
        <f>-$K377*IFERROR(INDEX('[1]salary allocation'!$E$6:$J$22,MATCH($H377,'[1]salary allocation'!$D$6:$D$22,0),MATCH(S$3,'[1]salary allocation'!$E$3:$J$3,0)),0)</f>
        <v>11760351.800000001</v>
      </c>
      <c r="T377" s="15">
        <f>-$K377*IFERROR(INDEX('[1]salary allocation'!$E$6:$J$22,MATCH($H377,'[1]salary allocation'!$D$6:$D$22,0),MATCH(T$3,'[1]salary allocation'!$E$3:$J$3,0)),0)</f>
        <v>11760351.800000001</v>
      </c>
      <c r="U377" s="15">
        <f>-$K377*IFERROR(INDEX('[1]salary allocation'!$E$6:$J$22,MATCH($H377,'[1]salary allocation'!$D$6:$D$22,0),MATCH(U$3,'[1]salary allocation'!$E$3:$J$3,0)),0)</f>
        <v>11760351.800000001</v>
      </c>
      <c r="V377" s="15">
        <f>-$K377*IFERROR(INDEX('[1]salary allocation'!$E$6:$J$22,MATCH($H377,'[1]salary allocation'!$D$6:$D$22,0),MATCH(V$3,'[1]salary allocation'!$E$3:$J$3,0)),0)</f>
        <v>0</v>
      </c>
      <c r="W377" s="15">
        <f>-$K377*IFERROR(INDEX('[1]salary allocation'!$E$6:$J$22,MATCH($H377,'[1]salary allocation'!$D$6:$D$22,0),MATCH(W$3,'[1]salary allocation'!$E$3:$J$3,0)),0)</f>
        <v>23520703.600000001</v>
      </c>
      <c r="X377" s="15">
        <f>-$K377*IFERROR(INDEX('[1]salary allocation'!$E$6:$J$22,MATCH($H377,'[1]salary allocation'!$D$6:$D$22,0),MATCH(X$3,'[1]salary allocation'!$E$3:$J$3,0)),0)</f>
        <v>0</v>
      </c>
      <c r="Y377" s="15">
        <f>-$K377*IFERROR(INDEX('[1]salary allocation'!$E$6:$J$22,MATCH($H377,'[1]salary allocation'!$D$6:$D$22,0),MATCH(Y$3,'[1]salary allocation'!$E$3:$J$3,0)),0)</f>
        <v>0</v>
      </c>
      <c r="Z377" s="15">
        <f>-$K377*IFERROR(INDEX('[1]salary allocation'!$E$6:$J$22,MATCH($H377,'[1]salary allocation'!$D$6:$D$22,0),MATCH(Z$3,'[1]salary allocation'!$E$3:$J$3,0)),0)</f>
        <v>0</v>
      </c>
      <c r="AA377" s="15">
        <f>-$K377*IFERROR(INDEX('[1]salary allocation'!$E$6:$J$22,MATCH($H377,'[1]salary allocation'!$D$6:$D$22,0),MATCH(AA$3,'[1]salary allocation'!$E$3:$J$3,0)),0)</f>
        <v>0</v>
      </c>
      <c r="AB377" s="15">
        <f>-$K377*IFERROR(INDEX('[1]salary allocation'!$E$6:$J$22,MATCH($H377,'[1]salary allocation'!$D$6:$D$22,0),MATCH(AB$3,'[1]salary allocation'!$E$3:$J$3,0)),0)</f>
        <v>0</v>
      </c>
      <c r="AC377" s="18">
        <f>-$K377*IFERROR(INDEX('[1]salary allocation'!$E$6:$J$22,MATCH($H377,'[1]salary allocation'!$D$6:$D$22,0),MATCH(AC$3,'[1]salary allocation'!$E$3:$J$3,0)),0)</f>
        <v>0</v>
      </c>
      <c r="AD377" s="17"/>
      <c r="AE377" s="16"/>
      <c r="AF377" s="15"/>
      <c r="AG377" s="15">
        <f>-$K377</f>
        <v>58801759</v>
      </c>
      <c r="AH377" s="2">
        <f>K377+SUM(O377:AC377)</f>
        <v>0</v>
      </c>
      <c r="AI377" s="2">
        <f>K377+SUM(AF377:AG377)</f>
        <v>0</v>
      </c>
    </row>
    <row r="378" spans="1:35" ht="17" x14ac:dyDescent="0.2">
      <c r="A378" s="11" t="s">
        <v>53</v>
      </c>
      <c r="B378" s="22" t="s">
        <v>500</v>
      </c>
      <c r="H378" s="40" t="s">
        <v>53</v>
      </c>
      <c r="I378" s="11" t="s">
        <v>510</v>
      </c>
      <c r="K378" s="13">
        <v>-48442054</v>
      </c>
      <c r="L378" s="12">
        <v>62025</v>
      </c>
      <c r="M378" s="11" t="s">
        <v>138</v>
      </c>
      <c r="N378" s="11" t="str">
        <f>M378</f>
        <v>VNOther</v>
      </c>
      <c r="O378" s="15">
        <f>-$K378*IFERROR(INDEX('[1]salary allocation'!$E$6:$J$22,MATCH($H378,'[1]salary allocation'!$D$6:$D$22,0),MATCH(O$3,'[1]salary allocation'!$E$3:$J$3,0)),0)</f>
        <v>0</v>
      </c>
      <c r="P378" s="15">
        <f>-$K378*IFERROR(INDEX('[1]salary allocation'!$E$6:$J$22,MATCH($H378,'[1]salary allocation'!$D$6:$D$22,0),MATCH(P$3,'[1]salary allocation'!$E$3:$J$3,0)),0)</f>
        <v>7266308.0999999996</v>
      </c>
      <c r="Q378" s="15">
        <f>-$K378*IFERROR(INDEX('[1]salary allocation'!$E$6:$J$22,MATCH($H378,'[1]salary allocation'!$D$6:$D$22,0),MATCH(Q$3,'[1]salary allocation'!$E$3:$J$3,0)),0)</f>
        <v>0</v>
      </c>
      <c r="R378" s="15">
        <f>-$K378*IFERROR(INDEX('[1]salary allocation'!$E$6:$J$22,MATCH($H378,'[1]salary allocation'!$D$6:$D$22,0),MATCH(R$3,'[1]salary allocation'!$E$3:$J$3,0)),0)</f>
        <v>0</v>
      </c>
      <c r="S378" s="15">
        <f>-$K378*IFERROR(INDEX('[1]salary allocation'!$E$6:$J$22,MATCH($H378,'[1]salary allocation'!$D$6:$D$22,0),MATCH(S$3,'[1]salary allocation'!$E$3:$J$3,0)),0)</f>
        <v>8235149.1799999997</v>
      </c>
      <c r="T378" s="15">
        <f>-$K378*IFERROR(INDEX('[1]salary allocation'!$E$6:$J$22,MATCH($H378,'[1]salary allocation'!$D$6:$D$22,0),MATCH(T$3,'[1]salary allocation'!$E$3:$J$3,0)),0)</f>
        <v>8235149.1799999997</v>
      </c>
      <c r="U378" s="15">
        <f>-$K378*IFERROR(INDEX('[1]salary allocation'!$E$6:$J$22,MATCH($H378,'[1]salary allocation'!$D$6:$D$22,0),MATCH(U$3,'[1]salary allocation'!$E$3:$J$3,0)),0)</f>
        <v>8235149.1799999997</v>
      </c>
      <c r="V378" s="15">
        <f>-$K378*IFERROR(INDEX('[1]salary allocation'!$E$6:$J$22,MATCH($H378,'[1]salary allocation'!$D$6:$D$22,0),MATCH(V$3,'[1]salary allocation'!$E$3:$J$3,0)),0)</f>
        <v>0</v>
      </c>
      <c r="W378" s="15">
        <f>-$K378*IFERROR(INDEX('[1]salary allocation'!$E$6:$J$22,MATCH($H378,'[1]salary allocation'!$D$6:$D$22,0),MATCH(W$3,'[1]salary allocation'!$E$3:$J$3,0)),0)</f>
        <v>16470298.359999999</v>
      </c>
      <c r="X378" s="15">
        <f>-$K378*IFERROR(INDEX('[1]salary allocation'!$E$6:$J$22,MATCH($H378,'[1]salary allocation'!$D$6:$D$22,0),MATCH(X$3,'[1]salary allocation'!$E$3:$J$3,0)),0)</f>
        <v>0</v>
      </c>
      <c r="Y378" s="15">
        <f>-$K378*IFERROR(INDEX('[1]salary allocation'!$E$6:$J$22,MATCH($H378,'[1]salary allocation'!$D$6:$D$22,0),MATCH(Y$3,'[1]salary allocation'!$E$3:$J$3,0)),0)</f>
        <v>0</v>
      </c>
      <c r="Z378" s="15">
        <f>-$K378*IFERROR(INDEX('[1]salary allocation'!$E$6:$J$22,MATCH($H378,'[1]salary allocation'!$D$6:$D$22,0),MATCH(Z$3,'[1]salary allocation'!$E$3:$J$3,0)),0)</f>
        <v>0</v>
      </c>
      <c r="AA378" s="15">
        <f>-$K378*IFERROR(INDEX('[1]salary allocation'!$E$6:$J$22,MATCH($H378,'[1]salary allocation'!$D$6:$D$22,0),MATCH(AA$3,'[1]salary allocation'!$E$3:$J$3,0)),0)</f>
        <v>0</v>
      </c>
      <c r="AB378" s="15">
        <f>-$K378*IFERROR(INDEX('[1]salary allocation'!$E$6:$J$22,MATCH($H378,'[1]salary allocation'!$D$6:$D$22,0),MATCH(AB$3,'[1]salary allocation'!$E$3:$J$3,0)),0)</f>
        <v>0</v>
      </c>
      <c r="AC378" s="18">
        <f>-$K378*IFERROR(INDEX('[1]salary allocation'!$E$6:$J$22,MATCH($H378,'[1]salary allocation'!$D$6:$D$22,0),MATCH(AC$3,'[1]salary allocation'!$E$3:$J$3,0)),0)</f>
        <v>0</v>
      </c>
      <c r="AD378" s="17"/>
      <c r="AE378" s="16"/>
      <c r="AF378" s="15">
        <f>-$K378</f>
        <v>48442054</v>
      </c>
      <c r="AG378" s="15"/>
      <c r="AH378" s="2">
        <f>K378+SUM(O378:AC378)</f>
        <v>0</v>
      </c>
      <c r="AI378" s="2">
        <f>K378+SUM(AF378:AG378)</f>
        <v>0</v>
      </c>
    </row>
    <row r="379" spans="1:35" ht="17" x14ac:dyDescent="0.2">
      <c r="A379" s="11" t="s">
        <v>51</v>
      </c>
      <c r="B379" s="22" t="s">
        <v>500</v>
      </c>
      <c r="H379" s="40" t="s">
        <v>51</v>
      </c>
      <c r="I379" s="11" t="s">
        <v>509</v>
      </c>
      <c r="K379" s="13">
        <v>-37303909</v>
      </c>
      <c r="L379" s="12">
        <v>62025</v>
      </c>
      <c r="M379" s="11" t="s">
        <v>138</v>
      </c>
      <c r="N379" s="11" t="str">
        <f>M379</f>
        <v>VNOther</v>
      </c>
      <c r="O379" s="15">
        <f>-$K379*IFERROR(INDEX('[1]salary allocation'!$E$6:$J$22,MATCH($H379,'[1]salary allocation'!$D$6:$D$22,0),MATCH(O$3,'[1]salary allocation'!$E$3:$J$3,0)),0)</f>
        <v>0</v>
      </c>
      <c r="P379" s="15">
        <f>-$K379*IFERROR(INDEX('[1]salary allocation'!$E$6:$J$22,MATCH($H379,'[1]salary allocation'!$D$6:$D$22,0),MATCH(P$3,'[1]salary allocation'!$E$3:$J$3,0)),0)</f>
        <v>18651954.5</v>
      </c>
      <c r="Q379" s="15">
        <f>-$K379*IFERROR(INDEX('[1]salary allocation'!$E$6:$J$22,MATCH($H379,'[1]salary allocation'!$D$6:$D$22,0),MATCH(Q$3,'[1]salary allocation'!$E$3:$J$3,0)),0)</f>
        <v>0</v>
      </c>
      <c r="R379" s="15">
        <f>-$K379*IFERROR(INDEX('[1]salary allocation'!$E$6:$J$22,MATCH($H379,'[1]salary allocation'!$D$6:$D$22,0),MATCH(R$3,'[1]salary allocation'!$E$3:$J$3,0)),0)</f>
        <v>0</v>
      </c>
      <c r="S379" s="15">
        <f>-$K379*IFERROR(INDEX('[1]salary allocation'!$E$6:$J$22,MATCH($H379,'[1]salary allocation'!$D$6:$D$22,0),MATCH(S$3,'[1]salary allocation'!$E$3:$J$3,0)),0)</f>
        <v>3730390.9000000004</v>
      </c>
      <c r="T379" s="15">
        <f>-$K379*IFERROR(INDEX('[1]salary allocation'!$E$6:$J$22,MATCH($H379,'[1]salary allocation'!$D$6:$D$22,0),MATCH(T$3,'[1]salary allocation'!$E$3:$J$3,0)),0)</f>
        <v>3730390.9000000004</v>
      </c>
      <c r="U379" s="15">
        <f>-$K379*IFERROR(INDEX('[1]salary allocation'!$E$6:$J$22,MATCH($H379,'[1]salary allocation'!$D$6:$D$22,0),MATCH(U$3,'[1]salary allocation'!$E$3:$J$3,0)),0)</f>
        <v>3730390.9000000004</v>
      </c>
      <c r="V379" s="15">
        <f>-$K379*IFERROR(INDEX('[1]salary allocation'!$E$6:$J$22,MATCH($H379,'[1]salary allocation'!$D$6:$D$22,0),MATCH(V$3,'[1]salary allocation'!$E$3:$J$3,0)),0)</f>
        <v>0</v>
      </c>
      <c r="W379" s="15">
        <f>-$K379*IFERROR(INDEX('[1]salary allocation'!$E$6:$J$22,MATCH($H379,'[1]salary allocation'!$D$6:$D$22,0),MATCH(W$3,'[1]salary allocation'!$E$3:$J$3,0)),0)</f>
        <v>7460781.8000000007</v>
      </c>
      <c r="X379" s="15">
        <f>-$K379*IFERROR(INDEX('[1]salary allocation'!$E$6:$J$22,MATCH($H379,'[1]salary allocation'!$D$6:$D$22,0),MATCH(X$3,'[1]salary allocation'!$E$3:$J$3,0)),0)</f>
        <v>0</v>
      </c>
      <c r="Y379" s="15">
        <f>-$K379*IFERROR(INDEX('[1]salary allocation'!$E$6:$J$22,MATCH($H379,'[1]salary allocation'!$D$6:$D$22,0),MATCH(Y$3,'[1]salary allocation'!$E$3:$J$3,0)),0)</f>
        <v>0</v>
      </c>
      <c r="Z379" s="15">
        <f>-$K379*IFERROR(INDEX('[1]salary allocation'!$E$6:$J$22,MATCH($H379,'[1]salary allocation'!$D$6:$D$22,0),MATCH(Z$3,'[1]salary allocation'!$E$3:$J$3,0)),0)</f>
        <v>0</v>
      </c>
      <c r="AA379" s="15">
        <f>-$K379*IFERROR(INDEX('[1]salary allocation'!$E$6:$J$22,MATCH($H379,'[1]salary allocation'!$D$6:$D$22,0),MATCH(AA$3,'[1]salary allocation'!$E$3:$J$3,0)),0)</f>
        <v>0</v>
      </c>
      <c r="AB379" s="15">
        <f>-$K379*IFERROR(INDEX('[1]salary allocation'!$E$6:$J$22,MATCH($H379,'[1]salary allocation'!$D$6:$D$22,0),MATCH(AB$3,'[1]salary allocation'!$E$3:$J$3,0)),0)</f>
        <v>0</v>
      </c>
      <c r="AC379" s="18">
        <f>-$K379*IFERROR(INDEX('[1]salary allocation'!$E$6:$J$22,MATCH($H379,'[1]salary allocation'!$D$6:$D$22,0),MATCH(AC$3,'[1]salary allocation'!$E$3:$J$3,0)),0)</f>
        <v>0</v>
      </c>
      <c r="AD379" s="17"/>
      <c r="AE379" s="16"/>
      <c r="AF379" s="15">
        <f>-$K379</f>
        <v>37303909</v>
      </c>
      <c r="AG379" s="15"/>
      <c r="AH379" s="2">
        <f>K379+SUM(O379:AC379)</f>
        <v>0</v>
      </c>
      <c r="AI379" s="2">
        <f>K379+SUM(AF379:AG379)</f>
        <v>0</v>
      </c>
    </row>
    <row r="380" spans="1:35" ht="17" x14ac:dyDescent="0.2">
      <c r="A380" s="11" t="s">
        <v>49</v>
      </c>
      <c r="B380" s="22" t="s">
        <v>500</v>
      </c>
      <c r="H380" s="40" t="s">
        <v>49</v>
      </c>
      <c r="I380" s="11" t="s">
        <v>508</v>
      </c>
      <c r="K380" s="13">
        <v>-23806469</v>
      </c>
      <c r="L380" s="12">
        <v>62025</v>
      </c>
      <c r="M380" s="11" t="s">
        <v>181</v>
      </c>
      <c r="N380" s="11" t="str">
        <f>M380</f>
        <v>VNMOET</v>
      </c>
      <c r="O380" s="15">
        <f>-$K380*IFERROR(INDEX('[1]salary allocation'!$E$6:$J$22,MATCH($H380,'[1]salary allocation'!$D$6:$D$22,0),MATCH(O$3,'[1]salary allocation'!$E$3:$J$3,0)),0)</f>
        <v>0</v>
      </c>
      <c r="P380" s="15">
        <f>-$K380*IFERROR(INDEX('[1]salary allocation'!$E$6:$J$22,MATCH($H380,'[1]salary allocation'!$D$6:$D$22,0),MATCH(P$3,'[1]salary allocation'!$E$3:$J$3,0)),0)</f>
        <v>0</v>
      </c>
      <c r="Q380" s="15">
        <f>-$K380*IFERROR(INDEX('[1]salary allocation'!$E$6:$J$22,MATCH($H380,'[1]salary allocation'!$D$6:$D$22,0),MATCH(Q$3,'[1]salary allocation'!$E$3:$J$3,0)),0)</f>
        <v>0</v>
      </c>
      <c r="R380" s="15">
        <f>-$K380*IFERROR(INDEX('[1]salary allocation'!$E$6:$J$22,MATCH($H380,'[1]salary allocation'!$D$6:$D$22,0),MATCH(R$3,'[1]salary allocation'!$E$3:$J$3,0)),0)</f>
        <v>0</v>
      </c>
      <c r="S380" s="15">
        <f>-$K380*IFERROR(INDEX('[1]salary allocation'!$E$6:$J$22,MATCH($H380,'[1]salary allocation'!$D$6:$D$22,0),MATCH(S$3,'[1]salary allocation'!$E$3:$J$3,0)),0)</f>
        <v>4761293.8</v>
      </c>
      <c r="T380" s="15">
        <f>-$K380*IFERROR(INDEX('[1]salary allocation'!$E$6:$J$22,MATCH($H380,'[1]salary allocation'!$D$6:$D$22,0),MATCH(T$3,'[1]salary allocation'!$E$3:$J$3,0)),0)</f>
        <v>4761293.8</v>
      </c>
      <c r="U380" s="15">
        <f>-$K380*IFERROR(INDEX('[1]salary allocation'!$E$6:$J$22,MATCH($H380,'[1]salary allocation'!$D$6:$D$22,0),MATCH(U$3,'[1]salary allocation'!$E$3:$J$3,0)),0)</f>
        <v>4761293.8</v>
      </c>
      <c r="V380" s="15">
        <f>-$K380*IFERROR(INDEX('[1]salary allocation'!$E$6:$J$22,MATCH($H380,'[1]salary allocation'!$D$6:$D$22,0),MATCH(V$3,'[1]salary allocation'!$E$3:$J$3,0)),0)</f>
        <v>0</v>
      </c>
      <c r="W380" s="15">
        <f>-$K380*IFERROR(INDEX('[1]salary allocation'!$E$6:$J$22,MATCH($H380,'[1]salary allocation'!$D$6:$D$22,0),MATCH(W$3,'[1]salary allocation'!$E$3:$J$3,0)),0)</f>
        <v>9522587.5999999996</v>
      </c>
      <c r="X380" s="15">
        <f>-$K380*IFERROR(INDEX('[1]salary allocation'!$E$6:$J$22,MATCH($H380,'[1]salary allocation'!$D$6:$D$22,0),MATCH(X$3,'[1]salary allocation'!$E$3:$J$3,0)),0)</f>
        <v>0</v>
      </c>
      <c r="Y380" s="15">
        <f>-$K380*IFERROR(INDEX('[1]salary allocation'!$E$6:$J$22,MATCH($H380,'[1]salary allocation'!$D$6:$D$22,0),MATCH(Y$3,'[1]salary allocation'!$E$3:$J$3,0)),0)</f>
        <v>0</v>
      </c>
      <c r="Z380" s="15">
        <f>-$K380*IFERROR(INDEX('[1]salary allocation'!$E$6:$J$22,MATCH($H380,'[1]salary allocation'!$D$6:$D$22,0),MATCH(Z$3,'[1]salary allocation'!$E$3:$J$3,0)),0)</f>
        <v>0</v>
      </c>
      <c r="AA380" s="15">
        <f>-$K380*IFERROR(INDEX('[1]salary allocation'!$E$6:$J$22,MATCH($H380,'[1]salary allocation'!$D$6:$D$22,0),MATCH(AA$3,'[1]salary allocation'!$E$3:$J$3,0)),0)</f>
        <v>0</v>
      </c>
      <c r="AB380" s="15">
        <f>-$K380*IFERROR(INDEX('[1]salary allocation'!$E$6:$J$22,MATCH($H380,'[1]salary allocation'!$D$6:$D$22,0),MATCH(AB$3,'[1]salary allocation'!$E$3:$J$3,0)),0)</f>
        <v>0</v>
      </c>
      <c r="AC380" s="18">
        <f>-$K380*IFERROR(INDEX('[1]salary allocation'!$E$6:$J$22,MATCH($H380,'[1]salary allocation'!$D$6:$D$22,0),MATCH(AC$3,'[1]salary allocation'!$E$3:$J$3,0)),0)</f>
        <v>0</v>
      </c>
      <c r="AD380" s="17"/>
      <c r="AE380" s="16"/>
      <c r="AF380" s="15"/>
      <c r="AG380" s="15">
        <f>-K380</f>
        <v>23806469</v>
      </c>
      <c r="AH380" s="2">
        <f>K380+SUM(O380:AC380)</f>
        <v>0</v>
      </c>
      <c r="AI380" s="2">
        <f>K380+SUM(AF380:AG380)</f>
        <v>0</v>
      </c>
    </row>
    <row r="381" spans="1:35" ht="17" x14ac:dyDescent="0.2">
      <c r="A381" s="11" t="s">
        <v>41</v>
      </c>
      <c r="B381" s="22" t="s">
        <v>500</v>
      </c>
      <c r="H381" s="40" t="s">
        <v>41</v>
      </c>
      <c r="I381" s="11" t="s">
        <v>507</v>
      </c>
      <c r="K381" s="13">
        <v>-41994911</v>
      </c>
      <c r="L381" s="12">
        <v>62025</v>
      </c>
      <c r="M381" s="11" t="s">
        <v>181</v>
      </c>
      <c r="N381" s="11" t="str">
        <f>M381</f>
        <v>VNMOET</v>
      </c>
      <c r="O381" s="15">
        <f>-$K381*IFERROR(INDEX('[1]salary allocation'!$E$6:$J$22,MATCH($H381,'[1]salary allocation'!$D$6:$D$22,0),MATCH(O$3,'[1]salary allocation'!$E$3:$J$3,0)),0)</f>
        <v>0</v>
      </c>
      <c r="P381" s="15">
        <f>-$K381*IFERROR(INDEX('[1]salary allocation'!$E$6:$J$22,MATCH($H381,'[1]salary allocation'!$D$6:$D$22,0),MATCH(P$3,'[1]salary allocation'!$E$3:$J$3,0)),0)</f>
        <v>0</v>
      </c>
      <c r="Q381" s="15">
        <f>-$K381*IFERROR(INDEX('[1]salary allocation'!$E$6:$J$22,MATCH($H381,'[1]salary allocation'!$D$6:$D$22,0),MATCH(Q$3,'[1]salary allocation'!$E$3:$J$3,0)),0)</f>
        <v>0</v>
      </c>
      <c r="R381" s="15">
        <f>-$K381*IFERROR(INDEX('[1]salary allocation'!$E$6:$J$22,MATCH($H381,'[1]salary allocation'!$D$6:$D$22,0),MATCH(R$3,'[1]salary allocation'!$E$3:$J$3,0)),0)</f>
        <v>0</v>
      </c>
      <c r="S381" s="15">
        <f>-$K381*IFERROR(INDEX('[1]salary allocation'!$E$6:$J$22,MATCH($H381,'[1]salary allocation'!$D$6:$D$22,0),MATCH(S$3,'[1]salary allocation'!$E$3:$J$3,0)),0)</f>
        <v>0</v>
      </c>
      <c r="T381" s="15">
        <f>-$K381*IFERROR(INDEX('[1]salary allocation'!$E$6:$J$22,MATCH($H381,'[1]salary allocation'!$D$6:$D$22,0),MATCH(T$3,'[1]salary allocation'!$E$3:$J$3,0)),0)</f>
        <v>0</v>
      </c>
      <c r="U381" s="15">
        <f>-$K381*IFERROR(INDEX('[1]salary allocation'!$E$6:$J$22,MATCH($H381,'[1]salary allocation'!$D$6:$D$22,0),MATCH(U$3,'[1]salary allocation'!$E$3:$J$3,0)),0)</f>
        <v>0</v>
      </c>
      <c r="V381" s="15">
        <f>-$K381*IFERROR(INDEX('[1]salary allocation'!$E$6:$J$22,MATCH($H381,'[1]salary allocation'!$D$6:$D$22,0),MATCH(V$3,'[1]salary allocation'!$E$3:$J$3,0)),0)</f>
        <v>0</v>
      </c>
      <c r="W381" s="15">
        <f>-$K381*IFERROR(INDEX('[1]salary allocation'!$E$6:$J$22,MATCH($H381,'[1]salary allocation'!$D$6:$D$22,0),MATCH(W$3,'[1]salary allocation'!$E$3:$J$3,0)),0)</f>
        <v>41994911</v>
      </c>
      <c r="X381" s="15">
        <f>-$K381*IFERROR(INDEX('[1]salary allocation'!$E$6:$J$22,MATCH($H381,'[1]salary allocation'!$D$6:$D$22,0),MATCH(X$3,'[1]salary allocation'!$E$3:$J$3,0)),0)</f>
        <v>0</v>
      </c>
      <c r="Y381" s="15">
        <f>-$K381*IFERROR(INDEX('[1]salary allocation'!$E$6:$J$22,MATCH($H381,'[1]salary allocation'!$D$6:$D$22,0),MATCH(Y$3,'[1]salary allocation'!$E$3:$J$3,0)),0)</f>
        <v>0</v>
      </c>
      <c r="Z381" s="15">
        <f>-$K381*IFERROR(INDEX('[1]salary allocation'!$E$6:$J$22,MATCH($H381,'[1]salary allocation'!$D$6:$D$22,0),MATCH(Z$3,'[1]salary allocation'!$E$3:$J$3,0)),0)</f>
        <v>0</v>
      </c>
      <c r="AA381" s="15">
        <f>-$K381*IFERROR(INDEX('[1]salary allocation'!$E$6:$J$22,MATCH($H381,'[1]salary allocation'!$D$6:$D$22,0),MATCH(AA$3,'[1]salary allocation'!$E$3:$J$3,0)),0)</f>
        <v>0</v>
      </c>
      <c r="AB381" s="15">
        <f>-$K381*IFERROR(INDEX('[1]salary allocation'!$E$6:$J$22,MATCH($H381,'[1]salary allocation'!$D$6:$D$22,0),MATCH(AB$3,'[1]salary allocation'!$E$3:$J$3,0)),0)</f>
        <v>0</v>
      </c>
      <c r="AC381" s="18">
        <f>-$K381*IFERROR(INDEX('[1]salary allocation'!$E$6:$J$22,MATCH($H381,'[1]salary allocation'!$D$6:$D$22,0),MATCH(AC$3,'[1]salary allocation'!$E$3:$J$3,0)),0)</f>
        <v>0</v>
      </c>
      <c r="AD381" s="17"/>
      <c r="AE381" s="16"/>
      <c r="AF381" s="15">
        <f>-$K381</f>
        <v>41994911</v>
      </c>
      <c r="AG381" s="15"/>
      <c r="AH381" s="2">
        <f>K381+SUM(O381:AC381)</f>
        <v>0</v>
      </c>
      <c r="AI381" s="2">
        <f>K381+SUM(AF381:AG381)</f>
        <v>0</v>
      </c>
    </row>
    <row r="382" spans="1:35" ht="17" x14ac:dyDescent="0.2">
      <c r="A382" s="11" t="s">
        <v>45</v>
      </c>
      <c r="B382" s="22" t="s">
        <v>500</v>
      </c>
      <c r="H382" s="40" t="s">
        <v>45</v>
      </c>
      <c r="I382" s="11" t="s">
        <v>506</v>
      </c>
      <c r="K382" s="13">
        <v>-18017067</v>
      </c>
      <c r="L382" s="12">
        <v>62025</v>
      </c>
      <c r="M382" s="11" t="s">
        <v>490</v>
      </c>
      <c r="N382" s="11" t="str">
        <f>M382</f>
        <v>VNHBC</v>
      </c>
      <c r="O382" s="15">
        <f>-$K382*IFERROR(INDEX('[1]salary allocation'!$E$6:$J$22,MATCH($H382,'[1]salary allocation'!$D$6:$D$22,0),MATCH(O$3,'[1]salary allocation'!$E$3:$J$3,0)),0)</f>
        <v>0</v>
      </c>
      <c r="P382" s="15">
        <f>-$K382*IFERROR(INDEX('[1]salary allocation'!$E$6:$J$22,MATCH($H382,'[1]salary allocation'!$D$6:$D$22,0),MATCH(P$3,'[1]salary allocation'!$E$3:$J$3,0)),0)</f>
        <v>0</v>
      </c>
      <c r="Q382" s="15">
        <f>-$K382*IFERROR(INDEX('[1]salary allocation'!$E$6:$J$22,MATCH($H382,'[1]salary allocation'!$D$6:$D$22,0),MATCH(Q$3,'[1]salary allocation'!$E$3:$J$3,0)),0)</f>
        <v>0</v>
      </c>
      <c r="R382" s="15">
        <f>-$K382*IFERROR(INDEX('[1]salary allocation'!$E$6:$J$22,MATCH($H382,'[1]salary allocation'!$D$6:$D$22,0),MATCH(R$3,'[1]salary allocation'!$E$3:$J$3,0)),0)</f>
        <v>0</v>
      </c>
      <c r="S382" s="15">
        <f>-$K382*IFERROR(INDEX('[1]salary allocation'!$E$6:$J$22,MATCH($H382,'[1]salary allocation'!$D$6:$D$22,0),MATCH(S$3,'[1]salary allocation'!$E$3:$J$3,0)),0)</f>
        <v>3603413.4000000004</v>
      </c>
      <c r="T382" s="15">
        <f>-$K382*IFERROR(INDEX('[1]salary allocation'!$E$6:$J$22,MATCH($H382,'[1]salary allocation'!$D$6:$D$22,0),MATCH(T$3,'[1]salary allocation'!$E$3:$J$3,0)),0)</f>
        <v>3603413.4000000004</v>
      </c>
      <c r="U382" s="15">
        <f>-$K382*IFERROR(INDEX('[1]salary allocation'!$E$6:$J$22,MATCH($H382,'[1]salary allocation'!$D$6:$D$22,0),MATCH(U$3,'[1]salary allocation'!$E$3:$J$3,0)),0)</f>
        <v>3603413.4000000004</v>
      </c>
      <c r="V382" s="15">
        <f>-$K382*IFERROR(INDEX('[1]salary allocation'!$E$6:$J$22,MATCH($H382,'[1]salary allocation'!$D$6:$D$22,0),MATCH(V$3,'[1]salary allocation'!$E$3:$J$3,0)),0)</f>
        <v>0</v>
      </c>
      <c r="W382" s="15">
        <f>-$K382*IFERROR(INDEX('[1]salary allocation'!$E$6:$J$22,MATCH($H382,'[1]salary allocation'!$D$6:$D$22,0),MATCH(W$3,'[1]salary allocation'!$E$3:$J$3,0)),0)</f>
        <v>7206826.8000000007</v>
      </c>
      <c r="X382" s="15">
        <f>-$K382*IFERROR(INDEX('[1]salary allocation'!$E$6:$J$22,MATCH($H382,'[1]salary allocation'!$D$6:$D$22,0),MATCH(X$3,'[1]salary allocation'!$E$3:$J$3,0)),0)</f>
        <v>0</v>
      </c>
      <c r="Y382" s="15">
        <f>-$K382*IFERROR(INDEX('[1]salary allocation'!$E$6:$J$22,MATCH($H382,'[1]salary allocation'!$D$6:$D$22,0),MATCH(Y$3,'[1]salary allocation'!$E$3:$J$3,0)),0)</f>
        <v>0</v>
      </c>
      <c r="Z382" s="15">
        <f>-$K382*IFERROR(INDEX('[1]salary allocation'!$E$6:$J$22,MATCH($H382,'[1]salary allocation'!$D$6:$D$22,0),MATCH(Z$3,'[1]salary allocation'!$E$3:$J$3,0)),0)</f>
        <v>0</v>
      </c>
      <c r="AA382" s="15">
        <f>-$K382*IFERROR(INDEX('[1]salary allocation'!$E$6:$J$22,MATCH($H382,'[1]salary allocation'!$D$6:$D$22,0),MATCH(AA$3,'[1]salary allocation'!$E$3:$J$3,0)),0)</f>
        <v>0</v>
      </c>
      <c r="AB382" s="15">
        <f>-$K382*IFERROR(INDEX('[1]salary allocation'!$E$6:$J$22,MATCH($H382,'[1]salary allocation'!$D$6:$D$22,0),MATCH(AB$3,'[1]salary allocation'!$E$3:$J$3,0)),0)</f>
        <v>0</v>
      </c>
      <c r="AC382" s="18">
        <f>-$K382*IFERROR(INDEX('[1]salary allocation'!$E$6:$J$22,MATCH($H382,'[1]salary allocation'!$D$6:$D$22,0),MATCH(AC$3,'[1]salary allocation'!$E$3:$J$3,0)),0)</f>
        <v>0</v>
      </c>
      <c r="AD382" s="17"/>
      <c r="AE382" s="16"/>
      <c r="AF382" s="15"/>
      <c r="AG382" s="15">
        <f>-K382</f>
        <v>18017067</v>
      </c>
      <c r="AH382" s="2">
        <f>K382+SUM(O382:AC382)</f>
        <v>0</v>
      </c>
      <c r="AI382" s="2">
        <f>K382+SUM(AF382:AG382)</f>
        <v>0</v>
      </c>
    </row>
    <row r="383" spans="1:35" ht="17" x14ac:dyDescent="0.2">
      <c r="A383" s="11" t="s">
        <v>39</v>
      </c>
      <c r="B383" s="22" t="s">
        <v>500</v>
      </c>
      <c r="H383" s="40" t="s">
        <v>39</v>
      </c>
      <c r="I383" s="11" t="s">
        <v>505</v>
      </c>
      <c r="K383" s="13">
        <v>-44050184</v>
      </c>
      <c r="L383" s="12">
        <v>62025</v>
      </c>
      <c r="M383" s="11" t="s">
        <v>181</v>
      </c>
      <c r="N383" s="11" t="str">
        <f>M383</f>
        <v>VNMOET</v>
      </c>
      <c r="O383" s="15">
        <f>-$K383*IFERROR(INDEX('[1]salary allocation'!$E$6:$J$22,MATCH($H383,'[1]salary allocation'!$D$6:$D$22,0),MATCH(O$3,'[1]salary allocation'!$E$3:$J$3,0)),0)</f>
        <v>0</v>
      </c>
      <c r="P383" s="15">
        <f>-$K383*IFERROR(INDEX('[1]salary allocation'!$E$6:$J$22,MATCH($H383,'[1]salary allocation'!$D$6:$D$22,0),MATCH(P$3,'[1]salary allocation'!$E$3:$J$3,0)),0)</f>
        <v>0</v>
      </c>
      <c r="Q383" s="15">
        <f>-$K383*IFERROR(INDEX('[1]salary allocation'!$E$6:$J$22,MATCH($H383,'[1]salary allocation'!$D$6:$D$22,0),MATCH(Q$3,'[1]salary allocation'!$E$3:$J$3,0)),0)</f>
        <v>0</v>
      </c>
      <c r="R383" s="15">
        <f>-$K383*IFERROR(INDEX('[1]salary allocation'!$E$6:$J$22,MATCH($H383,'[1]salary allocation'!$D$6:$D$22,0),MATCH(R$3,'[1]salary allocation'!$E$3:$J$3,0)),0)</f>
        <v>0</v>
      </c>
      <c r="S383" s="15">
        <f>-$K383*IFERROR(INDEX('[1]salary allocation'!$E$6:$J$22,MATCH($H383,'[1]salary allocation'!$D$6:$D$22,0),MATCH(S$3,'[1]salary allocation'!$E$3:$J$3,0)),0)</f>
        <v>0</v>
      </c>
      <c r="T383" s="15">
        <f>-$K383*IFERROR(INDEX('[1]salary allocation'!$E$6:$J$22,MATCH($H383,'[1]salary allocation'!$D$6:$D$22,0),MATCH(T$3,'[1]salary allocation'!$E$3:$J$3,0)),0)</f>
        <v>0</v>
      </c>
      <c r="U383" s="15">
        <f>-$K383*IFERROR(INDEX('[1]salary allocation'!$E$6:$J$22,MATCH($H383,'[1]salary allocation'!$D$6:$D$22,0),MATCH(U$3,'[1]salary allocation'!$E$3:$J$3,0)),0)</f>
        <v>0</v>
      </c>
      <c r="V383" s="15">
        <f>-$K383*IFERROR(INDEX('[1]salary allocation'!$E$6:$J$22,MATCH($H383,'[1]salary allocation'!$D$6:$D$22,0),MATCH(V$3,'[1]salary allocation'!$E$3:$J$3,0)),0)</f>
        <v>0</v>
      </c>
      <c r="W383" s="15">
        <f>-$K383*IFERROR(INDEX('[1]salary allocation'!$E$6:$J$22,MATCH($H383,'[1]salary allocation'!$D$6:$D$22,0),MATCH(W$3,'[1]salary allocation'!$E$3:$J$3,0)),0)</f>
        <v>44050184</v>
      </c>
      <c r="X383" s="15">
        <f>-$K383*IFERROR(INDEX('[1]salary allocation'!$E$6:$J$22,MATCH($H383,'[1]salary allocation'!$D$6:$D$22,0),MATCH(X$3,'[1]salary allocation'!$E$3:$J$3,0)),0)</f>
        <v>0</v>
      </c>
      <c r="Y383" s="15">
        <f>-$K383*IFERROR(INDEX('[1]salary allocation'!$E$6:$J$22,MATCH($H383,'[1]salary allocation'!$D$6:$D$22,0),MATCH(Y$3,'[1]salary allocation'!$E$3:$J$3,0)),0)</f>
        <v>0</v>
      </c>
      <c r="Z383" s="15">
        <f>-$K383*IFERROR(INDEX('[1]salary allocation'!$E$6:$J$22,MATCH($H383,'[1]salary allocation'!$D$6:$D$22,0),MATCH(Z$3,'[1]salary allocation'!$E$3:$J$3,0)),0)</f>
        <v>0</v>
      </c>
      <c r="AA383" s="15">
        <f>-$K383*IFERROR(INDEX('[1]salary allocation'!$E$6:$J$22,MATCH($H383,'[1]salary allocation'!$D$6:$D$22,0),MATCH(AA$3,'[1]salary allocation'!$E$3:$J$3,0)),0)</f>
        <v>0</v>
      </c>
      <c r="AB383" s="15">
        <f>-$K383*IFERROR(INDEX('[1]salary allocation'!$E$6:$J$22,MATCH($H383,'[1]salary allocation'!$D$6:$D$22,0),MATCH(AB$3,'[1]salary allocation'!$E$3:$J$3,0)),0)</f>
        <v>0</v>
      </c>
      <c r="AC383" s="18">
        <f>-$K383*IFERROR(INDEX('[1]salary allocation'!$E$6:$J$22,MATCH($H383,'[1]salary allocation'!$D$6:$D$22,0),MATCH(AC$3,'[1]salary allocation'!$E$3:$J$3,0)),0)</f>
        <v>0</v>
      </c>
      <c r="AD383" s="17"/>
      <c r="AE383" s="16"/>
      <c r="AF383" s="15">
        <f>-$K383</f>
        <v>44050184</v>
      </c>
      <c r="AG383" s="15"/>
      <c r="AH383" s="2">
        <f>K383+SUM(O383:AC383)</f>
        <v>0</v>
      </c>
      <c r="AI383" s="2">
        <f>K383+SUM(AF383:AG383)</f>
        <v>0</v>
      </c>
    </row>
    <row r="384" spans="1:35" ht="17" x14ac:dyDescent="0.2">
      <c r="A384" s="11" t="s">
        <v>43</v>
      </c>
      <c r="B384" s="22" t="s">
        <v>500</v>
      </c>
      <c r="H384" s="40" t="s">
        <v>43</v>
      </c>
      <c r="I384" s="11" t="s">
        <v>504</v>
      </c>
      <c r="K384" s="13">
        <v>-44050184</v>
      </c>
      <c r="L384" s="12">
        <v>62025</v>
      </c>
      <c r="M384" s="11" t="s">
        <v>181</v>
      </c>
      <c r="N384" s="11" t="str">
        <f>M384</f>
        <v>VNMOET</v>
      </c>
      <c r="O384" s="15">
        <f>-$K384*IFERROR(INDEX('[1]salary allocation'!$E$6:$J$22,MATCH($H384,'[1]salary allocation'!$D$6:$D$22,0),MATCH(O$3,'[1]salary allocation'!$E$3:$J$3,0)),0)</f>
        <v>0</v>
      </c>
      <c r="P384" s="15">
        <f>-$K384*IFERROR(INDEX('[1]salary allocation'!$E$6:$J$22,MATCH($H384,'[1]salary allocation'!$D$6:$D$22,0),MATCH(P$3,'[1]salary allocation'!$E$3:$J$3,0)),0)</f>
        <v>0</v>
      </c>
      <c r="Q384" s="15">
        <f>-$K384*IFERROR(INDEX('[1]salary allocation'!$E$6:$J$22,MATCH($H384,'[1]salary allocation'!$D$6:$D$22,0),MATCH(Q$3,'[1]salary allocation'!$E$3:$J$3,0)),0)</f>
        <v>0</v>
      </c>
      <c r="R384" s="15">
        <f>-$K384*IFERROR(INDEX('[1]salary allocation'!$E$6:$J$22,MATCH($H384,'[1]salary allocation'!$D$6:$D$22,0),MATCH(R$3,'[1]salary allocation'!$E$3:$J$3,0)),0)</f>
        <v>0</v>
      </c>
      <c r="S384" s="15">
        <f>-$K384*IFERROR(INDEX('[1]salary allocation'!$E$6:$J$22,MATCH($H384,'[1]salary allocation'!$D$6:$D$22,0),MATCH(S$3,'[1]salary allocation'!$E$3:$J$3,0)),0)</f>
        <v>8810036.8000000007</v>
      </c>
      <c r="T384" s="15">
        <f>-$K384*IFERROR(INDEX('[1]salary allocation'!$E$6:$J$22,MATCH($H384,'[1]salary allocation'!$D$6:$D$22,0),MATCH(T$3,'[1]salary allocation'!$E$3:$J$3,0)),0)</f>
        <v>8810036.8000000007</v>
      </c>
      <c r="U384" s="15">
        <f>-$K384*IFERROR(INDEX('[1]salary allocation'!$E$6:$J$22,MATCH($H384,'[1]salary allocation'!$D$6:$D$22,0),MATCH(U$3,'[1]salary allocation'!$E$3:$J$3,0)),0)</f>
        <v>8810036.8000000007</v>
      </c>
      <c r="V384" s="15">
        <f>-$K384*IFERROR(INDEX('[1]salary allocation'!$E$6:$J$22,MATCH($H384,'[1]salary allocation'!$D$6:$D$22,0),MATCH(V$3,'[1]salary allocation'!$E$3:$J$3,0)),0)</f>
        <v>0</v>
      </c>
      <c r="W384" s="15">
        <f>-$K384*IFERROR(INDEX('[1]salary allocation'!$E$6:$J$22,MATCH($H384,'[1]salary allocation'!$D$6:$D$22,0),MATCH(W$3,'[1]salary allocation'!$E$3:$J$3,0)),0)</f>
        <v>17620073.600000001</v>
      </c>
      <c r="X384" s="15">
        <f>-$K384*IFERROR(INDEX('[1]salary allocation'!$E$6:$J$22,MATCH($H384,'[1]salary allocation'!$D$6:$D$22,0),MATCH(X$3,'[1]salary allocation'!$E$3:$J$3,0)),0)</f>
        <v>0</v>
      </c>
      <c r="Y384" s="15">
        <f>-$K384*IFERROR(INDEX('[1]salary allocation'!$E$6:$J$22,MATCH($H384,'[1]salary allocation'!$D$6:$D$22,0),MATCH(Y$3,'[1]salary allocation'!$E$3:$J$3,0)),0)</f>
        <v>0</v>
      </c>
      <c r="Z384" s="15">
        <f>-$K384*IFERROR(INDEX('[1]salary allocation'!$E$6:$J$22,MATCH($H384,'[1]salary allocation'!$D$6:$D$22,0),MATCH(Z$3,'[1]salary allocation'!$E$3:$J$3,0)),0)</f>
        <v>0</v>
      </c>
      <c r="AA384" s="15">
        <f>-$K384*IFERROR(INDEX('[1]salary allocation'!$E$6:$J$22,MATCH($H384,'[1]salary allocation'!$D$6:$D$22,0),MATCH(AA$3,'[1]salary allocation'!$E$3:$J$3,0)),0)</f>
        <v>0</v>
      </c>
      <c r="AB384" s="15">
        <f>-$K384*IFERROR(INDEX('[1]salary allocation'!$E$6:$J$22,MATCH($H384,'[1]salary allocation'!$D$6:$D$22,0),MATCH(AB$3,'[1]salary allocation'!$E$3:$J$3,0)),0)</f>
        <v>0</v>
      </c>
      <c r="AC384" s="18">
        <f>-$K384*IFERROR(INDEX('[1]salary allocation'!$E$6:$J$22,MATCH($H384,'[1]salary allocation'!$D$6:$D$22,0),MATCH(AC$3,'[1]salary allocation'!$E$3:$J$3,0)),0)</f>
        <v>0</v>
      </c>
      <c r="AD384" s="17"/>
      <c r="AE384" s="16"/>
      <c r="AF384" s="15">
        <f>-$K384</f>
        <v>44050184</v>
      </c>
      <c r="AG384" s="15"/>
      <c r="AH384" s="2">
        <f>K384+SUM(O384:AC384)</f>
        <v>0</v>
      </c>
      <c r="AI384" s="2">
        <f>K384+SUM(AF384:AG384)</f>
        <v>0</v>
      </c>
    </row>
    <row r="385" spans="1:35" ht="17" x14ac:dyDescent="0.2">
      <c r="A385" s="11" t="s">
        <v>47</v>
      </c>
      <c r="B385" s="22" t="s">
        <v>500</v>
      </c>
      <c r="H385" s="40" t="s">
        <v>47</v>
      </c>
      <c r="I385" s="11" t="s">
        <v>503</v>
      </c>
      <c r="K385" s="13">
        <v>-54714485</v>
      </c>
      <c r="L385" s="12">
        <v>62025</v>
      </c>
      <c r="M385" s="11" t="s">
        <v>490</v>
      </c>
      <c r="N385" s="11" t="str">
        <f>M385</f>
        <v>VNHBC</v>
      </c>
      <c r="O385" s="15">
        <f>-$K385*IFERROR(INDEX('[1]salary allocation'!$E$6:$J$22,MATCH($H385,'[1]salary allocation'!$D$6:$D$22,0),MATCH(O$3,'[1]salary allocation'!$E$3:$J$3,0)),0)</f>
        <v>0</v>
      </c>
      <c r="P385" s="15">
        <f>-$K385*IFERROR(INDEX('[1]salary allocation'!$E$6:$J$22,MATCH($H385,'[1]salary allocation'!$D$6:$D$22,0),MATCH(P$3,'[1]salary allocation'!$E$3:$J$3,0)),0)</f>
        <v>0</v>
      </c>
      <c r="Q385" s="15">
        <f>-$K385*IFERROR(INDEX('[1]salary allocation'!$E$6:$J$22,MATCH($H385,'[1]salary allocation'!$D$6:$D$22,0),MATCH(Q$3,'[1]salary allocation'!$E$3:$J$3,0)),0)</f>
        <v>0</v>
      </c>
      <c r="R385" s="15">
        <f>-$K385*IFERROR(INDEX('[1]salary allocation'!$E$6:$J$22,MATCH($H385,'[1]salary allocation'!$D$6:$D$22,0),MATCH(R$3,'[1]salary allocation'!$E$3:$J$3,0)),0)</f>
        <v>0</v>
      </c>
      <c r="S385" s="15">
        <f>-$K385*IFERROR(INDEX('[1]salary allocation'!$E$6:$J$22,MATCH($H385,'[1]salary allocation'!$D$6:$D$22,0),MATCH(S$3,'[1]salary allocation'!$E$3:$J$3,0)),0)</f>
        <v>10942897</v>
      </c>
      <c r="T385" s="15">
        <f>-$K385*IFERROR(INDEX('[1]salary allocation'!$E$6:$J$22,MATCH($H385,'[1]salary allocation'!$D$6:$D$22,0),MATCH(T$3,'[1]salary allocation'!$E$3:$J$3,0)),0)</f>
        <v>10942897</v>
      </c>
      <c r="U385" s="15">
        <f>-$K385*IFERROR(INDEX('[1]salary allocation'!$E$6:$J$22,MATCH($H385,'[1]salary allocation'!$D$6:$D$22,0),MATCH(U$3,'[1]salary allocation'!$E$3:$J$3,0)),0)</f>
        <v>10942897</v>
      </c>
      <c r="V385" s="15">
        <f>-$K385*IFERROR(INDEX('[1]salary allocation'!$E$6:$J$22,MATCH($H385,'[1]salary allocation'!$D$6:$D$22,0),MATCH(V$3,'[1]salary allocation'!$E$3:$J$3,0)),0)</f>
        <v>0</v>
      </c>
      <c r="W385" s="15">
        <f>-$K385*IFERROR(INDEX('[1]salary allocation'!$E$6:$J$22,MATCH($H385,'[1]salary allocation'!$D$6:$D$22,0),MATCH(W$3,'[1]salary allocation'!$E$3:$J$3,0)),0)</f>
        <v>21885794</v>
      </c>
      <c r="X385" s="15">
        <f>-$K385*IFERROR(INDEX('[1]salary allocation'!$E$6:$J$22,MATCH($H385,'[1]salary allocation'!$D$6:$D$22,0),MATCH(X$3,'[1]salary allocation'!$E$3:$J$3,0)),0)</f>
        <v>0</v>
      </c>
      <c r="Y385" s="15">
        <f>-$K385*IFERROR(INDEX('[1]salary allocation'!$E$6:$J$22,MATCH($H385,'[1]salary allocation'!$D$6:$D$22,0),MATCH(Y$3,'[1]salary allocation'!$E$3:$J$3,0)),0)</f>
        <v>0</v>
      </c>
      <c r="Z385" s="15">
        <f>-$K385*IFERROR(INDEX('[1]salary allocation'!$E$6:$J$22,MATCH($H385,'[1]salary allocation'!$D$6:$D$22,0),MATCH(Z$3,'[1]salary allocation'!$E$3:$J$3,0)),0)</f>
        <v>0</v>
      </c>
      <c r="AA385" s="15">
        <f>-$K385*IFERROR(INDEX('[1]salary allocation'!$E$6:$J$22,MATCH($H385,'[1]salary allocation'!$D$6:$D$22,0),MATCH(AA$3,'[1]salary allocation'!$E$3:$J$3,0)),0)</f>
        <v>0</v>
      </c>
      <c r="AB385" s="15">
        <f>-$K385*IFERROR(INDEX('[1]salary allocation'!$E$6:$J$22,MATCH($H385,'[1]salary allocation'!$D$6:$D$22,0),MATCH(AB$3,'[1]salary allocation'!$E$3:$J$3,0)),0)</f>
        <v>0</v>
      </c>
      <c r="AC385" s="18">
        <f>-$K385*IFERROR(INDEX('[1]salary allocation'!$E$6:$J$22,MATCH($H385,'[1]salary allocation'!$D$6:$D$22,0),MATCH(AC$3,'[1]salary allocation'!$E$3:$J$3,0)),0)</f>
        <v>0</v>
      </c>
      <c r="AD385" s="17"/>
      <c r="AE385" s="16"/>
      <c r="AF385" s="15">
        <f>-$K385</f>
        <v>54714485</v>
      </c>
      <c r="AG385" s="15"/>
      <c r="AH385" s="2">
        <f>K385+SUM(O385:AC385)</f>
        <v>0</v>
      </c>
      <c r="AI385" s="2">
        <f>K385+SUM(AF385:AG385)</f>
        <v>0</v>
      </c>
    </row>
    <row r="386" spans="1:35" ht="17" x14ac:dyDescent="0.2">
      <c r="A386" s="11" t="s">
        <v>37</v>
      </c>
      <c r="B386" s="22" t="s">
        <v>500</v>
      </c>
      <c r="H386" s="40" t="s">
        <v>37</v>
      </c>
      <c r="I386" s="11" t="s">
        <v>502</v>
      </c>
      <c r="K386" s="13">
        <v>-35825982</v>
      </c>
      <c r="L386" s="12">
        <v>62025</v>
      </c>
      <c r="M386" s="11" t="s">
        <v>138</v>
      </c>
      <c r="N386" s="11" t="str">
        <f>M386</f>
        <v>VNOther</v>
      </c>
      <c r="O386" s="15">
        <f>-$K386*IFERROR(INDEX('[1]salary allocation'!$E$6:$J$22,MATCH($H386,'[1]salary allocation'!$D$6:$D$22,0),MATCH(O$3,'[1]salary allocation'!$E$3:$J$3,0)),0)</f>
        <v>0</v>
      </c>
      <c r="P386" s="15">
        <f>-$K386*IFERROR(INDEX('[1]salary allocation'!$E$6:$J$22,MATCH($H386,'[1]salary allocation'!$D$6:$D$22,0),MATCH(P$3,'[1]salary allocation'!$E$3:$J$3,0)),0)</f>
        <v>5373897.2999999998</v>
      </c>
      <c r="Q386" s="15">
        <f>-$K386*IFERROR(INDEX('[1]salary allocation'!$E$6:$J$22,MATCH($H386,'[1]salary allocation'!$D$6:$D$22,0),MATCH(Q$3,'[1]salary allocation'!$E$3:$J$3,0)),0)</f>
        <v>0</v>
      </c>
      <c r="R386" s="15">
        <f>-$K386*IFERROR(INDEX('[1]salary allocation'!$E$6:$J$22,MATCH($H386,'[1]salary allocation'!$D$6:$D$22,0),MATCH(R$3,'[1]salary allocation'!$E$3:$J$3,0)),0)</f>
        <v>0</v>
      </c>
      <c r="S386" s="15">
        <f>-$K386*IFERROR(INDEX('[1]salary allocation'!$E$6:$J$22,MATCH($H386,'[1]salary allocation'!$D$6:$D$22,0),MATCH(S$3,'[1]salary allocation'!$E$3:$J$3,0)),0)</f>
        <v>6090416.9399999995</v>
      </c>
      <c r="T386" s="15">
        <f>-$K386*IFERROR(INDEX('[1]salary allocation'!$E$6:$J$22,MATCH($H386,'[1]salary allocation'!$D$6:$D$22,0),MATCH(T$3,'[1]salary allocation'!$E$3:$J$3,0)),0)</f>
        <v>6090416.9399999995</v>
      </c>
      <c r="U386" s="15">
        <f>-$K386*IFERROR(INDEX('[1]salary allocation'!$E$6:$J$22,MATCH($H386,'[1]salary allocation'!$D$6:$D$22,0),MATCH(U$3,'[1]salary allocation'!$E$3:$J$3,0)),0)</f>
        <v>6090416.9399999995</v>
      </c>
      <c r="V386" s="15">
        <f>-$K386*IFERROR(INDEX('[1]salary allocation'!$E$6:$J$22,MATCH($H386,'[1]salary allocation'!$D$6:$D$22,0),MATCH(V$3,'[1]salary allocation'!$E$3:$J$3,0)),0)</f>
        <v>0</v>
      </c>
      <c r="W386" s="15">
        <f>-$K386*IFERROR(INDEX('[1]salary allocation'!$E$6:$J$22,MATCH($H386,'[1]salary allocation'!$D$6:$D$22,0),MATCH(W$3,'[1]salary allocation'!$E$3:$J$3,0)),0)</f>
        <v>12180833.879999999</v>
      </c>
      <c r="X386" s="15">
        <f>-$K386*IFERROR(INDEX('[1]salary allocation'!$E$6:$J$22,MATCH($H386,'[1]salary allocation'!$D$6:$D$22,0),MATCH(X$3,'[1]salary allocation'!$E$3:$J$3,0)),0)</f>
        <v>0</v>
      </c>
      <c r="Y386" s="15">
        <f>-$K386*IFERROR(INDEX('[1]salary allocation'!$E$6:$J$22,MATCH($H386,'[1]salary allocation'!$D$6:$D$22,0),MATCH(Y$3,'[1]salary allocation'!$E$3:$J$3,0)),0)</f>
        <v>0</v>
      </c>
      <c r="Z386" s="15">
        <f>-$K386*IFERROR(INDEX('[1]salary allocation'!$E$6:$J$22,MATCH($H386,'[1]salary allocation'!$D$6:$D$22,0),MATCH(Z$3,'[1]salary allocation'!$E$3:$J$3,0)),0)</f>
        <v>0</v>
      </c>
      <c r="AA386" s="15">
        <f>-$K386*IFERROR(INDEX('[1]salary allocation'!$E$6:$J$22,MATCH($H386,'[1]salary allocation'!$D$6:$D$22,0),MATCH(AA$3,'[1]salary allocation'!$E$3:$J$3,0)),0)</f>
        <v>0</v>
      </c>
      <c r="AB386" s="15">
        <f>-$K386*IFERROR(INDEX('[1]salary allocation'!$E$6:$J$22,MATCH($H386,'[1]salary allocation'!$D$6:$D$22,0),MATCH(AB$3,'[1]salary allocation'!$E$3:$J$3,0)),0)</f>
        <v>0</v>
      </c>
      <c r="AC386" s="18">
        <f>-$K386*IFERROR(INDEX('[1]salary allocation'!$E$6:$J$22,MATCH($H386,'[1]salary allocation'!$D$6:$D$22,0),MATCH(AC$3,'[1]salary allocation'!$E$3:$J$3,0)),0)</f>
        <v>0</v>
      </c>
      <c r="AD386" s="17"/>
      <c r="AE386" s="16"/>
      <c r="AF386" s="15">
        <f>-K386</f>
        <v>35825982</v>
      </c>
      <c r="AG386" s="15"/>
      <c r="AH386" s="2">
        <f>K386+SUM(O386:AC386)</f>
        <v>0</v>
      </c>
      <c r="AI386" s="2">
        <f>K386+SUM(AF386:AG386)</f>
        <v>0</v>
      </c>
    </row>
    <row r="387" spans="1:35" ht="17" x14ac:dyDescent="0.2">
      <c r="A387" s="11" t="s">
        <v>35</v>
      </c>
      <c r="B387" s="22" t="s">
        <v>500</v>
      </c>
      <c r="H387" s="40" t="s">
        <v>35</v>
      </c>
      <c r="I387" s="11" t="s">
        <v>501</v>
      </c>
      <c r="K387" s="13">
        <v>-60738152</v>
      </c>
      <c r="L387" s="12">
        <v>62025</v>
      </c>
      <c r="M387" s="11" t="s">
        <v>138</v>
      </c>
      <c r="N387" s="11" t="str">
        <f>M387</f>
        <v>VNOther</v>
      </c>
      <c r="O387" s="15">
        <f>-$K387*IFERROR(INDEX('[1]salary allocation'!$E$6:$J$22,MATCH($H387,'[1]salary allocation'!$D$6:$D$22,0),MATCH(O$3,'[1]salary allocation'!$E$3:$J$3,0)),0)</f>
        <v>0</v>
      </c>
      <c r="P387" s="15">
        <f>-$K387*IFERROR(INDEX('[1]salary allocation'!$E$6:$J$22,MATCH($H387,'[1]salary allocation'!$D$6:$D$22,0),MATCH(P$3,'[1]salary allocation'!$E$3:$J$3,0)),0)</f>
        <v>9110722.7999999989</v>
      </c>
      <c r="Q387" s="15">
        <f>-$K387*IFERROR(INDEX('[1]salary allocation'!$E$6:$J$22,MATCH($H387,'[1]salary allocation'!$D$6:$D$22,0),MATCH(Q$3,'[1]salary allocation'!$E$3:$J$3,0)),0)</f>
        <v>0</v>
      </c>
      <c r="R387" s="15">
        <f>-$K387*IFERROR(INDEX('[1]salary allocation'!$E$6:$J$22,MATCH($H387,'[1]salary allocation'!$D$6:$D$22,0),MATCH(R$3,'[1]salary allocation'!$E$3:$J$3,0)),0)</f>
        <v>0</v>
      </c>
      <c r="S387" s="15">
        <f>-$K387*IFERROR(INDEX('[1]salary allocation'!$E$6:$J$22,MATCH($H387,'[1]salary allocation'!$D$6:$D$22,0),MATCH(S$3,'[1]salary allocation'!$E$3:$J$3,0)),0)</f>
        <v>10325485.84</v>
      </c>
      <c r="T387" s="15">
        <f>-$K387*IFERROR(INDEX('[1]salary allocation'!$E$6:$J$22,MATCH($H387,'[1]salary allocation'!$D$6:$D$22,0),MATCH(T$3,'[1]salary allocation'!$E$3:$J$3,0)),0)</f>
        <v>10325485.84</v>
      </c>
      <c r="U387" s="15">
        <f>-$K387*IFERROR(INDEX('[1]salary allocation'!$E$6:$J$22,MATCH($H387,'[1]salary allocation'!$D$6:$D$22,0),MATCH(U$3,'[1]salary allocation'!$E$3:$J$3,0)),0)</f>
        <v>10325485.84</v>
      </c>
      <c r="V387" s="15">
        <f>-$K387*IFERROR(INDEX('[1]salary allocation'!$E$6:$J$22,MATCH($H387,'[1]salary allocation'!$D$6:$D$22,0),MATCH(V$3,'[1]salary allocation'!$E$3:$J$3,0)),0)</f>
        <v>0</v>
      </c>
      <c r="W387" s="15">
        <f>-$K387*IFERROR(INDEX('[1]salary allocation'!$E$6:$J$22,MATCH($H387,'[1]salary allocation'!$D$6:$D$22,0),MATCH(W$3,'[1]salary allocation'!$E$3:$J$3,0)),0)</f>
        <v>20650971.68</v>
      </c>
      <c r="X387" s="15">
        <f>-$K387*IFERROR(INDEX('[1]salary allocation'!$E$6:$J$22,MATCH($H387,'[1]salary allocation'!$D$6:$D$22,0),MATCH(X$3,'[1]salary allocation'!$E$3:$J$3,0)),0)</f>
        <v>0</v>
      </c>
      <c r="Y387" s="15">
        <f>-$K387*IFERROR(INDEX('[1]salary allocation'!$E$6:$J$22,MATCH($H387,'[1]salary allocation'!$D$6:$D$22,0),MATCH(Y$3,'[1]salary allocation'!$E$3:$J$3,0)),0)</f>
        <v>0</v>
      </c>
      <c r="Z387" s="15">
        <f>-$K387*IFERROR(INDEX('[1]salary allocation'!$E$6:$J$22,MATCH($H387,'[1]salary allocation'!$D$6:$D$22,0),MATCH(Z$3,'[1]salary allocation'!$E$3:$J$3,0)),0)</f>
        <v>0</v>
      </c>
      <c r="AA387" s="15">
        <f>-$K387*IFERROR(INDEX('[1]salary allocation'!$E$6:$J$22,MATCH($H387,'[1]salary allocation'!$D$6:$D$22,0),MATCH(AA$3,'[1]salary allocation'!$E$3:$J$3,0)),0)</f>
        <v>0</v>
      </c>
      <c r="AB387" s="15">
        <f>-$K387*IFERROR(INDEX('[1]salary allocation'!$E$6:$J$22,MATCH($H387,'[1]salary allocation'!$D$6:$D$22,0),MATCH(AB$3,'[1]salary allocation'!$E$3:$J$3,0)),0)</f>
        <v>0</v>
      </c>
      <c r="AC387" s="18">
        <f>-$K387*IFERROR(INDEX('[1]salary allocation'!$E$6:$J$22,MATCH($H387,'[1]salary allocation'!$D$6:$D$22,0),MATCH(AC$3,'[1]salary allocation'!$E$3:$J$3,0)),0)</f>
        <v>0</v>
      </c>
      <c r="AD387" s="17"/>
      <c r="AE387" s="16"/>
      <c r="AF387" s="15">
        <f>-$K387</f>
        <v>60738152</v>
      </c>
      <c r="AG387" s="15"/>
      <c r="AH387" s="2">
        <f>K387+SUM(O387:AC387)</f>
        <v>0</v>
      </c>
      <c r="AI387" s="2">
        <f>K387+SUM(AF387:AG387)</f>
        <v>0</v>
      </c>
    </row>
    <row r="388" spans="1:35" ht="17" x14ac:dyDescent="0.2">
      <c r="A388" s="11" t="s">
        <v>110</v>
      </c>
      <c r="B388" s="22" t="s">
        <v>500</v>
      </c>
      <c r="H388" s="40" t="s">
        <v>110</v>
      </c>
      <c r="I388" s="11" t="s">
        <v>499</v>
      </c>
      <c r="K388" s="13">
        <v>-7255542</v>
      </c>
      <c r="L388" s="12">
        <v>62025</v>
      </c>
      <c r="M388" s="11" t="s">
        <v>138</v>
      </c>
      <c r="N388" s="11" t="str">
        <f>M388</f>
        <v>VNOther</v>
      </c>
      <c r="O388" s="15">
        <f>-$K388*IFERROR(INDEX('[1]salary allocation'!$E$6:$J$22,MATCH($H388,'[1]salary allocation'!$D$6:$D$22,0),MATCH(O$3,'[1]salary allocation'!$E$3:$J$3,0)),0)</f>
        <v>0</v>
      </c>
      <c r="P388" s="15">
        <f>-$K388*IFERROR(INDEX('[1]salary allocation'!$E$6:$J$22,MATCH($H388,'[1]salary allocation'!$D$6:$D$22,0),MATCH(P$3,'[1]salary allocation'!$E$3:$J$3,0)),0)</f>
        <v>1088331.3</v>
      </c>
      <c r="Q388" s="15">
        <f>-$K388*IFERROR(INDEX('[1]salary allocation'!$E$6:$J$22,MATCH($H388,'[1]salary allocation'!$D$6:$D$22,0),MATCH(Q$3,'[1]salary allocation'!$E$3:$J$3,0)),0)</f>
        <v>0</v>
      </c>
      <c r="R388" s="15">
        <f>-$K388*IFERROR(INDEX('[1]salary allocation'!$E$6:$J$22,MATCH($H388,'[1]salary allocation'!$D$6:$D$22,0),MATCH(R$3,'[1]salary allocation'!$E$3:$J$3,0)),0)</f>
        <v>0</v>
      </c>
      <c r="S388" s="15">
        <f>-$K388*IFERROR(INDEX('[1]salary allocation'!$E$6:$J$22,MATCH($H388,'[1]salary allocation'!$D$6:$D$22,0),MATCH(S$3,'[1]salary allocation'!$E$3:$J$3,0)),0)</f>
        <v>1233442.1399999999</v>
      </c>
      <c r="T388" s="15">
        <f>-$K388*IFERROR(INDEX('[1]salary allocation'!$E$6:$J$22,MATCH($H388,'[1]salary allocation'!$D$6:$D$22,0),MATCH(T$3,'[1]salary allocation'!$E$3:$J$3,0)),0)</f>
        <v>1233442.1399999999</v>
      </c>
      <c r="U388" s="15">
        <f>-$K388*IFERROR(INDEX('[1]salary allocation'!$E$6:$J$22,MATCH($H388,'[1]salary allocation'!$D$6:$D$22,0),MATCH(U$3,'[1]salary allocation'!$E$3:$J$3,0)),0)</f>
        <v>1233442.1399999999</v>
      </c>
      <c r="V388" s="15">
        <f>-$K388*IFERROR(INDEX('[1]salary allocation'!$E$6:$J$22,MATCH($H388,'[1]salary allocation'!$D$6:$D$22,0),MATCH(V$3,'[1]salary allocation'!$E$3:$J$3,0)),0)</f>
        <v>0</v>
      </c>
      <c r="W388" s="15">
        <f>-$K388*IFERROR(INDEX('[1]salary allocation'!$E$6:$J$22,MATCH($H388,'[1]salary allocation'!$D$6:$D$22,0),MATCH(W$3,'[1]salary allocation'!$E$3:$J$3,0)),0)</f>
        <v>2466884.2799999998</v>
      </c>
      <c r="X388" s="15">
        <f>-$K388*IFERROR(INDEX('[1]salary allocation'!$E$6:$J$22,MATCH($H388,'[1]salary allocation'!$D$6:$D$22,0),MATCH(X$3,'[1]salary allocation'!$E$3:$J$3,0)),0)</f>
        <v>0</v>
      </c>
      <c r="Y388" s="15">
        <f>-$K388*IFERROR(INDEX('[1]salary allocation'!$E$6:$J$22,MATCH($H388,'[1]salary allocation'!$D$6:$D$22,0),MATCH(Y$3,'[1]salary allocation'!$E$3:$J$3,0)),0)</f>
        <v>0</v>
      </c>
      <c r="Z388" s="15">
        <f>-$K388*IFERROR(INDEX('[1]salary allocation'!$E$6:$J$22,MATCH($H388,'[1]salary allocation'!$D$6:$D$22,0),MATCH(Z$3,'[1]salary allocation'!$E$3:$J$3,0)),0)</f>
        <v>0</v>
      </c>
      <c r="AA388" s="15">
        <f>-$K388*IFERROR(INDEX('[1]salary allocation'!$E$6:$J$22,MATCH($H388,'[1]salary allocation'!$D$6:$D$22,0),MATCH(AA$3,'[1]salary allocation'!$E$3:$J$3,0)),0)</f>
        <v>0</v>
      </c>
      <c r="AB388" s="15">
        <f>-$K388*IFERROR(INDEX('[1]salary allocation'!$E$6:$J$22,MATCH($H388,'[1]salary allocation'!$D$6:$D$22,0),MATCH(AB$3,'[1]salary allocation'!$E$3:$J$3,0)),0)</f>
        <v>0</v>
      </c>
      <c r="AC388" s="18">
        <f>-$K388*IFERROR(INDEX('[1]salary allocation'!$E$6:$J$22,MATCH($H388,'[1]salary allocation'!$D$6:$D$22,0),MATCH(AC$3,'[1]salary allocation'!$E$3:$J$3,0)),0)</f>
        <v>0</v>
      </c>
      <c r="AD388" s="17"/>
      <c r="AE388" s="16"/>
      <c r="AF388" s="15">
        <f>-$K388</f>
        <v>7255542</v>
      </c>
      <c r="AG388" s="15"/>
      <c r="AH388" s="2">
        <f>K388+SUM(O388:AC388)</f>
        <v>0</v>
      </c>
      <c r="AI388" s="2">
        <f>K388+SUM(AF388:AG388)</f>
        <v>0</v>
      </c>
    </row>
    <row r="389" spans="1:35" ht="17" x14ac:dyDescent="0.2">
      <c r="A389" s="11" t="s">
        <v>135</v>
      </c>
      <c r="B389" s="22" t="s">
        <v>486</v>
      </c>
      <c r="H389" s="40" t="s">
        <v>135</v>
      </c>
      <c r="I389" s="11" t="s">
        <v>498</v>
      </c>
      <c r="K389" s="13">
        <v>-132525480</v>
      </c>
      <c r="L389" s="12">
        <v>72025</v>
      </c>
      <c r="M389" s="11" t="s">
        <v>138</v>
      </c>
      <c r="N389" s="11" t="str">
        <f>M389</f>
        <v>VNOther</v>
      </c>
      <c r="O389" s="15">
        <f>-$K389*IFERROR(INDEX('[1]salary allocation'!$E$6:$J$22,MATCH($H389,'[1]salary allocation'!$D$6:$D$22,0),MATCH(O$3,'[1]salary allocation'!$E$3:$J$3,0)),0)</f>
        <v>0</v>
      </c>
      <c r="P389" s="15">
        <f>-$K389*IFERROR(INDEX('[1]salary allocation'!$E$6:$J$22,MATCH($H389,'[1]salary allocation'!$D$6:$D$22,0),MATCH(P$3,'[1]salary allocation'!$E$3:$J$3,0)),0)</f>
        <v>66262740</v>
      </c>
      <c r="Q389" s="15">
        <f>-$K389*IFERROR(INDEX('[1]salary allocation'!$E$6:$J$22,MATCH($H389,'[1]salary allocation'!$D$6:$D$22,0),MATCH(Q$3,'[1]salary allocation'!$E$3:$J$3,0)),0)</f>
        <v>0</v>
      </c>
      <c r="R389" s="15">
        <f>-$K389*IFERROR(INDEX('[1]salary allocation'!$E$6:$J$22,MATCH($H389,'[1]salary allocation'!$D$6:$D$22,0),MATCH(R$3,'[1]salary allocation'!$E$3:$J$3,0)),0)</f>
        <v>0</v>
      </c>
      <c r="S389" s="15">
        <f>-$K389*IFERROR(INDEX('[1]salary allocation'!$E$6:$J$22,MATCH($H389,'[1]salary allocation'!$D$6:$D$22,0),MATCH(S$3,'[1]salary allocation'!$E$3:$J$3,0)),0)</f>
        <v>13252548</v>
      </c>
      <c r="T389" s="15">
        <f>-$K389*IFERROR(INDEX('[1]salary allocation'!$E$6:$J$22,MATCH($H389,'[1]salary allocation'!$D$6:$D$22,0),MATCH(T$3,'[1]salary allocation'!$E$3:$J$3,0)),0)</f>
        <v>13252548</v>
      </c>
      <c r="U389" s="15">
        <f>-$K389*IFERROR(INDEX('[1]salary allocation'!$E$6:$J$22,MATCH($H389,'[1]salary allocation'!$D$6:$D$22,0),MATCH(U$3,'[1]salary allocation'!$E$3:$J$3,0)),0)</f>
        <v>13252548</v>
      </c>
      <c r="V389" s="15">
        <f>-$K389*IFERROR(INDEX('[1]salary allocation'!$E$6:$J$22,MATCH($H389,'[1]salary allocation'!$D$6:$D$22,0),MATCH(V$3,'[1]salary allocation'!$E$3:$J$3,0)),0)</f>
        <v>0</v>
      </c>
      <c r="W389" s="15">
        <f>-$K389*IFERROR(INDEX('[1]salary allocation'!$E$6:$J$22,MATCH($H389,'[1]salary allocation'!$D$6:$D$22,0),MATCH(W$3,'[1]salary allocation'!$E$3:$J$3,0)),0)</f>
        <v>26505096</v>
      </c>
      <c r="X389" s="15">
        <f>-$K389*IFERROR(INDEX('[1]salary allocation'!$E$6:$J$22,MATCH($H389,'[1]salary allocation'!$D$6:$D$22,0),MATCH(X$3,'[1]salary allocation'!$E$3:$J$3,0)),0)</f>
        <v>0</v>
      </c>
      <c r="Y389" s="15">
        <f>-$K389*IFERROR(INDEX('[1]salary allocation'!$E$6:$J$22,MATCH($H389,'[1]salary allocation'!$D$6:$D$22,0),MATCH(Y$3,'[1]salary allocation'!$E$3:$J$3,0)),0)</f>
        <v>0</v>
      </c>
      <c r="Z389" s="15">
        <f>-$K389*IFERROR(INDEX('[1]salary allocation'!$E$6:$J$22,MATCH($H389,'[1]salary allocation'!$D$6:$D$22,0),MATCH(Z$3,'[1]salary allocation'!$E$3:$J$3,0)),0)</f>
        <v>0</v>
      </c>
      <c r="AA389" s="15">
        <f>-$K389*IFERROR(INDEX('[1]salary allocation'!$E$6:$J$22,MATCH($H389,'[1]salary allocation'!$D$6:$D$22,0),MATCH(AA$3,'[1]salary allocation'!$E$3:$J$3,0)),0)</f>
        <v>0</v>
      </c>
      <c r="AB389" s="15">
        <f>-$K389*IFERROR(INDEX('[1]salary allocation'!$E$6:$J$22,MATCH($H389,'[1]salary allocation'!$D$6:$D$22,0),MATCH(AB$3,'[1]salary allocation'!$E$3:$J$3,0)),0)</f>
        <v>0</v>
      </c>
      <c r="AC389" s="18">
        <f>-$K389*IFERROR(INDEX('[1]salary allocation'!$E$6:$J$22,MATCH($H389,'[1]salary allocation'!$D$6:$D$22,0),MATCH(AC$3,'[1]salary allocation'!$E$3:$J$3,0)),0)</f>
        <v>0</v>
      </c>
      <c r="AD389" s="17"/>
      <c r="AE389" s="16"/>
      <c r="AF389" s="15">
        <f>-$K389</f>
        <v>132525480</v>
      </c>
      <c r="AG389" s="15"/>
      <c r="AH389" s="2">
        <f>K389+SUM(O389:AC389)</f>
        <v>0</v>
      </c>
      <c r="AI389" s="2">
        <f>K389+SUM(AF389:AG389)</f>
        <v>0</v>
      </c>
    </row>
    <row r="390" spans="1:35" ht="17" x14ac:dyDescent="0.2">
      <c r="A390" s="11" t="s">
        <v>57</v>
      </c>
      <c r="B390" s="22" t="s">
        <v>486</v>
      </c>
      <c r="H390" s="40" t="s">
        <v>57</v>
      </c>
      <c r="I390" s="11" t="s">
        <v>497</v>
      </c>
      <c r="K390" s="13">
        <v>-15131211</v>
      </c>
      <c r="L390" s="12">
        <v>72025</v>
      </c>
      <c r="M390" s="11" t="s">
        <v>138</v>
      </c>
      <c r="N390" s="11" t="str">
        <f>M390</f>
        <v>VNOther</v>
      </c>
      <c r="O390" s="15">
        <f>-$K390*IFERROR(INDEX('[1]salary allocation'!$E$6:$J$22,MATCH($H390,'[1]salary allocation'!$D$6:$D$22,0),MATCH(O$3,'[1]salary allocation'!$E$3:$J$3,0)),0)</f>
        <v>0</v>
      </c>
      <c r="P390" s="15">
        <f>-$K390*IFERROR(INDEX('[1]salary allocation'!$E$6:$J$22,MATCH($H390,'[1]salary allocation'!$D$6:$D$22,0),MATCH(P$3,'[1]salary allocation'!$E$3:$J$3,0)),0)</f>
        <v>7565605.5</v>
      </c>
      <c r="Q390" s="15">
        <f>-$K390*IFERROR(INDEX('[1]salary allocation'!$E$6:$J$22,MATCH($H390,'[1]salary allocation'!$D$6:$D$22,0),MATCH(Q$3,'[1]salary allocation'!$E$3:$J$3,0)),0)</f>
        <v>0</v>
      </c>
      <c r="R390" s="15">
        <f>-$K390*IFERROR(INDEX('[1]salary allocation'!$E$6:$J$22,MATCH($H390,'[1]salary allocation'!$D$6:$D$22,0),MATCH(R$3,'[1]salary allocation'!$E$3:$J$3,0)),0)</f>
        <v>0</v>
      </c>
      <c r="S390" s="15">
        <f>-$K390*IFERROR(INDEX('[1]salary allocation'!$E$6:$J$22,MATCH($H390,'[1]salary allocation'!$D$6:$D$22,0),MATCH(S$3,'[1]salary allocation'!$E$3:$J$3,0)),0)</f>
        <v>1513121.1</v>
      </c>
      <c r="T390" s="15">
        <f>-$K390*IFERROR(INDEX('[1]salary allocation'!$E$6:$J$22,MATCH($H390,'[1]salary allocation'!$D$6:$D$22,0),MATCH(T$3,'[1]salary allocation'!$E$3:$J$3,0)),0)</f>
        <v>1513121.1</v>
      </c>
      <c r="U390" s="15">
        <f>-$K390*IFERROR(INDEX('[1]salary allocation'!$E$6:$J$22,MATCH($H390,'[1]salary allocation'!$D$6:$D$22,0),MATCH(U$3,'[1]salary allocation'!$E$3:$J$3,0)),0)</f>
        <v>1513121.1</v>
      </c>
      <c r="V390" s="15">
        <f>-$K390*IFERROR(INDEX('[1]salary allocation'!$E$6:$J$22,MATCH($H390,'[1]salary allocation'!$D$6:$D$22,0),MATCH(V$3,'[1]salary allocation'!$E$3:$J$3,0)),0)</f>
        <v>0</v>
      </c>
      <c r="W390" s="15">
        <f>-$K390*IFERROR(INDEX('[1]salary allocation'!$E$6:$J$22,MATCH($H390,'[1]salary allocation'!$D$6:$D$22,0),MATCH(W$3,'[1]salary allocation'!$E$3:$J$3,0)),0)</f>
        <v>3026242.2</v>
      </c>
      <c r="X390" s="15">
        <f>-$K390*IFERROR(INDEX('[1]salary allocation'!$E$6:$J$22,MATCH($H390,'[1]salary allocation'!$D$6:$D$22,0),MATCH(X$3,'[1]salary allocation'!$E$3:$J$3,0)),0)</f>
        <v>0</v>
      </c>
      <c r="Y390" s="15">
        <f>-$K390*IFERROR(INDEX('[1]salary allocation'!$E$6:$J$22,MATCH($H390,'[1]salary allocation'!$D$6:$D$22,0),MATCH(Y$3,'[1]salary allocation'!$E$3:$J$3,0)),0)</f>
        <v>0</v>
      </c>
      <c r="Z390" s="15">
        <f>-$K390*IFERROR(INDEX('[1]salary allocation'!$E$6:$J$22,MATCH($H390,'[1]salary allocation'!$D$6:$D$22,0),MATCH(Z$3,'[1]salary allocation'!$E$3:$J$3,0)),0)</f>
        <v>0</v>
      </c>
      <c r="AA390" s="15">
        <f>-$K390*IFERROR(INDEX('[1]salary allocation'!$E$6:$J$22,MATCH($H390,'[1]salary allocation'!$D$6:$D$22,0),MATCH(AA$3,'[1]salary allocation'!$E$3:$J$3,0)),0)</f>
        <v>0</v>
      </c>
      <c r="AB390" s="15">
        <f>-$K390*IFERROR(INDEX('[1]salary allocation'!$E$6:$J$22,MATCH($H390,'[1]salary allocation'!$D$6:$D$22,0),MATCH(AB$3,'[1]salary allocation'!$E$3:$J$3,0)),0)</f>
        <v>0</v>
      </c>
      <c r="AC390" s="18">
        <f>-$K390*IFERROR(INDEX('[1]salary allocation'!$E$6:$J$22,MATCH($H390,'[1]salary allocation'!$D$6:$D$22,0),MATCH(AC$3,'[1]salary allocation'!$E$3:$J$3,0)),0)</f>
        <v>0</v>
      </c>
      <c r="AD390" s="17"/>
      <c r="AE390" s="16"/>
      <c r="AF390" s="15">
        <f>-$K390</f>
        <v>15131211</v>
      </c>
      <c r="AG390" s="15"/>
      <c r="AH390" s="2">
        <f>K390+SUM(O390:AC390)</f>
        <v>0</v>
      </c>
      <c r="AI390" s="2">
        <f>K390+SUM(AF390:AG390)</f>
        <v>0</v>
      </c>
    </row>
    <row r="391" spans="1:35" ht="17" x14ac:dyDescent="0.2">
      <c r="A391" s="11" t="s">
        <v>55</v>
      </c>
      <c r="B391" s="22" t="s">
        <v>486</v>
      </c>
      <c r="H391" s="40" t="s">
        <v>55</v>
      </c>
      <c r="I391" s="11" t="s">
        <v>496</v>
      </c>
      <c r="K391" s="13">
        <v>-58858476</v>
      </c>
      <c r="L391" s="12">
        <v>72025</v>
      </c>
      <c r="M391" s="11" t="s">
        <v>490</v>
      </c>
      <c r="N391" s="11" t="str">
        <f>M391</f>
        <v>VNHBC</v>
      </c>
      <c r="O391" s="15">
        <f>-$K391*IFERROR(INDEX('[1]salary allocation'!$E$6:$J$22,MATCH($H391,'[1]salary allocation'!$D$6:$D$22,0),MATCH(O$3,'[1]salary allocation'!$E$3:$J$3,0)),0)</f>
        <v>0</v>
      </c>
      <c r="P391" s="15">
        <f>-$K391*IFERROR(INDEX('[1]salary allocation'!$E$6:$J$22,MATCH($H391,'[1]salary allocation'!$D$6:$D$22,0),MATCH(P$3,'[1]salary allocation'!$E$3:$J$3,0)),0)</f>
        <v>0</v>
      </c>
      <c r="Q391" s="15">
        <f>-$K391*IFERROR(INDEX('[1]salary allocation'!$E$6:$J$22,MATCH($H391,'[1]salary allocation'!$D$6:$D$22,0),MATCH(Q$3,'[1]salary allocation'!$E$3:$J$3,0)),0)</f>
        <v>0</v>
      </c>
      <c r="R391" s="15">
        <f>-$K391*IFERROR(INDEX('[1]salary allocation'!$E$6:$J$22,MATCH($H391,'[1]salary allocation'!$D$6:$D$22,0),MATCH(R$3,'[1]salary allocation'!$E$3:$J$3,0)),0)</f>
        <v>0</v>
      </c>
      <c r="S391" s="15">
        <f>-$K391*IFERROR(INDEX('[1]salary allocation'!$E$6:$J$22,MATCH($H391,'[1]salary allocation'!$D$6:$D$22,0),MATCH(S$3,'[1]salary allocation'!$E$3:$J$3,0)),0)</f>
        <v>11771695.200000001</v>
      </c>
      <c r="T391" s="15">
        <f>-$K391*IFERROR(INDEX('[1]salary allocation'!$E$6:$J$22,MATCH($H391,'[1]salary allocation'!$D$6:$D$22,0),MATCH(T$3,'[1]salary allocation'!$E$3:$J$3,0)),0)</f>
        <v>11771695.200000001</v>
      </c>
      <c r="U391" s="15">
        <f>-$K391*IFERROR(INDEX('[1]salary allocation'!$E$6:$J$22,MATCH($H391,'[1]salary allocation'!$D$6:$D$22,0),MATCH(U$3,'[1]salary allocation'!$E$3:$J$3,0)),0)</f>
        <v>11771695.200000001</v>
      </c>
      <c r="V391" s="15">
        <f>-$K391*IFERROR(INDEX('[1]salary allocation'!$E$6:$J$22,MATCH($H391,'[1]salary allocation'!$D$6:$D$22,0),MATCH(V$3,'[1]salary allocation'!$E$3:$J$3,0)),0)</f>
        <v>0</v>
      </c>
      <c r="W391" s="15">
        <f>-$K391*IFERROR(INDEX('[1]salary allocation'!$E$6:$J$22,MATCH($H391,'[1]salary allocation'!$D$6:$D$22,0),MATCH(W$3,'[1]salary allocation'!$E$3:$J$3,0)),0)</f>
        <v>23543390.400000002</v>
      </c>
      <c r="X391" s="15">
        <f>-$K391*IFERROR(INDEX('[1]salary allocation'!$E$6:$J$22,MATCH($H391,'[1]salary allocation'!$D$6:$D$22,0),MATCH(X$3,'[1]salary allocation'!$E$3:$J$3,0)),0)</f>
        <v>0</v>
      </c>
      <c r="Y391" s="15">
        <f>-$K391*IFERROR(INDEX('[1]salary allocation'!$E$6:$J$22,MATCH($H391,'[1]salary allocation'!$D$6:$D$22,0),MATCH(Y$3,'[1]salary allocation'!$E$3:$J$3,0)),0)</f>
        <v>0</v>
      </c>
      <c r="Z391" s="15">
        <f>-$K391*IFERROR(INDEX('[1]salary allocation'!$E$6:$J$22,MATCH($H391,'[1]salary allocation'!$D$6:$D$22,0),MATCH(Z$3,'[1]salary allocation'!$E$3:$J$3,0)),0)</f>
        <v>0</v>
      </c>
      <c r="AA391" s="15">
        <f>-$K391*IFERROR(INDEX('[1]salary allocation'!$E$6:$J$22,MATCH($H391,'[1]salary allocation'!$D$6:$D$22,0),MATCH(AA$3,'[1]salary allocation'!$E$3:$J$3,0)),0)</f>
        <v>0</v>
      </c>
      <c r="AB391" s="15">
        <f>-$K391*IFERROR(INDEX('[1]salary allocation'!$E$6:$J$22,MATCH($H391,'[1]salary allocation'!$D$6:$D$22,0),MATCH(AB$3,'[1]salary allocation'!$E$3:$J$3,0)),0)</f>
        <v>0</v>
      </c>
      <c r="AC391" s="18">
        <f>-$K391*IFERROR(INDEX('[1]salary allocation'!$E$6:$J$22,MATCH($H391,'[1]salary allocation'!$D$6:$D$22,0),MATCH(AC$3,'[1]salary allocation'!$E$3:$J$3,0)),0)</f>
        <v>0</v>
      </c>
      <c r="AD391" s="17"/>
      <c r="AE391" s="16"/>
      <c r="AF391" s="15"/>
      <c r="AG391" s="15">
        <f>-$K391</f>
        <v>58858476</v>
      </c>
      <c r="AH391" s="2">
        <f>K391+SUM(O391:AC391)</f>
        <v>0</v>
      </c>
      <c r="AI391" s="2">
        <f>K391+SUM(AF391:AG391)</f>
        <v>0</v>
      </c>
    </row>
    <row r="392" spans="1:35" ht="17" x14ac:dyDescent="0.2">
      <c r="A392" s="11" t="s">
        <v>53</v>
      </c>
      <c r="B392" s="22" t="s">
        <v>486</v>
      </c>
      <c r="H392" s="40" t="s">
        <v>53</v>
      </c>
      <c r="I392" s="11" t="s">
        <v>495</v>
      </c>
      <c r="K392" s="13">
        <v>-48486396</v>
      </c>
      <c r="L392" s="12">
        <v>72025</v>
      </c>
      <c r="M392" s="11" t="s">
        <v>138</v>
      </c>
      <c r="N392" s="11" t="str">
        <f>M392</f>
        <v>VNOther</v>
      </c>
      <c r="O392" s="15">
        <f>-$K392*IFERROR(INDEX('[1]salary allocation'!$E$6:$J$22,MATCH($H392,'[1]salary allocation'!$D$6:$D$22,0),MATCH(O$3,'[1]salary allocation'!$E$3:$J$3,0)),0)</f>
        <v>0</v>
      </c>
      <c r="P392" s="15">
        <f>-$K392*IFERROR(INDEX('[1]salary allocation'!$E$6:$J$22,MATCH($H392,'[1]salary allocation'!$D$6:$D$22,0),MATCH(P$3,'[1]salary allocation'!$E$3:$J$3,0)),0)</f>
        <v>7272959.3999999994</v>
      </c>
      <c r="Q392" s="15">
        <f>-$K392*IFERROR(INDEX('[1]salary allocation'!$E$6:$J$22,MATCH($H392,'[1]salary allocation'!$D$6:$D$22,0),MATCH(Q$3,'[1]salary allocation'!$E$3:$J$3,0)),0)</f>
        <v>0</v>
      </c>
      <c r="R392" s="15">
        <f>-$K392*IFERROR(INDEX('[1]salary allocation'!$E$6:$J$22,MATCH($H392,'[1]salary allocation'!$D$6:$D$22,0),MATCH(R$3,'[1]salary allocation'!$E$3:$J$3,0)),0)</f>
        <v>0</v>
      </c>
      <c r="S392" s="15">
        <f>-$K392*IFERROR(INDEX('[1]salary allocation'!$E$6:$J$22,MATCH($H392,'[1]salary allocation'!$D$6:$D$22,0),MATCH(S$3,'[1]salary allocation'!$E$3:$J$3,0)),0)</f>
        <v>8242687.3199999994</v>
      </c>
      <c r="T392" s="15">
        <f>-$K392*IFERROR(INDEX('[1]salary allocation'!$E$6:$J$22,MATCH($H392,'[1]salary allocation'!$D$6:$D$22,0),MATCH(T$3,'[1]salary allocation'!$E$3:$J$3,0)),0)</f>
        <v>8242687.3199999994</v>
      </c>
      <c r="U392" s="15">
        <f>-$K392*IFERROR(INDEX('[1]salary allocation'!$E$6:$J$22,MATCH($H392,'[1]salary allocation'!$D$6:$D$22,0),MATCH(U$3,'[1]salary allocation'!$E$3:$J$3,0)),0)</f>
        <v>8242687.3199999994</v>
      </c>
      <c r="V392" s="15">
        <f>-$K392*IFERROR(INDEX('[1]salary allocation'!$E$6:$J$22,MATCH($H392,'[1]salary allocation'!$D$6:$D$22,0),MATCH(V$3,'[1]salary allocation'!$E$3:$J$3,0)),0)</f>
        <v>0</v>
      </c>
      <c r="W392" s="15">
        <f>-$K392*IFERROR(INDEX('[1]salary allocation'!$E$6:$J$22,MATCH($H392,'[1]salary allocation'!$D$6:$D$22,0),MATCH(W$3,'[1]salary allocation'!$E$3:$J$3,0)),0)</f>
        <v>16485374.639999999</v>
      </c>
      <c r="X392" s="15">
        <f>-$K392*IFERROR(INDEX('[1]salary allocation'!$E$6:$J$22,MATCH($H392,'[1]salary allocation'!$D$6:$D$22,0),MATCH(X$3,'[1]salary allocation'!$E$3:$J$3,0)),0)</f>
        <v>0</v>
      </c>
      <c r="Y392" s="15">
        <f>-$K392*IFERROR(INDEX('[1]salary allocation'!$E$6:$J$22,MATCH($H392,'[1]salary allocation'!$D$6:$D$22,0),MATCH(Y$3,'[1]salary allocation'!$E$3:$J$3,0)),0)</f>
        <v>0</v>
      </c>
      <c r="Z392" s="15">
        <f>-$K392*IFERROR(INDEX('[1]salary allocation'!$E$6:$J$22,MATCH($H392,'[1]salary allocation'!$D$6:$D$22,0),MATCH(Z$3,'[1]salary allocation'!$E$3:$J$3,0)),0)</f>
        <v>0</v>
      </c>
      <c r="AA392" s="15">
        <f>-$K392*IFERROR(INDEX('[1]salary allocation'!$E$6:$J$22,MATCH($H392,'[1]salary allocation'!$D$6:$D$22,0),MATCH(AA$3,'[1]salary allocation'!$E$3:$J$3,0)),0)</f>
        <v>0</v>
      </c>
      <c r="AB392" s="15">
        <f>-$K392*IFERROR(INDEX('[1]salary allocation'!$E$6:$J$22,MATCH($H392,'[1]salary allocation'!$D$6:$D$22,0),MATCH(AB$3,'[1]salary allocation'!$E$3:$J$3,0)),0)</f>
        <v>0</v>
      </c>
      <c r="AC392" s="18">
        <f>-$K392*IFERROR(INDEX('[1]salary allocation'!$E$6:$J$22,MATCH($H392,'[1]salary allocation'!$D$6:$D$22,0),MATCH(AC$3,'[1]salary allocation'!$E$3:$J$3,0)),0)</f>
        <v>0</v>
      </c>
      <c r="AD392" s="17"/>
      <c r="AE392" s="16"/>
      <c r="AF392" s="15">
        <f>-$K392</f>
        <v>48486396</v>
      </c>
      <c r="AG392" s="15"/>
      <c r="AH392" s="2">
        <f>K392+SUM(O392:AC392)</f>
        <v>0</v>
      </c>
      <c r="AI392" s="2">
        <f>K392+SUM(AF392:AG392)</f>
        <v>0</v>
      </c>
    </row>
    <row r="393" spans="1:35" ht="17" x14ac:dyDescent="0.2">
      <c r="A393" s="11" t="s">
        <v>51</v>
      </c>
      <c r="B393" s="22" t="s">
        <v>486</v>
      </c>
      <c r="H393" s="40" t="s">
        <v>51</v>
      </c>
      <c r="I393" s="11" t="s">
        <v>494</v>
      </c>
      <c r="K393" s="13">
        <v>-37246091</v>
      </c>
      <c r="L393" s="12">
        <v>72025</v>
      </c>
      <c r="M393" s="11" t="s">
        <v>138</v>
      </c>
      <c r="N393" s="11" t="str">
        <f>M393</f>
        <v>VNOther</v>
      </c>
      <c r="O393" s="15">
        <f>-$K393*IFERROR(INDEX('[1]salary allocation'!$E$6:$J$22,MATCH($H393,'[1]salary allocation'!$D$6:$D$22,0),MATCH(O$3,'[1]salary allocation'!$E$3:$J$3,0)),0)</f>
        <v>0</v>
      </c>
      <c r="P393" s="15">
        <f>-$K393*IFERROR(INDEX('[1]salary allocation'!$E$6:$J$22,MATCH($H393,'[1]salary allocation'!$D$6:$D$22,0),MATCH(P$3,'[1]salary allocation'!$E$3:$J$3,0)),0)</f>
        <v>18623045.5</v>
      </c>
      <c r="Q393" s="15">
        <f>-$K393*IFERROR(INDEX('[1]salary allocation'!$E$6:$J$22,MATCH($H393,'[1]salary allocation'!$D$6:$D$22,0),MATCH(Q$3,'[1]salary allocation'!$E$3:$J$3,0)),0)</f>
        <v>0</v>
      </c>
      <c r="R393" s="15">
        <f>-$K393*IFERROR(INDEX('[1]salary allocation'!$E$6:$J$22,MATCH($H393,'[1]salary allocation'!$D$6:$D$22,0),MATCH(R$3,'[1]salary allocation'!$E$3:$J$3,0)),0)</f>
        <v>0</v>
      </c>
      <c r="S393" s="15">
        <f>-$K393*IFERROR(INDEX('[1]salary allocation'!$E$6:$J$22,MATCH($H393,'[1]salary allocation'!$D$6:$D$22,0),MATCH(S$3,'[1]salary allocation'!$E$3:$J$3,0)),0)</f>
        <v>3724609.1</v>
      </c>
      <c r="T393" s="15">
        <f>-$K393*IFERROR(INDEX('[1]salary allocation'!$E$6:$J$22,MATCH($H393,'[1]salary allocation'!$D$6:$D$22,0),MATCH(T$3,'[1]salary allocation'!$E$3:$J$3,0)),0)</f>
        <v>3724609.1</v>
      </c>
      <c r="U393" s="15">
        <f>-$K393*IFERROR(INDEX('[1]salary allocation'!$E$6:$J$22,MATCH($H393,'[1]salary allocation'!$D$6:$D$22,0),MATCH(U$3,'[1]salary allocation'!$E$3:$J$3,0)),0)</f>
        <v>3724609.1</v>
      </c>
      <c r="V393" s="15">
        <f>-$K393*IFERROR(INDEX('[1]salary allocation'!$E$6:$J$22,MATCH($H393,'[1]salary allocation'!$D$6:$D$22,0),MATCH(V$3,'[1]salary allocation'!$E$3:$J$3,0)),0)</f>
        <v>0</v>
      </c>
      <c r="W393" s="15">
        <f>-$K393*IFERROR(INDEX('[1]salary allocation'!$E$6:$J$22,MATCH($H393,'[1]salary allocation'!$D$6:$D$22,0),MATCH(W$3,'[1]salary allocation'!$E$3:$J$3,0)),0)</f>
        <v>7449218.2000000002</v>
      </c>
      <c r="X393" s="15">
        <f>-$K393*IFERROR(INDEX('[1]salary allocation'!$E$6:$J$22,MATCH($H393,'[1]salary allocation'!$D$6:$D$22,0),MATCH(X$3,'[1]salary allocation'!$E$3:$J$3,0)),0)</f>
        <v>0</v>
      </c>
      <c r="Y393" s="15">
        <f>-$K393*IFERROR(INDEX('[1]salary allocation'!$E$6:$J$22,MATCH($H393,'[1]salary allocation'!$D$6:$D$22,0),MATCH(Y$3,'[1]salary allocation'!$E$3:$J$3,0)),0)</f>
        <v>0</v>
      </c>
      <c r="Z393" s="15">
        <f>-$K393*IFERROR(INDEX('[1]salary allocation'!$E$6:$J$22,MATCH($H393,'[1]salary allocation'!$D$6:$D$22,0),MATCH(Z$3,'[1]salary allocation'!$E$3:$J$3,0)),0)</f>
        <v>0</v>
      </c>
      <c r="AA393" s="15">
        <f>-$K393*IFERROR(INDEX('[1]salary allocation'!$E$6:$J$22,MATCH($H393,'[1]salary allocation'!$D$6:$D$22,0),MATCH(AA$3,'[1]salary allocation'!$E$3:$J$3,0)),0)</f>
        <v>0</v>
      </c>
      <c r="AB393" s="15">
        <f>-$K393*IFERROR(INDEX('[1]salary allocation'!$E$6:$J$22,MATCH($H393,'[1]salary allocation'!$D$6:$D$22,0),MATCH(AB$3,'[1]salary allocation'!$E$3:$J$3,0)),0)</f>
        <v>0</v>
      </c>
      <c r="AC393" s="18">
        <f>-$K393*IFERROR(INDEX('[1]salary allocation'!$E$6:$J$22,MATCH($H393,'[1]salary allocation'!$D$6:$D$22,0),MATCH(AC$3,'[1]salary allocation'!$E$3:$J$3,0)),0)</f>
        <v>0</v>
      </c>
      <c r="AD393" s="17"/>
      <c r="AE393" s="16"/>
      <c r="AF393" s="15">
        <f>-$K393</f>
        <v>37246091</v>
      </c>
      <c r="AG393" s="15"/>
      <c r="AH393" s="2">
        <f>K393+SUM(O393:AC393)</f>
        <v>0</v>
      </c>
      <c r="AI393" s="2">
        <f>K393+SUM(AF393:AG393)</f>
        <v>0</v>
      </c>
    </row>
    <row r="394" spans="1:35" ht="17" x14ac:dyDescent="0.2">
      <c r="A394" s="11" t="s">
        <v>49</v>
      </c>
      <c r="B394" s="22" t="s">
        <v>486</v>
      </c>
      <c r="H394" s="40" t="s">
        <v>49</v>
      </c>
      <c r="I394" s="11" t="s">
        <v>493</v>
      </c>
      <c r="K394" s="13">
        <v>-23764923</v>
      </c>
      <c r="L394" s="12">
        <v>72025</v>
      </c>
      <c r="M394" s="11" t="s">
        <v>181</v>
      </c>
      <c r="N394" s="11" t="str">
        <f>M394</f>
        <v>VNMOET</v>
      </c>
      <c r="O394" s="15">
        <f>-$K394*IFERROR(INDEX('[1]salary allocation'!$E$6:$J$22,MATCH($H394,'[1]salary allocation'!$D$6:$D$22,0),MATCH(O$3,'[1]salary allocation'!$E$3:$J$3,0)),0)</f>
        <v>0</v>
      </c>
      <c r="P394" s="15">
        <f>-$K394*IFERROR(INDEX('[1]salary allocation'!$E$6:$J$22,MATCH($H394,'[1]salary allocation'!$D$6:$D$22,0),MATCH(P$3,'[1]salary allocation'!$E$3:$J$3,0)),0)</f>
        <v>0</v>
      </c>
      <c r="Q394" s="15">
        <f>-$K394*IFERROR(INDEX('[1]salary allocation'!$E$6:$J$22,MATCH($H394,'[1]salary allocation'!$D$6:$D$22,0),MATCH(Q$3,'[1]salary allocation'!$E$3:$J$3,0)),0)</f>
        <v>0</v>
      </c>
      <c r="R394" s="15">
        <f>-$K394*IFERROR(INDEX('[1]salary allocation'!$E$6:$J$22,MATCH($H394,'[1]salary allocation'!$D$6:$D$22,0),MATCH(R$3,'[1]salary allocation'!$E$3:$J$3,0)),0)</f>
        <v>0</v>
      </c>
      <c r="S394" s="15">
        <f>-$K394*IFERROR(INDEX('[1]salary allocation'!$E$6:$J$22,MATCH($H394,'[1]salary allocation'!$D$6:$D$22,0),MATCH(S$3,'[1]salary allocation'!$E$3:$J$3,0)),0)</f>
        <v>4752984.6000000006</v>
      </c>
      <c r="T394" s="15">
        <f>-$K394*IFERROR(INDEX('[1]salary allocation'!$E$6:$J$22,MATCH($H394,'[1]salary allocation'!$D$6:$D$22,0),MATCH(T$3,'[1]salary allocation'!$E$3:$J$3,0)),0)</f>
        <v>4752984.6000000006</v>
      </c>
      <c r="U394" s="15">
        <f>-$K394*IFERROR(INDEX('[1]salary allocation'!$E$6:$J$22,MATCH($H394,'[1]salary allocation'!$D$6:$D$22,0),MATCH(U$3,'[1]salary allocation'!$E$3:$J$3,0)),0)</f>
        <v>4752984.6000000006</v>
      </c>
      <c r="V394" s="15">
        <f>-$K394*IFERROR(INDEX('[1]salary allocation'!$E$6:$J$22,MATCH($H394,'[1]salary allocation'!$D$6:$D$22,0),MATCH(V$3,'[1]salary allocation'!$E$3:$J$3,0)),0)</f>
        <v>0</v>
      </c>
      <c r="W394" s="15">
        <f>-$K394*IFERROR(INDEX('[1]salary allocation'!$E$6:$J$22,MATCH($H394,'[1]salary allocation'!$D$6:$D$22,0),MATCH(W$3,'[1]salary allocation'!$E$3:$J$3,0)),0)</f>
        <v>9505969.2000000011</v>
      </c>
      <c r="X394" s="15">
        <f>-$K394*IFERROR(INDEX('[1]salary allocation'!$E$6:$J$22,MATCH($H394,'[1]salary allocation'!$D$6:$D$22,0),MATCH(X$3,'[1]salary allocation'!$E$3:$J$3,0)),0)</f>
        <v>0</v>
      </c>
      <c r="Y394" s="15">
        <f>-$K394*IFERROR(INDEX('[1]salary allocation'!$E$6:$J$22,MATCH($H394,'[1]salary allocation'!$D$6:$D$22,0),MATCH(Y$3,'[1]salary allocation'!$E$3:$J$3,0)),0)</f>
        <v>0</v>
      </c>
      <c r="Z394" s="15">
        <f>-$K394*IFERROR(INDEX('[1]salary allocation'!$E$6:$J$22,MATCH($H394,'[1]salary allocation'!$D$6:$D$22,0),MATCH(Z$3,'[1]salary allocation'!$E$3:$J$3,0)),0)</f>
        <v>0</v>
      </c>
      <c r="AA394" s="15">
        <f>-$K394*IFERROR(INDEX('[1]salary allocation'!$E$6:$J$22,MATCH($H394,'[1]salary allocation'!$D$6:$D$22,0),MATCH(AA$3,'[1]salary allocation'!$E$3:$J$3,0)),0)</f>
        <v>0</v>
      </c>
      <c r="AB394" s="15">
        <f>-$K394*IFERROR(INDEX('[1]salary allocation'!$E$6:$J$22,MATCH($H394,'[1]salary allocation'!$D$6:$D$22,0),MATCH(AB$3,'[1]salary allocation'!$E$3:$J$3,0)),0)</f>
        <v>0</v>
      </c>
      <c r="AC394" s="18">
        <f>-$K394*IFERROR(INDEX('[1]salary allocation'!$E$6:$J$22,MATCH($H394,'[1]salary allocation'!$D$6:$D$22,0),MATCH(AC$3,'[1]salary allocation'!$E$3:$J$3,0)),0)</f>
        <v>0</v>
      </c>
      <c r="AD394" s="17"/>
      <c r="AE394" s="16"/>
      <c r="AF394" s="15"/>
      <c r="AG394" s="15">
        <f>-K394</f>
        <v>23764923</v>
      </c>
      <c r="AH394" s="2">
        <f>K394+SUM(O394:AC394)</f>
        <v>0</v>
      </c>
      <c r="AI394" s="2">
        <f>K394+SUM(AF394:AG394)</f>
        <v>0</v>
      </c>
    </row>
    <row r="395" spans="1:35" ht="17" x14ac:dyDescent="0.2">
      <c r="A395" s="11" t="s">
        <v>47</v>
      </c>
      <c r="B395" s="22" t="s">
        <v>486</v>
      </c>
      <c r="H395" s="40" t="s">
        <v>47</v>
      </c>
      <c r="I395" s="11" t="s">
        <v>492</v>
      </c>
      <c r="K395" s="13">
        <v>-54767577</v>
      </c>
      <c r="L395" s="12">
        <v>72025</v>
      </c>
      <c r="M395" s="11" t="s">
        <v>490</v>
      </c>
      <c r="N395" s="11" t="str">
        <f>M395</f>
        <v>VNHBC</v>
      </c>
      <c r="O395" s="15">
        <f>-$K395*IFERROR(INDEX('[1]salary allocation'!$E$6:$J$22,MATCH($H395,'[1]salary allocation'!$D$6:$D$22,0),MATCH(O$3,'[1]salary allocation'!$E$3:$J$3,0)),0)</f>
        <v>0</v>
      </c>
      <c r="P395" s="15">
        <f>-$K395*IFERROR(INDEX('[1]salary allocation'!$E$6:$J$22,MATCH($H395,'[1]salary allocation'!$D$6:$D$22,0),MATCH(P$3,'[1]salary allocation'!$E$3:$J$3,0)),0)</f>
        <v>0</v>
      </c>
      <c r="Q395" s="15">
        <f>-$K395*IFERROR(INDEX('[1]salary allocation'!$E$6:$J$22,MATCH($H395,'[1]salary allocation'!$D$6:$D$22,0),MATCH(Q$3,'[1]salary allocation'!$E$3:$J$3,0)),0)</f>
        <v>0</v>
      </c>
      <c r="R395" s="15">
        <f>-$K395*IFERROR(INDEX('[1]salary allocation'!$E$6:$J$22,MATCH($H395,'[1]salary allocation'!$D$6:$D$22,0),MATCH(R$3,'[1]salary allocation'!$E$3:$J$3,0)),0)</f>
        <v>0</v>
      </c>
      <c r="S395" s="15">
        <f>-$K395*IFERROR(INDEX('[1]salary allocation'!$E$6:$J$22,MATCH($H395,'[1]salary allocation'!$D$6:$D$22,0),MATCH(S$3,'[1]salary allocation'!$E$3:$J$3,0)),0)</f>
        <v>10953515.4</v>
      </c>
      <c r="T395" s="15">
        <f>-$K395*IFERROR(INDEX('[1]salary allocation'!$E$6:$J$22,MATCH($H395,'[1]salary allocation'!$D$6:$D$22,0),MATCH(T$3,'[1]salary allocation'!$E$3:$J$3,0)),0)</f>
        <v>10953515.4</v>
      </c>
      <c r="U395" s="15">
        <f>-$K395*IFERROR(INDEX('[1]salary allocation'!$E$6:$J$22,MATCH($H395,'[1]salary allocation'!$D$6:$D$22,0),MATCH(U$3,'[1]salary allocation'!$E$3:$J$3,0)),0)</f>
        <v>10953515.4</v>
      </c>
      <c r="V395" s="15">
        <f>-$K395*IFERROR(INDEX('[1]salary allocation'!$E$6:$J$22,MATCH($H395,'[1]salary allocation'!$D$6:$D$22,0),MATCH(V$3,'[1]salary allocation'!$E$3:$J$3,0)),0)</f>
        <v>0</v>
      </c>
      <c r="W395" s="15">
        <f>-$K395*IFERROR(INDEX('[1]salary allocation'!$E$6:$J$22,MATCH($H395,'[1]salary allocation'!$D$6:$D$22,0),MATCH(W$3,'[1]salary allocation'!$E$3:$J$3,0)),0)</f>
        <v>21907030.800000001</v>
      </c>
      <c r="X395" s="15">
        <f>-$K395*IFERROR(INDEX('[1]salary allocation'!$E$6:$J$22,MATCH($H395,'[1]salary allocation'!$D$6:$D$22,0),MATCH(X$3,'[1]salary allocation'!$E$3:$J$3,0)),0)</f>
        <v>0</v>
      </c>
      <c r="Y395" s="15">
        <f>-$K395*IFERROR(INDEX('[1]salary allocation'!$E$6:$J$22,MATCH($H395,'[1]salary allocation'!$D$6:$D$22,0),MATCH(Y$3,'[1]salary allocation'!$E$3:$J$3,0)),0)</f>
        <v>0</v>
      </c>
      <c r="Z395" s="15">
        <f>-$K395*IFERROR(INDEX('[1]salary allocation'!$E$6:$J$22,MATCH($H395,'[1]salary allocation'!$D$6:$D$22,0),MATCH(Z$3,'[1]salary allocation'!$E$3:$J$3,0)),0)</f>
        <v>0</v>
      </c>
      <c r="AA395" s="15">
        <f>-$K395*IFERROR(INDEX('[1]salary allocation'!$E$6:$J$22,MATCH($H395,'[1]salary allocation'!$D$6:$D$22,0),MATCH(AA$3,'[1]salary allocation'!$E$3:$J$3,0)),0)</f>
        <v>0</v>
      </c>
      <c r="AB395" s="15">
        <f>-$K395*IFERROR(INDEX('[1]salary allocation'!$E$6:$J$22,MATCH($H395,'[1]salary allocation'!$D$6:$D$22,0),MATCH(AB$3,'[1]salary allocation'!$E$3:$J$3,0)),0)</f>
        <v>0</v>
      </c>
      <c r="AC395" s="18">
        <f>-$K395*IFERROR(INDEX('[1]salary allocation'!$E$6:$J$22,MATCH($H395,'[1]salary allocation'!$D$6:$D$22,0),MATCH(AC$3,'[1]salary allocation'!$E$3:$J$3,0)),0)</f>
        <v>0</v>
      </c>
      <c r="AD395" s="17"/>
      <c r="AE395" s="16"/>
      <c r="AF395" s="15">
        <f>-$K395</f>
        <v>54767577</v>
      </c>
      <c r="AG395" s="15"/>
      <c r="AH395" s="2">
        <f>K395+SUM(O395:AC395)</f>
        <v>0</v>
      </c>
      <c r="AI395" s="2">
        <f>K395+SUM(AF395:AG395)</f>
        <v>0</v>
      </c>
    </row>
    <row r="396" spans="1:35" ht="17" x14ac:dyDescent="0.2">
      <c r="A396" s="11" t="s">
        <v>45</v>
      </c>
      <c r="B396" s="22" t="s">
        <v>486</v>
      </c>
      <c r="H396" s="40" t="s">
        <v>45</v>
      </c>
      <c r="I396" s="11" t="s">
        <v>491</v>
      </c>
      <c r="K396" s="13">
        <v>-17982098</v>
      </c>
      <c r="L396" s="12">
        <v>72025</v>
      </c>
      <c r="M396" s="11" t="s">
        <v>490</v>
      </c>
      <c r="N396" s="11" t="str">
        <f>M396</f>
        <v>VNHBC</v>
      </c>
      <c r="O396" s="15">
        <f>-$K396*IFERROR(INDEX('[1]salary allocation'!$E$6:$J$22,MATCH($H396,'[1]salary allocation'!$D$6:$D$22,0),MATCH(O$3,'[1]salary allocation'!$E$3:$J$3,0)),0)</f>
        <v>0</v>
      </c>
      <c r="P396" s="15">
        <f>-$K396*IFERROR(INDEX('[1]salary allocation'!$E$6:$J$22,MATCH($H396,'[1]salary allocation'!$D$6:$D$22,0),MATCH(P$3,'[1]salary allocation'!$E$3:$J$3,0)),0)</f>
        <v>0</v>
      </c>
      <c r="Q396" s="15">
        <f>-$K396*IFERROR(INDEX('[1]salary allocation'!$E$6:$J$22,MATCH($H396,'[1]salary allocation'!$D$6:$D$22,0),MATCH(Q$3,'[1]salary allocation'!$E$3:$J$3,0)),0)</f>
        <v>0</v>
      </c>
      <c r="R396" s="15">
        <f>-$K396*IFERROR(INDEX('[1]salary allocation'!$E$6:$J$22,MATCH($H396,'[1]salary allocation'!$D$6:$D$22,0),MATCH(R$3,'[1]salary allocation'!$E$3:$J$3,0)),0)</f>
        <v>0</v>
      </c>
      <c r="S396" s="15">
        <f>-$K396*IFERROR(INDEX('[1]salary allocation'!$E$6:$J$22,MATCH($H396,'[1]salary allocation'!$D$6:$D$22,0),MATCH(S$3,'[1]salary allocation'!$E$3:$J$3,0)),0)</f>
        <v>3596419.6</v>
      </c>
      <c r="T396" s="15">
        <f>-$K396*IFERROR(INDEX('[1]salary allocation'!$E$6:$J$22,MATCH($H396,'[1]salary allocation'!$D$6:$D$22,0),MATCH(T$3,'[1]salary allocation'!$E$3:$J$3,0)),0)</f>
        <v>3596419.6</v>
      </c>
      <c r="U396" s="15">
        <f>-$K396*IFERROR(INDEX('[1]salary allocation'!$E$6:$J$22,MATCH($H396,'[1]salary allocation'!$D$6:$D$22,0),MATCH(U$3,'[1]salary allocation'!$E$3:$J$3,0)),0)</f>
        <v>3596419.6</v>
      </c>
      <c r="V396" s="15">
        <f>-$K396*IFERROR(INDEX('[1]salary allocation'!$E$6:$J$22,MATCH($H396,'[1]salary allocation'!$D$6:$D$22,0),MATCH(V$3,'[1]salary allocation'!$E$3:$J$3,0)),0)</f>
        <v>0</v>
      </c>
      <c r="W396" s="15">
        <f>-$K396*IFERROR(INDEX('[1]salary allocation'!$E$6:$J$22,MATCH($H396,'[1]salary allocation'!$D$6:$D$22,0),MATCH(W$3,'[1]salary allocation'!$E$3:$J$3,0)),0)</f>
        <v>7192839.2000000002</v>
      </c>
      <c r="X396" s="15">
        <f>-$K396*IFERROR(INDEX('[1]salary allocation'!$E$6:$J$22,MATCH($H396,'[1]salary allocation'!$D$6:$D$22,0),MATCH(X$3,'[1]salary allocation'!$E$3:$J$3,0)),0)</f>
        <v>0</v>
      </c>
      <c r="Y396" s="15">
        <f>-$K396*IFERROR(INDEX('[1]salary allocation'!$E$6:$J$22,MATCH($H396,'[1]salary allocation'!$D$6:$D$22,0),MATCH(Y$3,'[1]salary allocation'!$E$3:$J$3,0)),0)</f>
        <v>0</v>
      </c>
      <c r="Z396" s="15">
        <f>-$K396*IFERROR(INDEX('[1]salary allocation'!$E$6:$J$22,MATCH($H396,'[1]salary allocation'!$D$6:$D$22,0),MATCH(Z$3,'[1]salary allocation'!$E$3:$J$3,0)),0)</f>
        <v>0</v>
      </c>
      <c r="AA396" s="15">
        <f>-$K396*IFERROR(INDEX('[1]salary allocation'!$E$6:$J$22,MATCH($H396,'[1]salary allocation'!$D$6:$D$22,0),MATCH(AA$3,'[1]salary allocation'!$E$3:$J$3,0)),0)</f>
        <v>0</v>
      </c>
      <c r="AB396" s="15">
        <f>-$K396*IFERROR(INDEX('[1]salary allocation'!$E$6:$J$22,MATCH($H396,'[1]salary allocation'!$D$6:$D$22,0),MATCH(AB$3,'[1]salary allocation'!$E$3:$J$3,0)),0)</f>
        <v>0</v>
      </c>
      <c r="AC396" s="18">
        <f>-$K396*IFERROR(INDEX('[1]salary allocation'!$E$6:$J$22,MATCH($H396,'[1]salary allocation'!$D$6:$D$22,0),MATCH(AC$3,'[1]salary allocation'!$E$3:$J$3,0)),0)</f>
        <v>0</v>
      </c>
      <c r="AD396" s="17"/>
      <c r="AE396" s="16"/>
      <c r="AF396" s="15"/>
      <c r="AG396" s="15">
        <f>-K396</f>
        <v>17982098</v>
      </c>
      <c r="AH396" s="2">
        <f>K396+SUM(O396:AC396)</f>
        <v>0</v>
      </c>
      <c r="AI396" s="2">
        <f>K396+SUM(AF396:AG396)</f>
        <v>0</v>
      </c>
    </row>
    <row r="397" spans="1:35" ht="17" x14ac:dyDescent="0.2">
      <c r="A397" s="11" t="s">
        <v>43</v>
      </c>
      <c r="B397" s="22" t="s">
        <v>486</v>
      </c>
      <c r="H397" s="40" t="s">
        <v>43</v>
      </c>
      <c r="I397" s="11" t="s">
        <v>489</v>
      </c>
      <c r="K397" s="13">
        <v>-44090595</v>
      </c>
      <c r="L397" s="12">
        <v>72025</v>
      </c>
      <c r="M397" s="11" t="s">
        <v>181</v>
      </c>
      <c r="N397" s="11" t="str">
        <f>M397</f>
        <v>VNMOET</v>
      </c>
      <c r="O397" s="15">
        <f>-$K397*IFERROR(INDEX('[1]salary allocation'!$E$6:$J$22,MATCH($H397,'[1]salary allocation'!$D$6:$D$22,0),MATCH(O$3,'[1]salary allocation'!$E$3:$J$3,0)),0)</f>
        <v>0</v>
      </c>
      <c r="P397" s="15">
        <f>-$K397*IFERROR(INDEX('[1]salary allocation'!$E$6:$J$22,MATCH($H397,'[1]salary allocation'!$D$6:$D$22,0),MATCH(P$3,'[1]salary allocation'!$E$3:$J$3,0)),0)</f>
        <v>0</v>
      </c>
      <c r="Q397" s="15">
        <f>-$K397*IFERROR(INDEX('[1]salary allocation'!$E$6:$J$22,MATCH($H397,'[1]salary allocation'!$D$6:$D$22,0),MATCH(Q$3,'[1]salary allocation'!$E$3:$J$3,0)),0)</f>
        <v>0</v>
      </c>
      <c r="R397" s="15">
        <f>-$K397*IFERROR(INDEX('[1]salary allocation'!$E$6:$J$22,MATCH($H397,'[1]salary allocation'!$D$6:$D$22,0),MATCH(R$3,'[1]salary allocation'!$E$3:$J$3,0)),0)</f>
        <v>0</v>
      </c>
      <c r="S397" s="15">
        <f>-$K397*IFERROR(INDEX('[1]salary allocation'!$E$6:$J$22,MATCH($H397,'[1]salary allocation'!$D$6:$D$22,0),MATCH(S$3,'[1]salary allocation'!$E$3:$J$3,0)),0)</f>
        <v>8818119</v>
      </c>
      <c r="T397" s="15">
        <f>-$K397*IFERROR(INDEX('[1]salary allocation'!$E$6:$J$22,MATCH($H397,'[1]salary allocation'!$D$6:$D$22,0),MATCH(T$3,'[1]salary allocation'!$E$3:$J$3,0)),0)</f>
        <v>8818119</v>
      </c>
      <c r="U397" s="15">
        <f>-$K397*IFERROR(INDEX('[1]salary allocation'!$E$6:$J$22,MATCH($H397,'[1]salary allocation'!$D$6:$D$22,0),MATCH(U$3,'[1]salary allocation'!$E$3:$J$3,0)),0)</f>
        <v>8818119</v>
      </c>
      <c r="V397" s="15">
        <f>-$K397*IFERROR(INDEX('[1]salary allocation'!$E$6:$J$22,MATCH($H397,'[1]salary allocation'!$D$6:$D$22,0),MATCH(V$3,'[1]salary allocation'!$E$3:$J$3,0)),0)</f>
        <v>0</v>
      </c>
      <c r="W397" s="15">
        <f>-$K397*IFERROR(INDEX('[1]salary allocation'!$E$6:$J$22,MATCH($H397,'[1]salary allocation'!$D$6:$D$22,0),MATCH(W$3,'[1]salary allocation'!$E$3:$J$3,0)),0)</f>
        <v>17636238</v>
      </c>
      <c r="X397" s="15">
        <f>-$K397*IFERROR(INDEX('[1]salary allocation'!$E$6:$J$22,MATCH($H397,'[1]salary allocation'!$D$6:$D$22,0),MATCH(X$3,'[1]salary allocation'!$E$3:$J$3,0)),0)</f>
        <v>0</v>
      </c>
      <c r="Y397" s="15">
        <f>-$K397*IFERROR(INDEX('[1]salary allocation'!$E$6:$J$22,MATCH($H397,'[1]salary allocation'!$D$6:$D$22,0),MATCH(Y$3,'[1]salary allocation'!$E$3:$J$3,0)),0)</f>
        <v>0</v>
      </c>
      <c r="Z397" s="15">
        <f>-$K397*IFERROR(INDEX('[1]salary allocation'!$E$6:$J$22,MATCH($H397,'[1]salary allocation'!$D$6:$D$22,0),MATCH(Z$3,'[1]salary allocation'!$E$3:$J$3,0)),0)</f>
        <v>0</v>
      </c>
      <c r="AA397" s="15">
        <f>-$K397*IFERROR(INDEX('[1]salary allocation'!$E$6:$J$22,MATCH($H397,'[1]salary allocation'!$D$6:$D$22,0),MATCH(AA$3,'[1]salary allocation'!$E$3:$J$3,0)),0)</f>
        <v>0</v>
      </c>
      <c r="AB397" s="15">
        <f>-$K397*IFERROR(INDEX('[1]salary allocation'!$E$6:$J$22,MATCH($H397,'[1]salary allocation'!$D$6:$D$22,0),MATCH(AB$3,'[1]salary allocation'!$E$3:$J$3,0)),0)</f>
        <v>0</v>
      </c>
      <c r="AC397" s="18">
        <f>-$K397*IFERROR(INDEX('[1]salary allocation'!$E$6:$J$22,MATCH($H397,'[1]salary allocation'!$D$6:$D$22,0),MATCH(AC$3,'[1]salary allocation'!$E$3:$J$3,0)),0)</f>
        <v>0</v>
      </c>
      <c r="AD397" s="17"/>
      <c r="AE397" s="16"/>
      <c r="AF397" s="15">
        <f>-$K397</f>
        <v>44090595</v>
      </c>
      <c r="AG397" s="15"/>
      <c r="AH397" s="2">
        <f>K397+SUM(O397:AC397)</f>
        <v>0</v>
      </c>
      <c r="AI397" s="2">
        <f>K397+SUM(AF397:AG397)</f>
        <v>0</v>
      </c>
    </row>
    <row r="398" spans="1:35" ht="17" x14ac:dyDescent="0.2">
      <c r="A398" s="11" t="s">
        <v>41</v>
      </c>
      <c r="B398" s="22" t="s">
        <v>486</v>
      </c>
      <c r="H398" s="40" t="s">
        <v>41</v>
      </c>
      <c r="I398" s="11" t="s">
        <v>488</v>
      </c>
      <c r="K398" s="13">
        <v>-42035963</v>
      </c>
      <c r="L398" s="12">
        <v>72025</v>
      </c>
      <c r="M398" s="11" t="s">
        <v>181</v>
      </c>
      <c r="N398" s="11" t="str">
        <f>M398</f>
        <v>VNMOET</v>
      </c>
      <c r="O398" s="15">
        <f>-$K398*IFERROR(INDEX('[1]salary allocation'!$E$6:$J$22,MATCH($H398,'[1]salary allocation'!$D$6:$D$22,0),MATCH(O$3,'[1]salary allocation'!$E$3:$J$3,0)),0)</f>
        <v>0</v>
      </c>
      <c r="P398" s="15">
        <f>-$K398*IFERROR(INDEX('[1]salary allocation'!$E$6:$J$22,MATCH($H398,'[1]salary allocation'!$D$6:$D$22,0),MATCH(P$3,'[1]salary allocation'!$E$3:$J$3,0)),0)</f>
        <v>0</v>
      </c>
      <c r="Q398" s="15">
        <f>-$K398*IFERROR(INDEX('[1]salary allocation'!$E$6:$J$22,MATCH($H398,'[1]salary allocation'!$D$6:$D$22,0),MATCH(Q$3,'[1]salary allocation'!$E$3:$J$3,0)),0)</f>
        <v>0</v>
      </c>
      <c r="R398" s="15">
        <f>-$K398*IFERROR(INDEX('[1]salary allocation'!$E$6:$J$22,MATCH($H398,'[1]salary allocation'!$D$6:$D$22,0),MATCH(R$3,'[1]salary allocation'!$E$3:$J$3,0)),0)</f>
        <v>0</v>
      </c>
      <c r="S398" s="15">
        <f>-$K398*IFERROR(INDEX('[1]salary allocation'!$E$6:$J$22,MATCH($H398,'[1]salary allocation'!$D$6:$D$22,0),MATCH(S$3,'[1]salary allocation'!$E$3:$J$3,0)),0)</f>
        <v>0</v>
      </c>
      <c r="T398" s="15">
        <f>-$K398*IFERROR(INDEX('[1]salary allocation'!$E$6:$J$22,MATCH($H398,'[1]salary allocation'!$D$6:$D$22,0),MATCH(T$3,'[1]salary allocation'!$E$3:$J$3,0)),0)</f>
        <v>0</v>
      </c>
      <c r="U398" s="15">
        <f>-$K398*IFERROR(INDEX('[1]salary allocation'!$E$6:$J$22,MATCH($H398,'[1]salary allocation'!$D$6:$D$22,0),MATCH(U$3,'[1]salary allocation'!$E$3:$J$3,0)),0)</f>
        <v>0</v>
      </c>
      <c r="V398" s="15">
        <f>-$K398*IFERROR(INDEX('[1]salary allocation'!$E$6:$J$22,MATCH($H398,'[1]salary allocation'!$D$6:$D$22,0),MATCH(V$3,'[1]salary allocation'!$E$3:$J$3,0)),0)</f>
        <v>0</v>
      </c>
      <c r="W398" s="15">
        <f>-$K398*IFERROR(INDEX('[1]salary allocation'!$E$6:$J$22,MATCH($H398,'[1]salary allocation'!$D$6:$D$22,0),MATCH(W$3,'[1]salary allocation'!$E$3:$J$3,0)),0)</f>
        <v>42035963</v>
      </c>
      <c r="X398" s="15">
        <f>-$K398*IFERROR(INDEX('[1]salary allocation'!$E$6:$J$22,MATCH($H398,'[1]salary allocation'!$D$6:$D$22,0),MATCH(X$3,'[1]salary allocation'!$E$3:$J$3,0)),0)</f>
        <v>0</v>
      </c>
      <c r="Y398" s="15">
        <f>-$K398*IFERROR(INDEX('[1]salary allocation'!$E$6:$J$22,MATCH($H398,'[1]salary allocation'!$D$6:$D$22,0),MATCH(Y$3,'[1]salary allocation'!$E$3:$J$3,0)),0)</f>
        <v>0</v>
      </c>
      <c r="Z398" s="15">
        <f>-$K398*IFERROR(INDEX('[1]salary allocation'!$E$6:$J$22,MATCH($H398,'[1]salary allocation'!$D$6:$D$22,0),MATCH(Z$3,'[1]salary allocation'!$E$3:$J$3,0)),0)</f>
        <v>0</v>
      </c>
      <c r="AA398" s="15">
        <f>-$K398*IFERROR(INDEX('[1]salary allocation'!$E$6:$J$22,MATCH($H398,'[1]salary allocation'!$D$6:$D$22,0),MATCH(AA$3,'[1]salary allocation'!$E$3:$J$3,0)),0)</f>
        <v>0</v>
      </c>
      <c r="AB398" s="15">
        <f>-$K398*IFERROR(INDEX('[1]salary allocation'!$E$6:$J$22,MATCH($H398,'[1]salary allocation'!$D$6:$D$22,0),MATCH(AB$3,'[1]salary allocation'!$E$3:$J$3,0)),0)</f>
        <v>0</v>
      </c>
      <c r="AC398" s="18">
        <f>-$K398*IFERROR(INDEX('[1]salary allocation'!$E$6:$J$22,MATCH($H398,'[1]salary allocation'!$D$6:$D$22,0),MATCH(AC$3,'[1]salary allocation'!$E$3:$J$3,0)),0)</f>
        <v>0</v>
      </c>
      <c r="AD398" s="17"/>
      <c r="AE398" s="16"/>
      <c r="AF398" s="15">
        <f>-$K398</f>
        <v>42035963</v>
      </c>
      <c r="AG398" s="15"/>
      <c r="AH398" s="2">
        <f>K398+SUM(O398:AC398)</f>
        <v>0</v>
      </c>
      <c r="AI398" s="2">
        <f>K398+SUM(AF398:AG398)</f>
        <v>0</v>
      </c>
    </row>
    <row r="399" spans="1:35" ht="17" x14ac:dyDescent="0.2">
      <c r="A399" s="11" t="s">
        <v>39</v>
      </c>
      <c r="B399" s="22" t="s">
        <v>486</v>
      </c>
      <c r="H399" s="40" t="s">
        <v>39</v>
      </c>
      <c r="I399" s="11" t="s">
        <v>487</v>
      </c>
      <c r="K399" s="13">
        <v>-44090595</v>
      </c>
      <c r="L399" s="12">
        <v>72025</v>
      </c>
      <c r="M399" s="11" t="s">
        <v>181</v>
      </c>
      <c r="N399" s="11" t="str">
        <f>M399</f>
        <v>VNMOET</v>
      </c>
      <c r="O399" s="15">
        <f>-$K399*IFERROR(INDEX('[1]salary allocation'!$E$6:$J$22,MATCH($H399,'[1]salary allocation'!$D$6:$D$22,0),MATCH(O$3,'[1]salary allocation'!$E$3:$J$3,0)),0)</f>
        <v>0</v>
      </c>
      <c r="P399" s="15">
        <f>-$K399*IFERROR(INDEX('[1]salary allocation'!$E$6:$J$22,MATCH($H399,'[1]salary allocation'!$D$6:$D$22,0),MATCH(P$3,'[1]salary allocation'!$E$3:$J$3,0)),0)</f>
        <v>0</v>
      </c>
      <c r="Q399" s="15">
        <f>-$K399*IFERROR(INDEX('[1]salary allocation'!$E$6:$J$22,MATCH($H399,'[1]salary allocation'!$D$6:$D$22,0),MATCH(Q$3,'[1]salary allocation'!$E$3:$J$3,0)),0)</f>
        <v>0</v>
      </c>
      <c r="R399" s="15">
        <f>-$K399*IFERROR(INDEX('[1]salary allocation'!$E$6:$J$22,MATCH($H399,'[1]salary allocation'!$D$6:$D$22,0),MATCH(R$3,'[1]salary allocation'!$E$3:$J$3,0)),0)</f>
        <v>0</v>
      </c>
      <c r="S399" s="15">
        <f>-$K399*IFERROR(INDEX('[1]salary allocation'!$E$6:$J$22,MATCH($H399,'[1]salary allocation'!$D$6:$D$22,0),MATCH(S$3,'[1]salary allocation'!$E$3:$J$3,0)),0)</f>
        <v>0</v>
      </c>
      <c r="T399" s="15">
        <f>-$K399*IFERROR(INDEX('[1]salary allocation'!$E$6:$J$22,MATCH($H399,'[1]salary allocation'!$D$6:$D$22,0),MATCH(T$3,'[1]salary allocation'!$E$3:$J$3,0)),0)</f>
        <v>0</v>
      </c>
      <c r="U399" s="15">
        <f>-$K399*IFERROR(INDEX('[1]salary allocation'!$E$6:$J$22,MATCH($H399,'[1]salary allocation'!$D$6:$D$22,0),MATCH(U$3,'[1]salary allocation'!$E$3:$J$3,0)),0)</f>
        <v>0</v>
      </c>
      <c r="V399" s="15">
        <f>-$K399*IFERROR(INDEX('[1]salary allocation'!$E$6:$J$22,MATCH($H399,'[1]salary allocation'!$D$6:$D$22,0),MATCH(V$3,'[1]salary allocation'!$E$3:$J$3,0)),0)</f>
        <v>0</v>
      </c>
      <c r="W399" s="15">
        <f>-$K399*IFERROR(INDEX('[1]salary allocation'!$E$6:$J$22,MATCH($H399,'[1]salary allocation'!$D$6:$D$22,0),MATCH(W$3,'[1]salary allocation'!$E$3:$J$3,0)),0)</f>
        <v>44090595</v>
      </c>
      <c r="X399" s="15">
        <f>-$K399*IFERROR(INDEX('[1]salary allocation'!$E$6:$J$22,MATCH($H399,'[1]salary allocation'!$D$6:$D$22,0),MATCH(X$3,'[1]salary allocation'!$E$3:$J$3,0)),0)</f>
        <v>0</v>
      </c>
      <c r="Y399" s="15">
        <f>-$K399*IFERROR(INDEX('[1]salary allocation'!$E$6:$J$22,MATCH($H399,'[1]salary allocation'!$D$6:$D$22,0),MATCH(Y$3,'[1]salary allocation'!$E$3:$J$3,0)),0)</f>
        <v>0</v>
      </c>
      <c r="Z399" s="15">
        <f>-$K399*IFERROR(INDEX('[1]salary allocation'!$E$6:$J$22,MATCH($H399,'[1]salary allocation'!$D$6:$D$22,0),MATCH(Z$3,'[1]salary allocation'!$E$3:$J$3,0)),0)</f>
        <v>0</v>
      </c>
      <c r="AA399" s="15">
        <f>-$K399*IFERROR(INDEX('[1]salary allocation'!$E$6:$J$22,MATCH($H399,'[1]salary allocation'!$D$6:$D$22,0),MATCH(AA$3,'[1]salary allocation'!$E$3:$J$3,0)),0)</f>
        <v>0</v>
      </c>
      <c r="AB399" s="15">
        <f>-$K399*IFERROR(INDEX('[1]salary allocation'!$E$6:$J$22,MATCH($H399,'[1]salary allocation'!$D$6:$D$22,0),MATCH(AB$3,'[1]salary allocation'!$E$3:$J$3,0)),0)</f>
        <v>0</v>
      </c>
      <c r="AC399" s="18">
        <f>-$K399*IFERROR(INDEX('[1]salary allocation'!$E$6:$J$22,MATCH($H399,'[1]salary allocation'!$D$6:$D$22,0),MATCH(AC$3,'[1]salary allocation'!$E$3:$J$3,0)),0)</f>
        <v>0</v>
      </c>
      <c r="AD399" s="17"/>
      <c r="AE399" s="16"/>
      <c r="AF399" s="15">
        <f>-$K399</f>
        <v>44090595</v>
      </c>
      <c r="AG399" s="15"/>
      <c r="AH399" s="2">
        <f>K399+SUM(O399:AC399)</f>
        <v>0</v>
      </c>
      <c r="AI399" s="2">
        <f>K399+SUM(AF399:AG399)</f>
        <v>0</v>
      </c>
    </row>
    <row r="400" spans="1:35" ht="17" x14ac:dyDescent="0.2">
      <c r="A400" s="11" t="s">
        <v>110</v>
      </c>
      <c r="B400" s="22" t="s">
        <v>486</v>
      </c>
      <c r="H400" s="40" t="s">
        <v>110</v>
      </c>
      <c r="I400" s="11" t="s">
        <v>485</v>
      </c>
      <c r="K400" s="13">
        <v>-7258410</v>
      </c>
      <c r="L400" s="12">
        <v>72025</v>
      </c>
      <c r="M400" s="11" t="s">
        <v>138</v>
      </c>
      <c r="N400" s="11" t="str">
        <f>M400</f>
        <v>VNOther</v>
      </c>
      <c r="O400" s="15">
        <f>-$K400*IFERROR(INDEX('[1]salary allocation'!$E$6:$J$22,MATCH($H400,'[1]salary allocation'!$D$6:$D$22,0),MATCH(O$3,'[1]salary allocation'!$E$3:$J$3,0)),0)</f>
        <v>0</v>
      </c>
      <c r="P400" s="15">
        <f>-$K400*IFERROR(INDEX('[1]salary allocation'!$E$6:$J$22,MATCH($H400,'[1]salary allocation'!$D$6:$D$22,0),MATCH(P$3,'[1]salary allocation'!$E$3:$J$3,0)),0)</f>
        <v>1088761.5</v>
      </c>
      <c r="Q400" s="15">
        <f>-$K400*IFERROR(INDEX('[1]salary allocation'!$E$6:$J$22,MATCH($H400,'[1]salary allocation'!$D$6:$D$22,0),MATCH(Q$3,'[1]salary allocation'!$E$3:$J$3,0)),0)</f>
        <v>0</v>
      </c>
      <c r="R400" s="15">
        <f>-$K400*IFERROR(INDEX('[1]salary allocation'!$E$6:$J$22,MATCH($H400,'[1]salary allocation'!$D$6:$D$22,0),MATCH(R$3,'[1]salary allocation'!$E$3:$J$3,0)),0)</f>
        <v>0</v>
      </c>
      <c r="S400" s="15">
        <f>-$K400*IFERROR(INDEX('[1]salary allocation'!$E$6:$J$22,MATCH($H400,'[1]salary allocation'!$D$6:$D$22,0),MATCH(S$3,'[1]salary allocation'!$E$3:$J$3,0)),0)</f>
        <v>1233929.7</v>
      </c>
      <c r="T400" s="15">
        <f>-$K400*IFERROR(INDEX('[1]salary allocation'!$E$6:$J$22,MATCH($H400,'[1]salary allocation'!$D$6:$D$22,0),MATCH(T$3,'[1]salary allocation'!$E$3:$J$3,0)),0)</f>
        <v>1233929.7</v>
      </c>
      <c r="U400" s="15">
        <f>-$K400*IFERROR(INDEX('[1]salary allocation'!$E$6:$J$22,MATCH($H400,'[1]salary allocation'!$D$6:$D$22,0),MATCH(U$3,'[1]salary allocation'!$E$3:$J$3,0)),0)</f>
        <v>1233929.7</v>
      </c>
      <c r="V400" s="15">
        <f>-$K400*IFERROR(INDEX('[1]salary allocation'!$E$6:$J$22,MATCH($H400,'[1]salary allocation'!$D$6:$D$22,0),MATCH(V$3,'[1]salary allocation'!$E$3:$J$3,0)),0)</f>
        <v>0</v>
      </c>
      <c r="W400" s="15">
        <f>-$K400*IFERROR(INDEX('[1]salary allocation'!$E$6:$J$22,MATCH($H400,'[1]salary allocation'!$D$6:$D$22,0),MATCH(W$3,'[1]salary allocation'!$E$3:$J$3,0)),0)</f>
        <v>2467859.4</v>
      </c>
      <c r="X400" s="15">
        <f>-$K400*IFERROR(INDEX('[1]salary allocation'!$E$6:$J$22,MATCH($H400,'[1]salary allocation'!$D$6:$D$22,0),MATCH(X$3,'[1]salary allocation'!$E$3:$J$3,0)),0)</f>
        <v>0</v>
      </c>
      <c r="Y400" s="15">
        <f>-$K400*IFERROR(INDEX('[1]salary allocation'!$E$6:$J$22,MATCH($H400,'[1]salary allocation'!$D$6:$D$22,0),MATCH(Y$3,'[1]salary allocation'!$E$3:$J$3,0)),0)</f>
        <v>0</v>
      </c>
      <c r="Z400" s="15">
        <f>-$K400*IFERROR(INDEX('[1]salary allocation'!$E$6:$J$22,MATCH($H400,'[1]salary allocation'!$D$6:$D$22,0),MATCH(Z$3,'[1]salary allocation'!$E$3:$J$3,0)),0)</f>
        <v>0</v>
      </c>
      <c r="AA400" s="15">
        <f>-$K400*IFERROR(INDEX('[1]salary allocation'!$E$6:$J$22,MATCH($H400,'[1]salary allocation'!$D$6:$D$22,0),MATCH(AA$3,'[1]salary allocation'!$E$3:$J$3,0)),0)</f>
        <v>0</v>
      </c>
      <c r="AB400" s="15">
        <f>-$K400*IFERROR(INDEX('[1]salary allocation'!$E$6:$J$22,MATCH($H400,'[1]salary allocation'!$D$6:$D$22,0),MATCH(AB$3,'[1]salary allocation'!$E$3:$J$3,0)),0)</f>
        <v>0</v>
      </c>
      <c r="AC400" s="18">
        <f>-$K400*IFERROR(INDEX('[1]salary allocation'!$E$6:$J$22,MATCH($H400,'[1]salary allocation'!$D$6:$D$22,0),MATCH(AC$3,'[1]salary allocation'!$E$3:$J$3,0)),0)</f>
        <v>0</v>
      </c>
      <c r="AD400" s="17"/>
      <c r="AE400" s="16"/>
      <c r="AF400" s="15">
        <f>-$K400</f>
        <v>7258410</v>
      </c>
      <c r="AG400" s="15"/>
      <c r="AH400" s="2">
        <f>K400+SUM(O400:AC400)</f>
        <v>0</v>
      </c>
      <c r="AI400" s="2">
        <f>K400+SUM(AF400:AG400)</f>
        <v>0</v>
      </c>
    </row>
    <row r="401" spans="1:35" x14ac:dyDescent="0.2">
      <c r="A401" s="11" t="s">
        <v>3</v>
      </c>
      <c r="B401" s="43">
        <v>45838</v>
      </c>
      <c r="H401" s="11" t="s">
        <v>135</v>
      </c>
      <c r="I401" s="11" t="s">
        <v>484</v>
      </c>
      <c r="K401" s="13">
        <v>0</v>
      </c>
      <c r="L401" s="12">
        <v>62025</v>
      </c>
      <c r="M401" s="42" t="str">
        <f>LEFT(I401,(LEN(LEFT(I401,FIND(";",I401)))-8))</f>
        <v>VNOther</v>
      </c>
      <c r="N401" s="11"/>
      <c r="O401" s="15">
        <f>-$K401*IFERROR(INDEX('[1]salary allocation'!$E$6:$J$22,MATCH($H401,'[1]salary allocation'!$D$6:$D$22,0),MATCH(O$3,'[1]salary allocation'!$E$3:$J$3,0)),0)</f>
        <v>0</v>
      </c>
      <c r="P401" s="15">
        <f>-$K401*IFERROR(INDEX('[1]salary allocation'!$E$6:$J$22,MATCH($H401,'[1]salary allocation'!$D$6:$D$22,0),MATCH(P$3,'[1]salary allocation'!$E$3:$J$3,0)),0)</f>
        <v>0</v>
      </c>
      <c r="Q401" s="15">
        <f>-$K401*IFERROR(INDEX('[1]salary allocation'!$E$6:$J$22,MATCH($H401,'[1]salary allocation'!$D$6:$D$22,0),MATCH(Q$3,'[1]salary allocation'!$E$3:$J$3,0)),0)</f>
        <v>0</v>
      </c>
      <c r="R401" s="15">
        <f>-$K401*IFERROR(INDEX('[1]salary allocation'!$E$6:$J$22,MATCH($H401,'[1]salary allocation'!$D$6:$D$22,0),MATCH(R$3,'[1]salary allocation'!$E$3:$J$3,0)),0)</f>
        <v>0</v>
      </c>
      <c r="S401" s="15">
        <f>-$K401*IFERROR(INDEX('[1]salary allocation'!$E$6:$J$22,MATCH($H401,'[1]salary allocation'!$D$6:$D$22,0),MATCH(S$3,'[1]salary allocation'!$E$3:$J$3,0)),0)</f>
        <v>0</v>
      </c>
      <c r="T401" s="15">
        <f>-$K401*IFERROR(INDEX('[1]salary allocation'!$E$6:$J$22,MATCH($H401,'[1]salary allocation'!$D$6:$D$22,0),MATCH(T$3,'[1]salary allocation'!$E$3:$J$3,0)),0)</f>
        <v>0</v>
      </c>
      <c r="U401" s="15">
        <f>-$K401*IFERROR(INDEX('[1]salary allocation'!$E$6:$J$22,MATCH($H401,'[1]salary allocation'!$D$6:$D$22,0),MATCH(U$3,'[1]salary allocation'!$E$3:$J$3,0)),0)</f>
        <v>0</v>
      </c>
      <c r="V401" s="15">
        <f>-$K401*IFERROR(INDEX('[1]salary allocation'!$E$6:$J$22,MATCH($H401,'[1]salary allocation'!$D$6:$D$22,0),MATCH(V$3,'[1]salary allocation'!$E$3:$J$3,0)),0)</f>
        <v>0</v>
      </c>
      <c r="W401" s="15">
        <f>-$K401*IFERROR(INDEX('[1]salary allocation'!$E$6:$J$22,MATCH($H401,'[1]salary allocation'!$D$6:$D$22,0),MATCH(W$3,'[1]salary allocation'!$E$3:$J$3,0)),0)</f>
        <v>0</v>
      </c>
      <c r="X401" s="15">
        <f>-$K401*IFERROR(INDEX('[1]salary allocation'!$E$6:$J$22,MATCH($H401,'[1]salary allocation'!$D$6:$D$22,0),MATCH(X$3,'[1]salary allocation'!$E$3:$J$3,0)),0)</f>
        <v>0</v>
      </c>
      <c r="Y401" s="15">
        <f>-$K401*IFERROR(INDEX('[1]salary allocation'!$E$6:$J$22,MATCH($H401,'[1]salary allocation'!$D$6:$D$22,0),MATCH(Y$3,'[1]salary allocation'!$E$3:$J$3,0)),0)</f>
        <v>0</v>
      </c>
      <c r="Z401" s="15">
        <f>-$K401*IFERROR(INDEX('[1]salary allocation'!$E$6:$J$22,MATCH($H401,'[1]salary allocation'!$D$6:$D$22,0),MATCH(Z$3,'[1]salary allocation'!$E$3:$J$3,0)),0)</f>
        <v>0</v>
      </c>
      <c r="AA401" s="15">
        <f>-$K401*IFERROR(INDEX('[1]salary allocation'!$E$6:$J$22,MATCH($H401,'[1]salary allocation'!$D$6:$D$22,0),MATCH(AA$3,'[1]salary allocation'!$E$3:$J$3,0)),0)</f>
        <v>0</v>
      </c>
      <c r="AB401" s="15">
        <f>-$K401*IFERROR(INDEX('[1]salary allocation'!$E$6:$J$22,MATCH($H401,'[1]salary allocation'!$D$6:$D$22,0),MATCH(AB$3,'[1]salary allocation'!$E$3:$J$3,0)),0)</f>
        <v>0</v>
      </c>
      <c r="AC401" s="18">
        <f>-$K401*IFERROR(INDEX('[1]salary allocation'!$E$6:$J$22,MATCH($H401,'[1]salary allocation'!$D$6:$D$22,0),MATCH(AC$3,'[1]salary allocation'!$E$3:$J$3,0)),0)</f>
        <v>0</v>
      </c>
      <c r="AD401" s="17"/>
      <c r="AE401" s="16"/>
      <c r="AF401" s="15">
        <f>-$K401</f>
        <v>0</v>
      </c>
      <c r="AG401" s="15"/>
      <c r="AH401" s="2">
        <f>K401+SUM(O401:AC401)</f>
        <v>0</v>
      </c>
      <c r="AI401" s="2">
        <f>K401+SUM(AF401:AG401)</f>
        <v>0</v>
      </c>
    </row>
    <row r="402" spans="1:35" x14ac:dyDescent="0.2">
      <c r="A402" s="11" t="s">
        <v>3</v>
      </c>
      <c r="B402" s="45">
        <v>45838</v>
      </c>
      <c r="H402" s="11" t="s">
        <v>57</v>
      </c>
      <c r="I402" s="11" t="s">
        <v>483</v>
      </c>
      <c r="K402" s="13">
        <v>-15255640</v>
      </c>
      <c r="L402" s="12">
        <v>62025</v>
      </c>
      <c r="M402" s="42" t="str">
        <f>LEFT(I402,(LEN(LEFT(I402,FIND(";",I402)))-8))</f>
        <v>VNOther</v>
      </c>
      <c r="N402" s="11"/>
      <c r="O402" s="15">
        <f>-$K402*IFERROR(INDEX('[1]salary allocation'!$E$6:$J$22,MATCH($H402,'[1]salary allocation'!$D$6:$D$22,0),MATCH(O$3,'[1]salary allocation'!$E$3:$J$3,0)),0)</f>
        <v>0</v>
      </c>
      <c r="P402" s="15">
        <f>-$K402*IFERROR(INDEX('[1]salary allocation'!$E$6:$J$22,MATCH($H402,'[1]salary allocation'!$D$6:$D$22,0),MATCH(P$3,'[1]salary allocation'!$E$3:$J$3,0)),0)</f>
        <v>7627820</v>
      </c>
      <c r="Q402" s="15">
        <f>-$K402*IFERROR(INDEX('[1]salary allocation'!$E$6:$J$22,MATCH($H402,'[1]salary allocation'!$D$6:$D$22,0),MATCH(Q$3,'[1]salary allocation'!$E$3:$J$3,0)),0)</f>
        <v>0</v>
      </c>
      <c r="R402" s="15">
        <f>-$K402*IFERROR(INDEX('[1]salary allocation'!$E$6:$J$22,MATCH($H402,'[1]salary allocation'!$D$6:$D$22,0),MATCH(R$3,'[1]salary allocation'!$E$3:$J$3,0)),0)</f>
        <v>0</v>
      </c>
      <c r="S402" s="15">
        <f>-$K402*IFERROR(INDEX('[1]salary allocation'!$E$6:$J$22,MATCH($H402,'[1]salary allocation'!$D$6:$D$22,0),MATCH(S$3,'[1]salary allocation'!$E$3:$J$3,0)),0)</f>
        <v>1525564</v>
      </c>
      <c r="T402" s="15">
        <f>-$K402*IFERROR(INDEX('[1]salary allocation'!$E$6:$J$22,MATCH($H402,'[1]salary allocation'!$D$6:$D$22,0),MATCH(T$3,'[1]salary allocation'!$E$3:$J$3,0)),0)</f>
        <v>1525564</v>
      </c>
      <c r="U402" s="15">
        <f>-$K402*IFERROR(INDEX('[1]salary allocation'!$E$6:$J$22,MATCH($H402,'[1]salary allocation'!$D$6:$D$22,0),MATCH(U$3,'[1]salary allocation'!$E$3:$J$3,0)),0)</f>
        <v>1525564</v>
      </c>
      <c r="V402" s="15">
        <f>-$K402*IFERROR(INDEX('[1]salary allocation'!$E$6:$J$22,MATCH($H402,'[1]salary allocation'!$D$6:$D$22,0),MATCH(V$3,'[1]salary allocation'!$E$3:$J$3,0)),0)</f>
        <v>0</v>
      </c>
      <c r="W402" s="15">
        <f>-$K402*IFERROR(INDEX('[1]salary allocation'!$E$6:$J$22,MATCH($H402,'[1]salary allocation'!$D$6:$D$22,0),MATCH(W$3,'[1]salary allocation'!$E$3:$J$3,0)),0)</f>
        <v>3051128</v>
      </c>
      <c r="X402" s="15">
        <f>-$K402*IFERROR(INDEX('[1]salary allocation'!$E$6:$J$22,MATCH($H402,'[1]salary allocation'!$D$6:$D$22,0),MATCH(X$3,'[1]salary allocation'!$E$3:$J$3,0)),0)</f>
        <v>0</v>
      </c>
      <c r="Y402" s="15">
        <f>-$K402*IFERROR(INDEX('[1]salary allocation'!$E$6:$J$22,MATCH($H402,'[1]salary allocation'!$D$6:$D$22,0),MATCH(Y$3,'[1]salary allocation'!$E$3:$J$3,0)),0)</f>
        <v>0</v>
      </c>
      <c r="Z402" s="15">
        <f>-$K402*IFERROR(INDEX('[1]salary allocation'!$E$6:$J$22,MATCH($H402,'[1]salary allocation'!$D$6:$D$22,0),MATCH(Z$3,'[1]salary allocation'!$E$3:$J$3,0)),0)</f>
        <v>0</v>
      </c>
      <c r="AA402" s="15">
        <f>-$K402*IFERROR(INDEX('[1]salary allocation'!$E$6:$J$22,MATCH($H402,'[1]salary allocation'!$D$6:$D$22,0),MATCH(AA$3,'[1]salary allocation'!$E$3:$J$3,0)),0)</f>
        <v>0</v>
      </c>
      <c r="AB402" s="15">
        <f>-$K402*IFERROR(INDEX('[1]salary allocation'!$E$6:$J$22,MATCH($H402,'[1]salary allocation'!$D$6:$D$22,0),MATCH(AB$3,'[1]salary allocation'!$E$3:$J$3,0)),0)</f>
        <v>0</v>
      </c>
      <c r="AC402" s="18">
        <f>-$K402*IFERROR(INDEX('[1]salary allocation'!$E$6:$J$22,MATCH($H402,'[1]salary allocation'!$D$6:$D$22,0),MATCH(AC$3,'[1]salary allocation'!$E$3:$J$3,0)),0)</f>
        <v>0</v>
      </c>
      <c r="AD402" s="17"/>
      <c r="AE402" s="16"/>
      <c r="AF402" s="15">
        <f>-$K402</f>
        <v>15255640</v>
      </c>
      <c r="AG402" s="15"/>
      <c r="AH402" s="2">
        <f>K402+SUM(O402:AC402)</f>
        <v>0</v>
      </c>
      <c r="AI402" s="2">
        <f>K402+SUM(AF402:AG402)</f>
        <v>0</v>
      </c>
    </row>
    <row r="403" spans="1:35" x14ac:dyDescent="0.2">
      <c r="A403" s="11" t="s">
        <v>3</v>
      </c>
      <c r="B403" s="43">
        <v>45838</v>
      </c>
      <c r="H403" s="11" t="s">
        <v>55</v>
      </c>
      <c r="I403" s="11" t="s">
        <v>482</v>
      </c>
      <c r="K403" s="13">
        <v>-15395850</v>
      </c>
      <c r="L403" s="12">
        <v>62025</v>
      </c>
      <c r="M403" s="42" t="str">
        <f>LEFT(I403,(LEN(LEFT(I403,FIND(";",I403)))-8))</f>
        <v>VNHBC</v>
      </c>
      <c r="N403" s="11"/>
      <c r="O403" s="15">
        <f>-$K403*IFERROR(INDEX('[1]salary allocation'!$E$6:$J$22,MATCH($H403,'[1]salary allocation'!$D$6:$D$22,0),MATCH(O$3,'[1]salary allocation'!$E$3:$J$3,0)),0)</f>
        <v>0</v>
      </c>
      <c r="P403" s="15">
        <f>-$K403*IFERROR(INDEX('[1]salary allocation'!$E$6:$J$22,MATCH($H403,'[1]salary allocation'!$D$6:$D$22,0),MATCH(P$3,'[1]salary allocation'!$E$3:$J$3,0)),0)</f>
        <v>0</v>
      </c>
      <c r="Q403" s="15">
        <f>-$K403*IFERROR(INDEX('[1]salary allocation'!$E$6:$J$22,MATCH($H403,'[1]salary allocation'!$D$6:$D$22,0),MATCH(Q$3,'[1]salary allocation'!$E$3:$J$3,0)),0)</f>
        <v>0</v>
      </c>
      <c r="R403" s="15">
        <f>-$K403*IFERROR(INDEX('[1]salary allocation'!$E$6:$J$22,MATCH($H403,'[1]salary allocation'!$D$6:$D$22,0),MATCH(R$3,'[1]salary allocation'!$E$3:$J$3,0)),0)</f>
        <v>0</v>
      </c>
      <c r="S403" s="15">
        <f>-$K403*IFERROR(INDEX('[1]salary allocation'!$E$6:$J$22,MATCH($H403,'[1]salary allocation'!$D$6:$D$22,0),MATCH(S$3,'[1]salary allocation'!$E$3:$J$3,0)),0)</f>
        <v>3079170</v>
      </c>
      <c r="T403" s="15">
        <f>-$K403*IFERROR(INDEX('[1]salary allocation'!$E$6:$J$22,MATCH($H403,'[1]salary allocation'!$D$6:$D$22,0),MATCH(T$3,'[1]salary allocation'!$E$3:$J$3,0)),0)</f>
        <v>3079170</v>
      </c>
      <c r="U403" s="15">
        <f>-$K403*IFERROR(INDEX('[1]salary allocation'!$E$6:$J$22,MATCH($H403,'[1]salary allocation'!$D$6:$D$22,0),MATCH(U$3,'[1]salary allocation'!$E$3:$J$3,0)),0)</f>
        <v>3079170</v>
      </c>
      <c r="V403" s="15">
        <f>-$K403*IFERROR(INDEX('[1]salary allocation'!$E$6:$J$22,MATCH($H403,'[1]salary allocation'!$D$6:$D$22,0),MATCH(V$3,'[1]salary allocation'!$E$3:$J$3,0)),0)</f>
        <v>0</v>
      </c>
      <c r="W403" s="15">
        <f>-$K403*IFERROR(INDEX('[1]salary allocation'!$E$6:$J$22,MATCH($H403,'[1]salary allocation'!$D$6:$D$22,0),MATCH(W$3,'[1]salary allocation'!$E$3:$J$3,0)),0)</f>
        <v>6158340</v>
      </c>
      <c r="X403" s="15">
        <f>-$K403*IFERROR(INDEX('[1]salary allocation'!$E$6:$J$22,MATCH($H403,'[1]salary allocation'!$D$6:$D$22,0),MATCH(X$3,'[1]salary allocation'!$E$3:$J$3,0)),0)</f>
        <v>0</v>
      </c>
      <c r="Y403" s="15">
        <f>-$K403*IFERROR(INDEX('[1]salary allocation'!$E$6:$J$22,MATCH($H403,'[1]salary allocation'!$D$6:$D$22,0),MATCH(Y$3,'[1]salary allocation'!$E$3:$J$3,0)),0)</f>
        <v>0</v>
      </c>
      <c r="Z403" s="15">
        <f>-$K403*IFERROR(INDEX('[1]salary allocation'!$E$6:$J$22,MATCH($H403,'[1]salary allocation'!$D$6:$D$22,0),MATCH(Z$3,'[1]salary allocation'!$E$3:$J$3,0)),0)</f>
        <v>0</v>
      </c>
      <c r="AA403" s="15">
        <f>-$K403*IFERROR(INDEX('[1]salary allocation'!$E$6:$J$22,MATCH($H403,'[1]salary allocation'!$D$6:$D$22,0),MATCH(AA$3,'[1]salary allocation'!$E$3:$J$3,0)),0)</f>
        <v>0</v>
      </c>
      <c r="AB403" s="15">
        <f>-$K403*IFERROR(INDEX('[1]salary allocation'!$E$6:$J$22,MATCH($H403,'[1]salary allocation'!$D$6:$D$22,0),MATCH(AB$3,'[1]salary allocation'!$E$3:$J$3,0)),0)</f>
        <v>0</v>
      </c>
      <c r="AC403" s="18">
        <f>-$K403*IFERROR(INDEX('[1]salary allocation'!$E$6:$J$22,MATCH($H403,'[1]salary allocation'!$D$6:$D$22,0),MATCH(AC$3,'[1]salary allocation'!$E$3:$J$3,0)),0)</f>
        <v>0</v>
      </c>
      <c r="AD403" s="17"/>
      <c r="AE403" s="16"/>
      <c r="AF403" s="15"/>
      <c r="AG403" s="15">
        <f>-$K403</f>
        <v>15395850</v>
      </c>
      <c r="AH403" s="2">
        <f>K403+SUM(O403:AC403)</f>
        <v>0</v>
      </c>
      <c r="AI403" s="2">
        <f>K403+SUM(AF403:AG403)</f>
        <v>0</v>
      </c>
    </row>
    <row r="404" spans="1:35" x14ac:dyDescent="0.2">
      <c r="A404" s="11" t="s">
        <v>3</v>
      </c>
      <c r="B404" s="43">
        <v>45838</v>
      </c>
      <c r="H404" s="11" t="s">
        <v>53</v>
      </c>
      <c r="I404" s="11" t="s">
        <v>481</v>
      </c>
      <c r="K404" s="13">
        <v>-15135390</v>
      </c>
      <c r="L404" s="12">
        <v>62025</v>
      </c>
      <c r="M404" s="42" t="str">
        <f>LEFT(I404,(LEN(LEFT(I404,FIND(";",I404)))-8))</f>
        <v>VNOther</v>
      </c>
      <c r="N404" s="11"/>
      <c r="O404" s="15">
        <f>-$K404*IFERROR(INDEX('[1]salary allocation'!$E$6:$J$22,MATCH($H404,'[1]salary allocation'!$D$6:$D$22,0),MATCH(O$3,'[1]salary allocation'!$E$3:$J$3,0)),0)</f>
        <v>0</v>
      </c>
      <c r="P404" s="15">
        <f>-$K404*IFERROR(INDEX('[1]salary allocation'!$E$6:$J$22,MATCH($H404,'[1]salary allocation'!$D$6:$D$22,0),MATCH(P$3,'[1]salary allocation'!$E$3:$J$3,0)),0)</f>
        <v>2270308.5</v>
      </c>
      <c r="Q404" s="15">
        <f>-$K404*IFERROR(INDEX('[1]salary allocation'!$E$6:$J$22,MATCH($H404,'[1]salary allocation'!$D$6:$D$22,0),MATCH(Q$3,'[1]salary allocation'!$E$3:$J$3,0)),0)</f>
        <v>0</v>
      </c>
      <c r="R404" s="15">
        <f>-$K404*IFERROR(INDEX('[1]salary allocation'!$E$6:$J$22,MATCH($H404,'[1]salary allocation'!$D$6:$D$22,0),MATCH(R$3,'[1]salary allocation'!$E$3:$J$3,0)),0)</f>
        <v>0</v>
      </c>
      <c r="S404" s="15">
        <f>-$K404*IFERROR(INDEX('[1]salary allocation'!$E$6:$J$22,MATCH($H404,'[1]salary allocation'!$D$6:$D$22,0),MATCH(S$3,'[1]salary allocation'!$E$3:$J$3,0)),0)</f>
        <v>2573016.2999999998</v>
      </c>
      <c r="T404" s="15">
        <f>-$K404*IFERROR(INDEX('[1]salary allocation'!$E$6:$J$22,MATCH($H404,'[1]salary allocation'!$D$6:$D$22,0),MATCH(T$3,'[1]salary allocation'!$E$3:$J$3,0)),0)</f>
        <v>2573016.2999999998</v>
      </c>
      <c r="U404" s="15">
        <f>-$K404*IFERROR(INDEX('[1]salary allocation'!$E$6:$J$22,MATCH($H404,'[1]salary allocation'!$D$6:$D$22,0),MATCH(U$3,'[1]salary allocation'!$E$3:$J$3,0)),0)</f>
        <v>2573016.2999999998</v>
      </c>
      <c r="V404" s="15">
        <f>-$K404*IFERROR(INDEX('[1]salary allocation'!$E$6:$J$22,MATCH($H404,'[1]salary allocation'!$D$6:$D$22,0),MATCH(V$3,'[1]salary allocation'!$E$3:$J$3,0)),0)</f>
        <v>0</v>
      </c>
      <c r="W404" s="15">
        <f>-$K404*IFERROR(INDEX('[1]salary allocation'!$E$6:$J$22,MATCH($H404,'[1]salary allocation'!$D$6:$D$22,0),MATCH(W$3,'[1]salary allocation'!$E$3:$J$3,0)),0)</f>
        <v>5146032.5999999996</v>
      </c>
      <c r="X404" s="15">
        <f>-$K404*IFERROR(INDEX('[1]salary allocation'!$E$6:$J$22,MATCH($H404,'[1]salary allocation'!$D$6:$D$22,0),MATCH(X$3,'[1]salary allocation'!$E$3:$J$3,0)),0)</f>
        <v>0</v>
      </c>
      <c r="Y404" s="15">
        <f>-$K404*IFERROR(INDEX('[1]salary allocation'!$E$6:$J$22,MATCH($H404,'[1]salary allocation'!$D$6:$D$22,0),MATCH(Y$3,'[1]salary allocation'!$E$3:$J$3,0)),0)</f>
        <v>0</v>
      </c>
      <c r="Z404" s="15">
        <f>-$K404*IFERROR(INDEX('[1]salary allocation'!$E$6:$J$22,MATCH($H404,'[1]salary allocation'!$D$6:$D$22,0),MATCH(Z$3,'[1]salary allocation'!$E$3:$J$3,0)),0)</f>
        <v>0</v>
      </c>
      <c r="AA404" s="15">
        <f>-$K404*IFERROR(INDEX('[1]salary allocation'!$E$6:$J$22,MATCH($H404,'[1]salary allocation'!$D$6:$D$22,0),MATCH(AA$3,'[1]salary allocation'!$E$3:$J$3,0)),0)</f>
        <v>0</v>
      </c>
      <c r="AB404" s="15">
        <f>-$K404*IFERROR(INDEX('[1]salary allocation'!$E$6:$J$22,MATCH($H404,'[1]salary allocation'!$D$6:$D$22,0),MATCH(AB$3,'[1]salary allocation'!$E$3:$J$3,0)),0)</f>
        <v>0</v>
      </c>
      <c r="AC404" s="18">
        <f>-$K404*IFERROR(INDEX('[1]salary allocation'!$E$6:$J$22,MATCH($H404,'[1]salary allocation'!$D$6:$D$22,0),MATCH(AC$3,'[1]salary allocation'!$E$3:$J$3,0)),0)</f>
        <v>0</v>
      </c>
      <c r="AD404" s="17"/>
      <c r="AE404" s="16"/>
      <c r="AF404" s="15">
        <f>-$K404</f>
        <v>15135390</v>
      </c>
      <c r="AG404" s="15"/>
      <c r="AH404" s="2">
        <f>K404+SUM(O404:AC404)</f>
        <v>0</v>
      </c>
      <c r="AI404" s="2">
        <f>K404+SUM(AF404:AG404)</f>
        <v>0</v>
      </c>
    </row>
    <row r="405" spans="1:35" x14ac:dyDescent="0.2">
      <c r="A405" s="11" t="s">
        <v>3</v>
      </c>
      <c r="B405" s="43">
        <v>45838</v>
      </c>
      <c r="H405" s="11" t="s">
        <v>51</v>
      </c>
      <c r="I405" s="11" t="s">
        <v>480</v>
      </c>
      <c r="K405" s="13">
        <v>-13125207</v>
      </c>
      <c r="L405" s="12">
        <v>62025</v>
      </c>
      <c r="M405" s="42" t="str">
        <f>LEFT(I405,(LEN(LEFT(I405,FIND(";",I405)))-8))</f>
        <v>VNOther</v>
      </c>
      <c r="N405" s="11"/>
      <c r="O405" s="15">
        <f>-$K405*IFERROR(INDEX('[1]salary allocation'!$E$6:$J$22,MATCH($H405,'[1]salary allocation'!$D$6:$D$22,0),MATCH(O$3,'[1]salary allocation'!$E$3:$J$3,0)),0)</f>
        <v>0</v>
      </c>
      <c r="P405" s="15">
        <f>-$K405*IFERROR(INDEX('[1]salary allocation'!$E$6:$J$22,MATCH($H405,'[1]salary allocation'!$D$6:$D$22,0),MATCH(P$3,'[1]salary allocation'!$E$3:$J$3,0)),0)</f>
        <v>6562603.5</v>
      </c>
      <c r="Q405" s="15">
        <f>-$K405*IFERROR(INDEX('[1]salary allocation'!$E$6:$J$22,MATCH($H405,'[1]salary allocation'!$D$6:$D$22,0),MATCH(Q$3,'[1]salary allocation'!$E$3:$J$3,0)),0)</f>
        <v>0</v>
      </c>
      <c r="R405" s="15">
        <f>-$K405*IFERROR(INDEX('[1]salary allocation'!$E$6:$J$22,MATCH($H405,'[1]salary allocation'!$D$6:$D$22,0),MATCH(R$3,'[1]salary allocation'!$E$3:$J$3,0)),0)</f>
        <v>0</v>
      </c>
      <c r="S405" s="15">
        <f>-$K405*IFERROR(INDEX('[1]salary allocation'!$E$6:$J$22,MATCH($H405,'[1]salary allocation'!$D$6:$D$22,0),MATCH(S$3,'[1]salary allocation'!$E$3:$J$3,0)),0)</f>
        <v>1312520.7000000002</v>
      </c>
      <c r="T405" s="15">
        <f>-$K405*IFERROR(INDEX('[1]salary allocation'!$E$6:$J$22,MATCH($H405,'[1]salary allocation'!$D$6:$D$22,0),MATCH(T$3,'[1]salary allocation'!$E$3:$J$3,0)),0)</f>
        <v>1312520.7000000002</v>
      </c>
      <c r="U405" s="15">
        <f>-$K405*IFERROR(INDEX('[1]salary allocation'!$E$6:$J$22,MATCH($H405,'[1]salary allocation'!$D$6:$D$22,0),MATCH(U$3,'[1]salary allocation'!$E$3:$J$3,0)),0)</f>
        <v>1312520.7000000002</v>
      </c>
      <c r="V405" s="15">
        <f>-$K405*IFERROR(INDEX('[1]salary allocation'!$E$6:$J$22,MATCH($H405,'[1]salary allocation'!$D$6:$D$22,0),MATCH(V$3,'[1]salary allocation'!$E$3:$J$3,0)),0)</f>
        <v>0</v>
      </c>
      <c r="W405" s="15">
        <f>-$K405*IFERROR(INDEX('[1]salary allocation'!$E$6:$J$22,MATCH($H405,'[1]salary allocation'!$D$6:$D$22,0),MATCH(W$3,'[1]salary allocation'!$E$3:$J$3,0)),0)</f>
        <v>2625041.4000000004</v>
      </c>
      <c r="X405" s="15">
        <f>-$K405*IFERROR(INDEX('[1]salary allocation'!$E$6:$J$22,MATCH($H405,'[1]salary allocation'!$D$6:$D$22,0),MATCH(X$3,'[1]salary allocation'!$E$3:$J$3,0)),0)</f>
        <v>0</v>
      </c>
      <c r="Y405" s="15">
        <f>-$K405*IFERROR(INDEX('[1]salary allocation'!$E$6:$J$22,MATCH($H405,'[1]salary allocation'!$D$6:$D$22,0),MATCH(Y$3,'[1]salary allocation'!$E$3:$J$3,0)),0)</f>
        <v>0</v>
      </c>
      <c r="Z405" s="15">
        <f>-$K405*IFERROR(INDEX('[1]salary allocation'!$E$6:$J$22,MATCH($H405,'[1]salary allocation'!$D$6:$D$22,0),MATCH(Z$3,'[1]salary allocation'!$E$3:$J$3,0)),0)</f>
        <v>0</v>
      </c>
      <c r="AA405" s="15">
        <f>-$K405*IFERROR(INDEX('[1]salary allocation'!$E$6:$J$22,MATCH($H405,'[1]salary allocation'!$D$6:$D$22,0),MATCH(AA$3,'[1]salary allocation'!$E$3:$J$3,0)),0)</f>
        <v>0</v>
      </c>
      <c r="AB405" s="15">
        <f>-$K405*IFERROR(INDEX('[1]salary allocation'!$E$6:$J$22,MATCH($H405,'[1]salary allocation'!$D$6:$D$22,0),MATCH(AB$3,'[1]salary allocation'!$E$3:$J$3,0)),0)</f>
        <v>0</v>
      </c>
      <c r="AC405" s="18">
        <f>-$K405*IFERROR(INDEX('[1]salary allocation'!$E$6:$J$22,MATCH($H405,'[1]salary allocation'!$D$6:$D$22,0),MATCH(AC$3,'[1]salary allocation'!$E$3:$J$3,0)),0)</f>
        <v>0</v>
      </c>
      <c r="AD405" s="17"/>
      <c r="AE405" s="16"/>
      <c r="AF405" s="15">
        <f>-$K405</f>
        <v>13125207</v>
      </c>
      <c r="AG405" s="15"/>
      <c r="AH405" s="2">
        <f>K405+SUM(O405:AC405)</f>
        <v>0</v>
      </c>
      <c r="AI405" s="2">
        <f>K405+SUM(AF405:AG405)</f>
        <v>0</v>
      </c>
    </row>
    <row r="406" spans="1:35" x14ac:dyDescent="0.2">
      <c r="A406" s="11" t="s">
        <v>3</v>
      </c>
      <c r="B406" s="43">
        <v>45838</v>
      </c>
      <c r="H406" s="11" t="s">
        <v>49</v>
      </c>
      <c r="I406" s="11" t="s">
        <v>479</v>
      </c>
      <c r="K406" s="13">
        <v>-8342490</v>
      </c>
      <c r="L406" s="12">
        <v>62025</v>
      </c>
      <c r="M406" s="42" t="str">
        <f>LEFT(I406,(LEN(LEFT(I406,FIND(";",I406)))-8))</f>
        <v>VNMOET</v>
      </c>
      <c r="N406" s="11"/>
      <c r="O406" s="15">
        <f>-$K406*IFERROR(INDEX('[1]salary allocation'!$E$6:$J$22,MATCH($H406,'[1]salary allocation'!$D$6:$D$22,0),MATCH(O$3,'[1]salary allocation'!$E$3:$J$3,0)),0)</f>
        <v>0</v>
      </c>
      <c r="P406" s="15">
        <f>-$K406*IFERROR(INDEX('[1]salary allocation'!$E$6:$J$22,MATCH($H406,'[1]salary allocation'!$D$6:$D$22,0),MATCH(P$3,'[1]salary allocation'!$E$3:$J$3,0)),0)</f>
        <v>0</v>
      </c>
      <c r="Q406" s="15">
        <f>-$K406*IFERROR(INDEX('[1]salary allocation'!$E$6:$J$22,MATCH($H406,'[1]salary allocation'!$D$6:$D$22,0),MATCH(Q$3,'[1]salary allocation'!$E$3:$J$3,0)),0)</f>
        <v>0</v>
      </c>
      <c r="R406" s="15">
        <f>-$K406*IFERROR(INDEX('[1]salary allocation'!$E$6:$J$22,MATCH($H406,'[1]salary allocation'!$D$6:$D$22,0),MATCH(R$3,'[1]salary allocation'!$E$3:$J$3,0)),0)</f>
        <v>0</v>
      </c>
      <c r="S406" s="15">
        <f>-$K406*IFERROR(INDEX('[1]salary allocation'!$E$6:$J$22,MATCH($H406,'[1]salary allocation'!$D$6:$D$22,0),MATCH(S$3,'[1]salary allocation'!$E$3:$J$3,0)),0)</f>
        <v>1668498</v>
      </c>
      <c r="T406" s="15">
        <f>-$K406*IFERROR(INDEX('[1]salary allocation'!$E$6:$J$22,MATCH($H406,'[1]salary allocation'!$D$6:$D$22,0),MATCH(T$3,'[1]salary allocation'!$E$3:$J$3,0)),0)</f>
        <v>1668498</v>
      </c>
      <c r="U406" s="15">
        <f>-$K406*IFERROR(INDEX('[1]salary allocation'!$E$6:$J$22,MATCH($H406,'[1]salary allocation'!$D$6:$D$22,0),MATCH(U$3,'[1]salary allocation'!$E$3:$J$3,0)),0)</f>
        <v>1668498</v>
      </c>
      <c r="V406" s="15">
        <f>-$K406*IFERROR(INDEX('[1]salary allocation'!$E$6:$J$22,MATCH($H406,'[1]salary allocation'!$D$6:$D$22,0),MATCH(V$3,'[1]salary allocation'!$E$3:$J$3,0)),0)</f>
        <v>0</v>
      </c>
      <c r="W406" s="15">
        <f>-$K406*IFERROR(INDEX('[1]salary allocation'!$E$6:$J$22,MATCH($H406,'[1]salary allocation'!$D$6:$D$22,0),MATCH(W$3,'[1]salary allocation'!$E$3:$J$3,0)),0)</f>
        <v>3336996</v>
      </c>
      <c r="X406" s="15">
        <f>-$K406*IFERROR(INDEX('[1]salary allocation'!$E$6:$J$22,MATCH($H406,'[1]salary allocation'!$D$6:$D$22,0),MATCH(X$3,'[1]salary allocation'!$E$3:$J$3,0)),0)</f>
        <v>0</v>
      </c>
      <c r="Y406" s="15">
        <f>-$K406*IFERROR(INDEX('[1]salary allocation'!$E$6:$J$22,MATCH($H406,'[1]salary allocation'!$D$6:$D$22,0),MATCH(Y$3,'[1]salary allocation'!$E$3:$J$3,0)),0)</f>
        <v>0</v>
      </c>
      <c r="Z406" s="15">
        <f>-$K406*IFERROR(INDEX('[1]salary allocation'!$E$6:$J$22,MATCH($H406,'[1]salary allocation'!$D$6:$D$22,0),MATCH(Z$3,'[1]salary allocation'!$E$3:$J$3,0)),0)</f>
        <v>0</v>
      </c>
      <c r="AA406" s="15">
        <f>-$K406*IFERROR(INDEX('[1]salary allocation'!$E$6:$J$22,MATCH($H406,'[1]salary allocation'!$D$6:$D$22,0),MATCH(AA$3,'[1]salary allocation'!$E$3:$J$3,0)),0)</f>
        <v>0</v>
      </c>
      <c r="AB406" s="15">
        <f>-$K406*IFERROR(INDEX('[1]salary allocation'!$E$6:$J$22,MATCH($H406,'[1]salary allocation'!$D$6:$D$22,0),MATCH(AB$3,'[1]salary allocation'!$E$3:$J$3,0)),0)</f>
        <v>0</v>
      </c>
      <c r="AC406" s="18">
        <f>-$K406*IFERROR(INDEX('[1]salary allocation'!$E$6:$J$22,MATCH($H406,'[1]salary allocation'!$D$6:$D$22,0),MATCH(AC$3,'[1]salary allocation'!$E$3:$J$3,0)),0)</f>
        <v>0</v>
      </c>
      <c r="AD406" s="17"/>
      <c r="AE406" s="16"/>
      <c r="AF406" s="15"/>
      <c r="AG406" s="15">
        <f>-K406</f>
        <v>8342490</v>
      </c>
      <c r="AH406" s="2">
        <f>K406+SUM(O406:AC406)</f>
        <v>0</v>
      </c>
      <c r="AI406" s="2">
        <f>K406+SUM(AF406:AG406)</f>
        <v>0</v>
      </c>
    </row>
    <row r="407" spans="1:35" x14ac:dyDescent="0.2">
      <c r="A407" s="11" t="s">
        <v>3</v>
      </c>
      <c r="B407" s="43">
        <v>45838</v>
      </c>
      <c r="H407" s="11" t="s">
        <v>47</v>
      </c>
      <c r="I407" s="11" t="s">
        <v>478</v>
      </c>
      <c r="K407" s="13">
        <v>-15239574</v>
      </c>
      <c r="L407" s="12">
        <v>62025</v>
      </c>
      <c r="M407" s="42" t="str">
        <f>LEFT(I407,(LEN(LEFT(I407,FIND(";",I407)))-8))</f>
        <v>VNHBC</v>
      </c>
      <c r="N407" s="11"/>
      <c r="O407" s="15">
        <f>-$K407*IFERROR(INDEX('[1]salary allocation'!$E$6:$J$22,MATCH($H407,'[1]salary allocation'!$D$6:$D$22,0),MATCH(O$3,'[1]salary allocation'!$E$3:$J$3,0)),0)</f>
        <v>0</v>
      </c>
      <c r="P407" s="15">
        <f>-$K407*IFERROR(INDEX('[1]salary allocation'!$E$6:$J$22,MATCH($H407,'[1]salary allocation'!$D$6:$D$22,0),MATCH(P$3,'[1]salary allocation'!$E$3:$J$3,0)),0)</f>
        <v>0</v>
      </c>
      <c r="Q407" s="15">
        <f>-$K407*IFERROR(INDEX('[1]salary allocation'!$E$6:$J$22,MATCH($H407,'[1]salary allocation'!$D$6:$D$22,0),MATCH(Q$3,'[1]salary allocation'!$E$3:$J$3,0)),0)</f>
        <v>0</v>
      </c>
      <c r="R407" s="15">
        <f>-$K407*IFERROR(INDEX('[1]salary allocation'!$E$6:$J$22,MATCH($H407,'[1]salary allocation'!$D$6:$D$22,0),MATCH(R$3,'[1]salary allocation'!$E$3:$J$3,0)),0)</f>
        <v>0</v>
      </c>
      <c r="S407" s="15">
        <f>-$K407*IFERROR(INDEX('[1]salary allocation'!$E$6:$J$22,MATCH($H407,'[1]salary allocation'!$D$6:$D$22,0),MATCH(S$3,'[1]salary allocation'!$E$3:$J$3,0)),0)</f>
        <v>3047914.8000000003</v>
      </c>
      <c r="T407" s="15">
        <f>-$K407*IFERROR(INDEX('[1]salary allocation'!$E$6:$J$22,MATCH($H407,'[1]salary allocation'!$D$6:$D$22,0),MATCH(T$3,'[1]salary allocation'!$E$3:$J$3,0)),0)</f>
        <v>3047914.8000000003</v>
      </c>
      <c r="U407" s="15">
        <f>-$K407*IFERROR(INDEX('[1]salary allocation'!$E$6:$J$22,MATCH($H407,'[1]salary allocation'!$D$6:$D$22,0),MATCH(U$3,'[1]salary allocation'!$E$3:$J$3,0)),0)</f>
        <v>3047914.8000000003</v>
      </c>
      <c r="V407" s="15">
        <f>-$K407*IFERROR(INDEX('[1]salary allocation'!$E$6:$J$22,MATCH($H407,'[1]salary allocation'!$D$6:$D$22,0),MATCH(V$3,'[1]salary allocation'!$E$3:$J$3,0)),0)</f>
        <v>0</v>
      </c>
      <c r="W407" s="15">
        <f>-$K407*IFERROR(INDEX('[1]salary allocation'!$E$6:$J$22,MATCH($H407,'[1]salary allocation'!$D$6:$D$22,0),MATCH(W$3,'[1]salary allocation'!$E$3:$J$3,0)),0)</f>
        <v>6095829.6000000006</v>
      </c>
      <c r="X407" s="15">
        <f>-$K407*IFERROR(INDEX('[1]salary allocation'!$E$6:$J$22,MATCH($H407,'[1]salary allocation'!$D$6:$D$22,0),MATCH(X$3,'[1]salary allocation'!$E$3:$J$3,0)),0)</f>
        <v>0</v>
      </c>
      <c r="Y407" s="15">
        <f>-$K407*IFERROR(INDEX('[1]salary allocation'!$E$6:$J$22,MATCH($H407,'[1]salary allocation'!$D$6:$D$22,0),MATCH(Y$3,'[1]salary allocation'!$E$3:$J$3,0)),0)</f>
        <v>0</v>
      </c>
      <c r="Z407" s="15">
        <f>-$K407*IFERROR(INDEX('[1]salary allocation'!$E$6:$J$22,MATCH($H407,'[1]salary allocation'!$D$6:$D$22,0),MATCH(Z$3,'[1]salary allocation'!$E$3:$J$3,0)),0)</f>
        <v>0</v>
      </c>
      <c r="AA407" s="15">
        <f>-$K407*IFERROR(INDEX('[1]salary allocation'!$E$6:$J$22,MATCH($H407,'[1]salary allocation'!$D$6:$D$22,0),MATCH(AA$3,'[1]salary allocation'!$E$3:$J$3,0)),0)</f>
        <v>0</v>
      </c>
      <c r="AB407" s="15">
        <f>-$K407*IFERROR(INDEX('[1]salary allocation'!$E$6:$J$22,MATCH($H407,'[1]salary allocation'!$D$6:$D$22,0),MATCH(AB$3,'[1]salary allocation'!$E$3:$J$3,0)),0)</f>
        <v>0</v>
      </c>
      <c r="AC407" s="18">
        <f>-$K407*IFERROR(INDEX('[1]salary allocation'!$E$6:$J$22,MATCH($H407,'[1]salary allocation'!$D$6:$D$22,0),MATCH(AC$3,'[1]salary allocation'!$E$3:$J$3,0)),0)</f>
        <v>0</v>
      </c>
      <c r="AD407" s="17"/>
      <c r="AE407" s="16"/>
      <c r="AF407" s="15">
        <f>-$K407</f>
        <v>15239574</v>
      </c>
      <c r="AG407" s="15"/>
      <c r="AH407" s="2">
        <f>K407+SUM(O407:AC407)</f>
        <v>0</v>
      </c>
      <c r="AI407" s="2">
        <f>K407+SUM(AF407:AG407)</f>
        <v>0</v>
      </c>
    </row>
    <row r="408" spans="1:35" x14ac:dyDescent="0.2">
      <c r="A408" s="11" t="s">
        <v>3</v>
      </c>
      <c r="B408" s="43">
        <v>45838</v>
      </c>
      <c r="H408" s="11" t="s">
        <v>173</v>
      </c>
      <c r="I408" s="11" t="s">
        <v>477</v>
      </c>
      <c r="K408" s="13">
        <v>0</v>
      </c>
      <c r="L408" s="12">
        <v>62025</v>
      </c>
      <c r="M408" s="42" t="str">
        <f>LEFT(I408,(LEN(LEFT(I408,FIND(";",I408)))-8))</f>
        <v>VNELC</v>
      </c>
      <c r="N408" s="11"/>
      <c r="O408" s="15">
        <f>-$K408*IFERROR(INDEX('[1]salary allocation'!$E$6:$J$22,MATCH($H408,'[1]salary allocation'!$D$6:$D$22,0),MATCH(O$3,'[1]salary allocation'!$E$3:$J$3,0)),0)</f>
        <v>0</v>
      </c>
      <c r="P408" s="15">
        <f>-$K408*IFERROR(INDEX('[1]salary allocation'!$E$6:$J$22,MATCH($H408,'[1]salary allocation'!$D$6:$D$22,0),MATCH(P$3,'[1]salary allocation'!$E$3:$J$3,0)),0)</f>
        <v>0</v>
      </c>
      <c r="Q408" s="15">
        <f>-$K408*IFERROR(INDEX('[1]salary allocation'!$E$6:$J$22,MATCH($H408,'[1]salary allocation'!$D$6:$D$22,0),MATCH(Q$3,'[1]salary allocation'!$E$3:$J$3,0)),0)</f>
        <v>0</v>
      </c>
      <c r="R408" s="15">
        <f>-$K408*IFERROR(INDEX('[1]salary allocation'!$E$6:$J$22,MATCH($H408,'[1]salary allocation'!$D$6:$D$22,0),MATCH(R$3,'[1]salary allocation'!$E$3:$J$3,0)),0)</f>
        <v>0</v>
      </c>
      <c r="S408" s="15">
        <f>-$K408*IFERROR(INDEX('[1]salary allocation'!$E$6:$J$22,MATCH($H408,'[1]salary allocation'!$D$6:$D$22,0),MATCH(S$3,'[1]salary allocation'!$E$3:$J$3,0)),0)</f>
        <v>0</v>
      </c>
      <c r="T408" s="15">
        <f>-$K408*IFERROR(INDEX('[1]salary allocation'!$E$6:$J$22,MATCH($H408,'[1]salary allocation'!$D$6:$D$22,0),MATCH(T$3,'[1]salary allocation'!$E$3:$J$3,0)),0)</f>
        <v>0</v>
      </c>
      <c r="U408" s="15">
        <f>-$K408*IFERROR(INDEX('[1]salary allocation'!$E$6:$J$22,MATCH($H408,'[1]salary allocation'!$D$6:$D$22,0),MATCH(U$3,'[1]salary allocation'!$E$3:$J$3,0)),0)</f>
        <v>0</v>
      </c>
      <c r="V408" s="15">
        <f>-$K408*IFERROR(INDEX('[1]salary allocation'!$E$6:$J$22,MATCH($H408,'[1]salary allocation'!$D$6:$D$22,0),MATCH(V$3,'[1]salary allocation'!$E$3:$J$3,0)),0)</f>
        <v>0</v>
      </c>
      <c r="W408" s="15">
        <f>-$K408*IFERROR(INDEX('[1]salary allocation'!$E$6:$J$22,MATCH($H408,'[1]salary allocation'!$D$6:$D$22,0),MATCH(W$3,'[1]salary allocation'!$E$3:$J$3,0)),0)</f>
        <v>0</v>
      </c>
      <c r="X408" s="15">
        <f>-$K408*IFERROR(INDEX('[1]salary allocation'!$E$6:$J$22,MATCH($H408,'[1]salary allocation'!$D$6:$D$22,0),MATCH(X$3,'[1]salary allocation'!$E$3:$J$3,0)),0)</f>
        <v>0</v>
      </c>
      <c r="Y408" s="15">
        <f>-$K408*IFERROR(INDEX('[1]salary allocation'!$E$6:$J$22,MATCH($H408,'[1]salary allocation'!$D$6:$D$22,0),MATCH(Y$3,'[1]salary allocation'!$E$3:$J$3,0)),0)</f>
        <v>0</v>
      </c>
      <c r="Z408" s="15">
        <f>-$K408*IFERROR(INDEX('[1]salary allocation'!$E$6:$J$22,MATCH($H408,'[1]salary allocation'!$D$6:$D$22,0),MATCH(Z$3,'[1]salary allocation'!$E$3:$J$3,0)),0)</f>
        <v>0</v>
      </c>
      <c r="AA408" s="15">
        <f>-$K408*IFERROR(INDEX('[1]salary allocation'!$E$6:$J$22,MATCH($H408,'[1]salary allocation'!$D$6:$D$22,0),MATCH(AA$3,'[1]salary allocation'!$E$3:$J$3,0)),0)</f>
        <v>0</v>
      </c>
      <c r="AB408" s="15">
        <f>-$K408*IFERROR(INDEX('[1]salary allocation'!$E$6:$J$22,MATCH($H408,'[1]salary allocation'!$D$6:$D$22,0),MATCH(AB$3,'[1]salary allocation'!$E$3:$J$3,0)),0)</f>
        <v>0</v>
      </c>
      <c r="AC408" s="18">
        <f>-$K408*IFERROR(INDEX('[1]salary allocation'!$E$6:$J$22,MATCH($H408,'[1]salary allocation'!$D$6:$D$22,0),MATCH(AC$3,'[1]salary allocation'!$E$3:$J$3,0)),0)</f>
        <v>0</v>
      </c>
      <c r="AD408" s="17"/>
      <c r="AE408" s="16"/>
      <c r="AF408" s="15"/>
      <c r="AG408" s="15">
        <f>-$K408</f>
        <v>0</v>
      </c>
      <c r="AH408" s="2">
        <f>K408+SUM(O408:AC408)</f>
        <v>0</v>
      </c>
      <c r="AI408" s="2">
        <f>K408+SUM(AF408:AG408)</f>
        <v>0</v>
      </c>
    </row>
    <row r="409" spans="1:35" x14ac:dyDescent="0.2">
      <c r="A409" s="11" t="s">
        <v>3</v>
      </c>
      <c r="B409" s="43">
        <v>45838</v>
      </c>
      <c r="H409" s="11" t="s">
        <v>45</v>
      </c>
      <c r="I409" s="11" t="s">
        <v>476</v>
      </c>
      <c r="K409" s="13">
        <v>-6013447</v>
      </c>
      <c r="L409" s="12">
        <v>62025</v>
      </c>
      <c r="M409" s="42" t="str">
        <f>LEFT(I409,(LEN(LEFT(I409,FIND(";",I409)))-8))</f>
        <v>VNHBC7</v>
      </c>
      <c r="N409" s="11"/>
      <c r="O409" s="15">
        <f>-$K409*IFERROR(INDEX('[1]salary allocation'!$E$6:$J$22,MATCH($H409,'[1]salary allocation'!$D$6:$D$22,0),MATCH(O$3,'[1]salary allocation'!$E$3:$J$3,0)),0)</f>
        <v>0</v>
      </c>
      <c r="P409" s="15">
        <f>-$K409*IFERROR(INDEX('[1]salary allocation'!$E$6:$J$22,MATCH($H409,'[1]salary allocation'!$D$6:$D$22,0),MATCH(P$3,'[1]salary allocation'!$E$3:$J$3,0)),0)</f>
        <v>0</v>
      </c>
      <c r="Q409" s="15">
        <f>-$K409*IFERROR(INDEX('[1]salary allocation'!$E$6:$J$22,MATCH($H409,'[1]salary allocation'!$D$6:$D$22,0),MATCH(Q$3,'[1]salary allocation'!$E$3:$J$3,0)),0)</f>
        <v>0</v>
      </c>
      <c r="R409" s="15">
        <f>-$K409*IFERROR(INDEX('[1]salary allocation'!$E$6:$J$22,MATCH($H409,'[1]salary allocation'!$D$6:$D$22,0),MATCH(R$3,'[1]salary allocation'!$E$3:$J$3,0)),0)</f>
        <v>0</v>
      </c>
      <c r="S409" s="15">
        <f>-$K409*IFERROR(INDEX('[1]salary allocation'!$E$6:$J$22,MATCH($H409,'[1]salary allocation'!$D$6:$D$22,0),MATCH(S$3,'[1]salary allocation'!$E$3:$J$3,0)),0)</f>
        <v>1202689.4000000001</v>
      </c>
      <c r="T409" s="15">
        <f>-$K409*IFERROR(INDEX('[1]salary allocation'!$E$6:$J$22,MATCH($H409,'[1]salary allocation'!$D$6:$D$22,0),MATCH(T$3,'[1]salary allocation'!$E$3:$J$3,0)),0)</f>
        <v>1202689.4000000001</v>
      </c>
      <c r="U409" s="15">
        <f>-$K409*IFERROR(INDEX('[1]salary allocation'!$E$6:$J$22,MATCH($H409,'[1]salary allocation'!$D$6:$D$22,0),MATCH(U$3,'[1]salary allocation'!$E$3:$J$3,0)),0)</f>
        <v>1202689.4000000001</v>
      </c>
      <c r="V409" s="15">
        <f>-$K409*IFERROR(INDEX('[1]salary allocation'!$E$6:$J$22,MATCH($H409,'[1]salary allocation'!$D$6:$D$22,0),MATCH(V$3,'[1]salary allocation'!$E$3:$J$3,0)),0)</f>
        <v>0</v>
      </c>
      <c r="W409" s="15">
        <f>-$K409*IFERROR(INDEX('[1]salary allocation'!$E$6:$J$22,MATCH($H409,'[1]salary allocation'!$D$6:$D$22,0),MATCH(W$3,'[1]salary allocation'!$E$3:$J$3,0)),0)</f>
        <v>2405378.8000000003</v>
      </c>
      <c r="X409" s="15">
        <f>-$K409*IFERROR(INDEX('[1]salary allocation'!$E$6:$J$22,MATCH($H409,'[1]salary allocation'!$D$6:$D$22,0),MATCH(X$3,'[1]salary allocation'!$E$3:$J$3,0)),0)</f>
        <v>0</v>
      </c>
      <c r="Y409" s="15">
        <f>-$K409*IFERROR(INDEX('[1]salary allocation'!$E$6:$J$22,MATCH($H409,'[1]salary allocation'!$D$6:$D$22,0),MATCH(Y$3,'[1]salary allocation'!$E$3:$J$3,0)),0)</f>
        <v>0</v>
      </c>
      <c r="Z409" s="15">
        <f>-$K409*IFERROR(INDEX('[1]salary allocation'!$E$6:$J$22,MATCH($H409,'[1]salary allocation'!$D$6:$D$22,0),MATCH(Z$3,'[1]salary allocation'!$E$3:$J$3,0)),0)</f>
        <v>0</v>
      </c>
      <c r="AA409" s="15">
        <f>-$K409*IFERROR(INDEX('[1]salary allocation'!$E$6:$J$22,MATCH($H409,'[1]salary allocation'!$D$6:$D$22,0),MATCH(AA$3,'[1]salary allocation'!$E$3:$J$3,0)),0)</f>
        <v>0</v>
      </c>
      <c r="AB409" s="15">
        <f>-$K409*IFERROR(INDEX('[1]salary allocation'!$E$6:$J$22,MATCH($H409,'[1]salary allocation'!$D$6:$D$22,0),MATCH(AB$3,'[1]salary allocation'!$E$3:$J$3,0)),0)</f>
        <v>0</v>
      </c>
      <c r="AC409" s="18">
        <f>-$K409*IFERROR(INDEX('[1]salary allocation'!$E$6:$J$22,MATCH($H409,'[1]salary allocation'!$D$6:$D$22,0),MATCH(AC$3,'[1]salary allocation'!$E$3:$J$3,0)),0)</f>
        <v>0</v>
      </c>
      <c r="AD409" s="17"/>
      <c r="AE409" s="16"/>
      <c r="AF409" s="15"/>
      <c r="AG409" s="15">
        <f>-K409</f>
        <v>6013447</v>
      </c>
      <c r="AH409" s="2">
        <f>K409+SUM(O409:AC409)</f>
        <v>0</v>
      </c>
      <c r="AI409" s="2">
        <f>K409+SUM(AF409:AG409)</f>
        <v>0</v>
      </c>
    </row>
    <row r="410" spans="1:35" x14ac:dyDescent="0.2">
      <c r="A410" s="11" t="s">
        <v>3</v>
      </c>
      <c r="B410" s="43">
        <v>45838</v>
      </c>
      <c r="H410" s="11" t="s">
        <v>43</v>
      </c>
      <c r="I410" s="11" t="s">
        <v>475</v>
      </c>
      <c r="K410" s="13">
        <v>-15052628</v>
      </c>
      <c r="L410" s="12">
        <v>62025</v>
      </c>
      <c r="M410" s="42" t="str">
        <f>LEFT(I410,(LEN(LEFT(I410,FIND(";",I410)))-8))</f>
        <v>VNMOET</v>
      </c>
      <c r="N410" s="11"/>
      <c r="O410" s="15">
        <f>-$K410*IFERROR(INDEX('[1]salary allocation'!$E$6:$J$22,MATCH($H410,'[1]salary allocation'!$D$6:$D$22,0),MATCH(O$3,'[1]salary allocation'!$E$3:$J$3,0)),0)</f>
        <v>0</v>
      </c>
      <c r="P410" s="15">
        <f>-$K410*IFERROR(INDEX('[1]salary allocation'!$E$6:$J$22,MATCH($H410,'[1]salary allocation'!$D$6:$D$22,0),MATCH(P$3,'[1]salary allocation'!$E$3:$J$3,0)),0)</f>
        <v>0</v>
      </c>
      <c r="Q410" s="15">
        <f>-$K410*IFERROR(INDEX('[1]salary allocation'!$E$6:$J$22,MATCH($H410,'[1]salary allocation'!$D$6:$D$22,0),MATCH(Q$3,'[1]salary allocation'!$E$3:$J$3,0)),0)</f>
        <v>0</v>
      </c>
      <c r="R410" s="15">
        <f>-$K410*IFERROR(INDEX('[1]salary allocation'!$E$6:$J$22,MATCH($H410,'[1]salary allocation'!$D$6:$D$22,0),MATCH(R$3,'[1]salary allocation'!$E$3:$J$3,0)),0)</f>
        <v>0</v>
      </c>
      <c r="S410" s="15">
        <f>-$K410*IFERROR(INDEX('[1]salary allocation'!$E$6:$J$22,MATCH($H410,'[1]salary allocation'!$D$6:$D$22,0),MATCH(S$3,'[1]salary allocation'!$E$3:$J$3,0)),0)</f>
        <v>3010525.6</v>
      </c>
      <c r="T410" s="15">
        <f>-$K410*IFERROR(INDEX('[1]salary allocation'!$E$6:$J$22,MATCH($H410,'[1]salary allocation'!$D$6:$D$22,0),MATCH(T$3,'[1]salary allocation'!$E$3:$J$3,0)),0)</f>
        <v>3010525.6</v>
      </c>
      <c r="U410" s="15">
        <f>-$K410*IFERROR(INDEX('[1]salary allocation'!$E$6:$J$22,MATCH($H410,'[1]salary allocation'!$D$6:$D$22,0),MATCH(U$3,'[1]salary allocation'!$E$3:$J$3,0)),0)</f>
        <v>3010525.6</v>
      </c>
      <c r="V410" s="15">
        <f>-$K410*IFERROR(INDEX('[1]salary allocation'!$E$6:$J$22,MATCH($H410,'[1]salary allocation'!$D$6:$D$22,0),MATCH(V$3,'[1]salary allocation'!$E$3:$J$3,0)),0)</f>
        <v>0</v>
      </c>
      <c r="W410" s="15">
        <f>-$K410*IFERROR(INDEX('[1]salary allocation'!$E$6:$J$22,MATCH($H410,'[1]salary allocation'!$D$6:$D$22,0),MATCH(W$3,'[1]salary allocation'!$E$3:$J$3,0)),0)</f>
        <v>6021051.2000000002</v>
      </c>
      <c r="X410" s="15">
        <f>-$K410*IFERROR(INDEX('[1]salary allocation'!$E$6:$J$22,MATCH($H410,'[1]salary allocation'!$D$6:$D$22,0),MATCH(X$3,'[1]salary allocation'!$E$3:$J$3,0)),0)</f>
        <v>0</v>
      </c>
      <c r="Y410" s="15">
        <f>-$K410*IFERROR(INDEX('[1]salary allocation'!$E$6:$J$22,MATCH($H410,'[1]salary allocation'!$D$6:$D$22,0),MATCH(Y$3,'[1]salary allocation'!$E$3:$J$3,0)),0)</f>
        <v>0</v>
      </c>
      <c r="Z410" s="15">
        <f>-$K410*IFERROR(INDEX('[1]salary allocation'!$E$6:$J$22,MATCH($H410,'[1]salary allocation'!$D$6:$D$22,0),MATCH(Z$3,'[1]salary allocation'!$E$3:$J$3,0)),0)</f>
        <v>0</v>
      </c>
      <c r="AA410" s="15">
        <f>-$K410*IFERROR(INDEX('[1]salary allocation'!$E$6:$J$22,MATCH($H410,'[1]salary allocation'!$D$6:$D$22,0),MATCH(AA$3,'[1]salary allocation'!$E$3:$J$3,0)),0)</f>
        <v>0</v>
      </c>
      <c r="AB410" s="15">
        <f>-$K410*IFERROR(INDEX('[1]salary allocation'!$E$6:$J$22,MATCH($H410,'[1]salary allocation'!$D$6:$D$22,0),MATCH(AB$3,'[1]salary allocation'!$E$3:$J$3,0)),0)</f>
        <v>0</v>
      </c>
      <c r="AC410" s="18">
        <f>-$K410*IFERROR(INDEX('[1]salary allocation'!$E$6:$J$22,MATCH($H410,'[1]salary allocation'!$D$6:$D$22,0),MATCH(AC$3,'[1]salary allocation'!$E$3:$J$3,0)),0)</f>
        <v>0</v>
      </c>
      <c r="AD410" s="17"/>
      <c r="AE410" s="16"/>
      <c r="AF410" s="15">
        <f>-$K410</f>
        <v>15052628</v>
      </c>
      <c r="AG410" s="15"/>
      <c r="AH410" s="2">
        <f>K410+SUM(O410:AC410)</f>
        <v>0</v>
      </c>
      <c r="AI410" s="2">
        <f>K410+SUM(AF410:AG410)</f>
        <v>0</v>
      </c>
    </row>
    <row r="411" spans="1:35" x14ac:dyDescent="0.2">
      <c r="A411" s="11" t="s">
        <v>3</v>
      </c>
      <c r="B411" s="43">
        <v>45838</v>
      </c>
      <c r="H411" s="11" t="s">
        <v>41</v>
      </c>
      <c r="I411" s="11" t="s">
        <v>474</v>
      </c>
      <c r="K411" s="13">
        <v>-15001996</v>
      </c>
      <c r="L411" s="12">
        <v>62025</v>
      </c>
      <c r="M411" s="42" t="str">
        <f>LEFT(I411,(LEN(LEFT(I411,FIND(";",I411)))-8))</f>
        <v>VNMOET</v>
      </c>
      <c r="N411" s="11"/>
      <c r="O411" s="15">
        <f>-$K411*IFERROR(INDEX('[1]salary allocation'!$E$6:$J$22,MATCH($H411,'[1]salary allocation'!$D$6:$D$22,0),MATCH(O$3,'[1]salary allocation'!$E$3:$J$3,0)),0)</f>
        <v>0</v>
      </c>
      <c r="P411" s="15">
        <f>-$K411*IFERROR(INDEX('[1]salary allocation'!$E$6:$J$22,MATCH($H411,'[1]salary allocation'!$D$6:$D$22,0),MATCH(P$3,'[1]salary allocation'!$E$3:$J$3,0)),0)</f>
        <v>0</v>
      </c>
      <c r="Q411" s="15">
        <f>-$K411*IFERROR(INDEX('[1]salary allocation'!$E$6:$J$22,MATCH($H411,'[1]salary allocation'!$D$6:$D$22,0),MATCH(Q$3,'[1]salary allocation'!$E$3:$J$3,0)),0)</f>
        <v>0</v>
      </c>
      <c r="R411" s="15">
        <f>-$K411*IFERROR(INDEX('[1]salary allocation'!$E$6:$J$22,MATCH($H411,'[1]salary allocation'!$D$6:$D$22,0),MATCH(R$3,'[1]salary allocation'!$E$3:$J$3,0)),0)</f>
        <v>0</v>
      </c>
      <c r="S411" s="15">
        <f>-$K411*IFERROR(INDEX('[1]salary allocation'!$E$6:$J$22,MATCH($H411,'[1]salary allocation'!$D$6:$D$22,0),MATCH(S$3,'[1]salary allocation'!$E$3:$J$3,0)),0)</f>
        <v>0</v>
      </c>
      <c r="T411" s="15">
        <f>-$K411*IFERROR(INDEX('[1]salary allocation'!$E$6:$J$22,MATCH($H411,'[1]salary allocation'!$D$6:$D$22,0),MATCH(T$3,'[1]salary allocation'!$E$3:$J$3,0)),0)</f>
        <v>0</v>
      </c>
      <c r="U411" s="15">
        <f>-$K411*IFERROR(INDEX('[1]salary allocation'!$E$6:$J$22,MATCH($H411,'[1]salary allocation'!$D$6:$D$22,0),MATCH(U$3,'[1]salary allocation'!$E$3:$J$3,0)),0)</f>
        <v>0</v>
      </c>
      <c r="V411" s="15">
        <f>-$K411*IFERROR(INDEX('[1]salary allocation'!$E$6:$J$22,MATCH($H411,'[1]salary allocation'!$D$6:$D$22,0),MATCH(V$3,'[1]salary allocation'!$E$3:$J$3,0)),0)</f>
        <v>0</v>
      </c>
      <c r="W411" s="15">
        <f>-$K411*IFERROR(INDEX('[1]salary allocation'!$E$6:$J$22,MATCH($H411,'[1]salary allocation'!$D$6:$D$22,0),MATCH(W$3,'[1]salary allocation'!$E$3:$J$3,0)),0)</f>
        <v>15001996</v>
      </c>
      <c r="X411" s="15">
        <f>-$K411*IFERROR(INDEX('[1]salary allocation'!$E$6:$J$22,MATCH($H411,'[1]salary allocation'!$D$6:$D$22,0),MATCH(X$3,'[1]salary allocation'!$E$3:$J$3,0)),0)</f>
        <v>0</v>
      </c>
      <c r="Y411" s="15">
        <f>-$K411*IFERROR(INDEX('[1]salary allocation'!$E$6:$J$22,MATCH($H411,'[1]salary allocation'!$D$6:$D$22,0),MATCH(Y$3,'[1]salary allocation'!$E$3:$J$3,0)),0)</f>
        <v>0</v>
      </c>
      <c r="Z411" s="15">
        <f>-$K411*IFERROR(INDEX('[1]salary allocation'!$E$6:$J$22,MATCH($H411,'[1]salary allocation'!$D$6:$D$22,0),MATCH(Z$3,'[1]salary allocation'!$E$3:$J$3,0)),0)</f>
        <v>0</v>
      </c>
      <c r="AA411" s="15">
        <f>-$K411*IFERROR(INDEX('[1]salary allocation'!$E$6:$J$22,MATCH($H411,'[1]salary allocation'!$D$6:$D$22,0),MATCH(AA$3,'[1]salary allocation'!$E$3:$J$3,0)),0)</f>
        <v>0</v>
      </c>
      <c r="AB411" s="15">
        <f>-$K411*IFERROR(INDEX('[1]salary allocation'!$E$6:$J$22,MATCH($H411,'[1]salary allocation'!$D$6:$D$22,0),MATCH(AB$3,'[1]salary allocation'!$E$3:$J$3,0)),0)</f>
        <v>0</v>
      </c>
      <c r="AC411" s="18">
        <f>-$K411*IFERROR(INDEX('[1]salary allocation'!$E$6:$J$22,MATCH($H411,'[1]salary allocation'!$D$6:$D$22,0),MATCH(AC$3,'[1]salary allocation'!$E$3:$J$3,0)),0)</f>
        <v>0</v>
      </c>
      <c r="AD411" s="17"/>
      <c r="AE411" s="16"/>
      <c r="AF411" s="15">
        <f>-$K411</f>
        <v>15001996</v>
      </c>
      <c r="AG411" s="15"/>
      <c r="AH411" s="2">
        <f>K411+SUM(O411:AC411)</f>
        <v>0</v>
      </c>
      <c r="AI411" s="2">
        <f>K411+SUM(AF411:AG411)</f>
        <v>0</v>
      </c>
    </row>
    <row r="412" spans="1:35" x14ac:dyDescent="0.2">
      <c r="A412" s="11" t="s">
        <v>3</v>
      </c>
      <c r="B412" s="43">
        <v>45838</v>
      </c>
      <c r="H412" s="11" t="s">
        <v>39</v>
      </c>
      <c r="I412" s="11" t="s">
        <v>473</v>
      </c>
      <c r="K412" s="13">
        <v>-15052628</v>
      </c>
      <c r="L412" s="12">
        <v>62025</v>
      </c>
      <c r="M412" s="42" t="str">
        <f>LEFT(I412,(LEN(LEFT(I412,FIND(";",I412)))-8))</f>
        <v>VNMOET</v>
      </c>
      <c r="N412" s="11"/>
      <c r="O412" s="15">
        <f>-$K412*IFERROR(INDEX('[1]salary allocation'!$E$6:$J$22,MATCH($H412,'[1]salary allocation'!$D$6:$D$22,0),MATCH(O$3,'[1]salary allocation'!$E$3:$J$3,0)),0)</f>
        <v>0</v>
      </c>
      <c r="P412" s="15">
        <f>-$K412*IFERROR(INDEX('[1]salary allocation'!$E$6:$J$22,MATCH($H412,'[1]salary allocation'!$D$6:$D$22,0),MATCH(P$3,'[1]salary allocation'!$E$3:$J$3,0)),0)</f>
        <v>0</v>
      </c>
      <c r="Q412" s="15">
        <f>-$K412*IFERROR(INDEX('[1]salary allocation'!$E$6:$J$22,MATCH($H412,'[1]salary allocation'!$D$6:$D$22,0),MATCH(Q$3,'[1]salary allocation'!$E$3:$J$3,0)),0)</f>
        <v>0</v>
      </c>
      <c r="R412" s="15">
        <f>-$K412*IFERROR(INDEX('[1]salary allocation'!$E$6:$J$22,MATCH($H412,'[1]salary allocation'!$D$6:$D$22,0),MATCH(R$3,'[1]salary allocation'!$E$3:$J$3,0)),0)</f>
        <v>0</v>
      </c>
      <c r="S412" s="15">
        <f>-$K412*IFERROR(INDEX('[1]salary allocation'!$E$6:$J$22,MATCH($H412,'[1]salary allocation'!$D$6:$D$22,0),MATCH(S$3,'[1]salary allocation'!$E$3:$J$3,0)),0)</f>
        <v>0</v>
      </c>
      <c r="T412" s="15">
        <f>-$K412*IFERROR(INDEX('[1]salary allocation'!$E$6:$J$22,MATCH($H412,'[1]salary allocation'!$D$6:$D$22,0),MATCH(T$3,'[1]salary allocation'!$E$3:$J$3,0)),0)</f>
        <v>0</v>
      </c>
      <c r="U412" s="15">
        <f>-$K412*IFERROR(INDEX('[1]salary allocation'!$E$6:$J$22,MATCH($H412,'[1]salary allocation'!$D$6:$D$22,0),MATCH(U$3,'[1]salary allocation'!$E$3:$J$3,0)),0)</f>
        <v>0</v>
      </c>
      <c r="V412" s="15">
        <f>-$K412*IFERROR(INDEX('[1]salary allocation'!$E$6:$J$22,MATCH($H412,'[1]salary allocation'!$D$6:$D$22,0),MATCH(V$3,'[1]salary allocation'!$E$3:$J$3,0)),0)</f>
        <v>0</v>
      </c>
      <c r="W412" s="15">
        <f>-$K412*IFERROR(INDEX('[1]salary allocation'!$E$6:$J$22,MATCH($H412,'[1]salary allocation'!$D$6:$D$22,0),MATCH(W$3,'[1]salary allocation'!$E$3:$J$3,0)),0)</f>
        <v>15052628</v>
      </c>
      <c r="X412" s="15">
        <f>-$K412*IFERROR(INDEX('[1]salary allocation'!$E$6:$J$22,MATCH($H412,'[1]salary allocation'!$D$6:$D$22,0),MATCH(X$3,'[1]salary allocation'!$E$3:$J$3,0)),0)</f>
        <v>0</v>
      </c>
      <c r="Y412" s="15">
        <f>-$K412*IFERROR(INDEX('[1]salary allocation'!$E$6:$J$22,MATCH($H412,'[1]salary allocation'!$D$6:$D$22,0),MATCH(Y$3,'[1]salary allocation'!$E$3:$J$3,0)),0)</f>
        <v>0</v>
      </c>
      <c r="Z412" s="15">
        <f>-$K412*IFERROR(INDEX('[1]salary allocation'!$E$6:$J$22,MATCH($H412,'[1]salary allocation'!$D$6:$D$22,0),MATCH(Z$3,'[1]salary allocation'!$E$3:$J$3,0)),0)</f>
        <v>0</v>
      </c>
      <c r="AA412" s="15">
        <f>-$K412*IFERROR(INDEX('[1]salary allocation'!$E$6:$J$22,MATCH($H412,'[1]salary allocation'!$D$6:$D$22,0),MATCH(AA$3,'[1]salary allocation'!$E$3:$J$3,0)),0)</f>
        <v>0</v>
      </c>
      <c r="AB412" s="15">
        <f>-$K412*IFERROR(INDEX('[1]salary allocation'!$E$6:$J$22,MATCH($H412,'[1]salary allocation'!$D$6:$D$22,0),MATCH(AB$3,'[1]salary allocation'!$E$3:$J$3,0)),0)</f>
        <v>0</v>
      </c>
      <c r="AC412" s="18">
        <f>-$K412*IFERROR(INDEX('[1]salary allocation'!$E$6:$J$22,MATCH($H412,'[1]salary allocation'!$D$6:$D$22,0),MATCH(AC$3,'[1]salary allocation'!$E$3:$J$3,0)),0)</f>
        <v>0</v>
      </c>
      <c r="AD412" s="17"/>
      <c r="AE412" s="16"/>
      <c r="AF412" s="15">
        <f>-$K412</f>
        <v>15052628</v>
      </c>
      <c r="AG412" s="15"/>
      <c r="AH412" s="2">
        <f>K412+SUM(O412:AC412)</f>
        <v>0</v>
      </c>
      <c r="AI412" s="2">
        <f>K412+SUM(AF412:AG412)</f>
        <v>0</v>
      </c>
    </row>
    <row r="413" spans="1:35" ht="17" x14ac:dyDescent="0.2">
      <c r="A413" s="11" t="s">
        <v>3</v>
      </c>
      <c r="B413" s="43">
        <v>45838</v>
      </c>
      <c r="H413" s="40" t="s">
        <v>37</v>
      </c>
      <c r="I413" s="11" t="s">
        <v>472</v>
      </c>
      <c r="K413" s="13">
        <v>-13242048</v>
      </c>
      <c r="L413" s="12">
        <v>62025</v>
      </c>
      <c r="M413" s="42" t="str">
        <f>LEFT(I413,(LEN(LEFT(I413,FIND(";",I413)))-8))</f>
        <v>VNOther</v>
      </c>
      <c r="N413" s="11"/>
      <c r="O413" s="15">
        <f>-$K413*IFERROR(INDEX('[1]salary allocation'!$E$6:$J$22,MATCH($H413,'[1]salary allocation'!$D$6:$D$22,0),MATCH(O$3,'[1]salary allocation'!$E$3:$J$3,0)),0)</f>
        <v>0</v>
      </c>
      <c r="P413" s="15">
        <f>-$K413*IFERROR(INDEX('[1]salary allocation'!$E$6:$J$22,MATCH($H413,'[1]salary allocation'!$D$6:$D$22,0),MATCH(P$3,'[1]salary allocation'!$E$3:$J$3,0)),0)</f>
        <v>1986307.2</v>
      </c>
      <c r="Q413" s="15">
        <f>-$K413*IFERROR(INDEX('[1]salary allocation'!$E$6:$J$22,MATCH($H413,'[1]salary allocation'!$D$6:$D$22,0),MATCH(Q$3,'[1]salary allocation'!$E$3:$J$3,0)),0)</f>
        <v>0</v>
      </c>
      <c r="R413" s="15">
        <f>-$K413*IFERROR(INDEX('[1]salary allocation'!$E$6:$J$22,MATCH($H413,'[1]salary allocation'!$D$6:$D$22,0),MATCH(R$3,'[1]salary allocation'!$E$3:$J$3,0)),0)</f>
        <v>0</v>
      </c>
      <c r="S413" s="15">
        <f>-$K413*IFERROR(INDEX('[1]salary allocation'!$E$6:$J$22,MATCH($H413,'[1]salary allocation'!$D$6:$D$22,0),MATCH(S$3,'[1]salary allocation'!$E$3:$J$3,0)),0)</f>
        <v>2251148.1599999997</v>
      </c>
      <c r="T413" s="15">
        <f>-$K413*IFERROR(INDEX('[1]salary allocation'!$E$6:$J$22,MATCH($H413,'[1]salary allocation'!$D$6:$D$22,0),MATCH(T$3,'[1]salary allocation'!$E$3:$J$3,0)),0)</f>
        <v>2251148.1599999997</v>
      </c>
      <c r="U413" s="15">
        <f>-$K413*IFERROR(INDEX('[1]salary allocation'!$E$6:$J$22,MATCH($H413,'[1]salary allocation'!$D$6:$D$22,0),MATCH(U$3,'[1]salary allocation'!$E$3:$J$3,0)),0)</f>
        <v>2251148.1599999997</v>
      </c>
      <c r="V413" s="15">
        <f>-$K413*IFERROR(INDEX('[1]salary allocation'!$E$6:$J$22,MATCH($H413,'[1]salary allocation'!$D$6:$D$22,0),MATCH(V$3,'[1]salary allocation'!$E$3:$J$3,0)),0)</f>
        <v>0</v>
      </c>
      <c r="W413" s="15">
        <f>-$K413*IFERROR(INDEX('[1]salary allocation'!$E$6:$J$22,MATCH($H413,'[1]salary allocation'!$D$6:$D$22,0),MATCH(W$3,'[1]salary allocation'!$E$3:$J$3,0)),0)</f>
        <v>4502296.3199999994</v>
      </c>
      <c r="X413" s="15">
        <f>-$K413*IFERROR(INDEX('[1]salary allocation'!$E$6:$J$22,MATCH($H413,'[1]salary allocation'!$D$6:$D$22,0),MATCH(X$3,'[1]salary allocation'!$E$3:$J$3,0)),0)</f>
        <v>0</v>
      </c>
      <c r="Y413" s="15">
        <f>-$K413*IFERROR(INDEX('[1]salary allocation'!$E$6:$J$22,MATCH($H413,'[1]salary allocation'!$D$6:$D$22,0),MATCH(Y$3,'[1]salary allocation'!$E$3:$J$3,0)),0)</f>
        <v>0</v>
      </c>
      <c r="Z413" s="15">
        <f>-$K413*IFERROR(INDEX('[1]salary allocation'!$E$6:$J$22,MATCH($H413,'[1]salary allocation'!$D$6:$D$22,0),MATCH(Z$3,'[1]salary allocation'!$E$3:$J$3,0)),0)</f>
        <v>0</v>
      </c>
      <c r="AA413" s="15">
        <f>-$K413*IFERROR(INDEX('[1]salary allocation'!$E$6:$J$22,MATCH($H413,'[1]salary allocation'!$D$6:$D$22,0),MATCH(AA$3,'[1]salary allocation'!$E$3:$J$3,0)),0)</f>
        <v>0</v>
      </c>
      <c r="AB413" s="15">
        <f>-$K413*IFERROR(INDEX('[1]salary allocation'!$E$6:$J$22,MATCH($H413,'[1]salary allocation'!$D$6:$D$22,0),MATCH(AB$3,'[1]salary allocation'!$E$3:$J$3,0)),0)</f>
        <v>0</v>
      </c>
      <c r="AC413" s="18">
        <f>-$K413*IFERROR(INDEX('[1]salary allocation'!$E$6:$J$22,MATCH($H413,'[1]salary allocation'!$D$6:$D$22,0),MATCH(AC$3,'[1]salary allocation'!$E$3:$J$3,0)),0)</f>
        <v>0</v>
      </c>
      <c r="AD413" s="17"/>
      <c r="AE413" s="16"/>
      <c r="AF413" s="15">
        <f>-K413</f>
        <v>13242048</v>
      </c>
      <c r="AG413" s="15"/>
      <c r="AH413" s="2">
        <f>K413+SUM(O413:AC413)</f>
        <v>0</v>
      </c>
      <c r="AI413" s="2">
        <f>K413+SUM(AF413:AG413)</f>
        <v>0</v>
      </c>
    </row>
    <row r="414" spans="1:35" x14ac:dyDescent="0.2">
      <c r="A414" s="11" t="s">
        <v>3</v>
      </c>
      <c r="B414" s="43">
        <v>45838</v>
      </c>
      <c r="H414" s="11" t="s">
        <v>35</v>
      </c>
      <c r="I414" s="11" t="s">
        <v>471</v>
      </c>
      <c r="K414" s="13">
        <v>-15444534</v>
      </c>
      <c r="L414" s="12">
        <v>62025</v>
      </c>
      <c r="M414" s="42" t="str">
        <f>LEFT(I414,(LEN(LEFT(I414,FIND(";",I414)))-8))</f>
        <v>VNOther</v>
      </c>
      <c r="N414" s="11"/>
      <c r="O414" s="15">
        <f>-$K414*IFERROR(INDEX('[1]salary allocation'!$E$6:$J$22,MATCH($H414,'[1]salary allocation'!$D$6:$D$22,0),MATCH(O$3,'[1]salary allocation'!$E$3:$J$3,0)),0)</f>
        <v>0</v>
      </c>
      <c r="P414" s="15">
        <f>-$K414*IFERROR(INDEX('[1]salary allocation'!$E$6:$J$22,MATCH($H414,'[1]salary allocation'!$D$6:$D$22,0),MATCH(P$3,'[1]salary allocation'!$E$3:$J$3,0)),0)</f>
        <v>2316680.1</v>
      </c>
      <c r="Q414" s="15">
        <f>-$K414*IFERROR(INDEX('[1]salary allocation'!$E$6:$J$22,MATCH($H414,'[1]salary allocation'!$D$6:$D$22,0),MATCH(Q$3,'[1]salary allocation'!$E$3:$J$3,0)),0)</f>
        <v>0</v>
      </c>
      <c r="R414" s="15">
        <f>-$K414*IFERROR(INDEX('[1]salary allocation'!$E$6:$J$22,MATCH($H414,'[1]salary allocation'!$D$6:$D$22,0),MATCH(R$3,'[1]salary allocation'!$E$3:$J$3,0)),0)</f>
        <v>0</v>
      </c>
      <c r="S414" s="15">
        <f>-$K414*IFERROR(INDEX('[1]salary allocation'!$E$6:$J$22,MATCH($H414,'[1]salary allocation'!$D$6:$D$22,0),MATCH(S$3,'[1]salary allocation'!$E$3:$J$3,0)),0)</f>
        <v>2625570.7799999998</v>
      </c>
      <c r="T414" s="15">
        <f>-$K414*IFERROR(INDEX('[1]salary allocation'!$E$6:$J$22,MATCH($H414,'[1]salary allocation'!$D$6:$D$22,0),MATCH(T$3,'[1]salary allocation'!$E$3:$J$3,0)),0)</f>
        <v>2625570.7799999998</v>
      </c>
      <c r="U414" s="15">
        <f>-$K414*IFERROR(INDEX('[1]salary allocation'!$E$6:$J$22,MATCH($H414,'[1]salary allocation'!$D$6:$D$22,0),MATCH(U$3,'[1]salary allocation'!$E$3:$J$3,0)),0)</f>
        <v>2625570.7799999998</v>
      </c>
      <c r="V414" s="15">
        <f>-$K414*IFERROR(INDEX('[1]salary allocation'!$E$6:$J$22,MATCH($H414,'[1]salary allocation'!$D$6:$D$22,0),MATCH(V$3,'[1]salary allocation'!$E$3:$J$3,0)),0)</f>
        <v>0</v>
      </c>
      <c r="W414" s="15">
        <f>-$K414*IFERROR(INDEX('[1]salary allocation'!$E$6:$J$22,MATCH($H414,'[1]salary allocation'!$D$6:$D$22,0),MATCH(W$3,'[1]salary allocation'!$E$3:$J$3,0)),0)</f>
        <v>5251141.5599999996</v>
      </c>
      <c r="X414" s="15">
        <f>-$K414*IFERROR(INDEX('[1]salary allocation'!$E$6:$J$22,MATCH($H414,'[1]salary allocation'!$D$6:$D$22,0),MATCH(X$3,'[1]salary allocation'!$E$3:$J$3,0)),0)</f>
        <v>0</v>
      </c>
      <c r="Y414" s="15">
        <f>-$K414*IFERROR(INDEX('[1]salary allocation'!$E$6:$J$22,MATCH($H414,'[1]salary allocation'!$D$6:$D$22,0),MATCH(Y$3,'[1]salary allocation'!$E$3:$J$3,0)),0)</f>
        <v>0</v>
      </c>
      <c r="Z414" s="15">
        <f>-$K414*IFERROR(INDEX('[1]salary allocation'!$E$6:$J$22,MATCH($H414,'[1]salary allocation'!$D$6:$D$22,0),MATCH(Z$3,'[1]salary allocation'!$E$3:$J$3,0)),0)</f>
        <v>0</v>
      </c>
      <c r="AA414" s="15">
        <f>-$K414*IFERROR(INDEX('[1]salary allocation'!$E$6:$J$22,MATCH($H414,'[1]salary allocation'!$D$6:$D$22,0),MATCH(AA$3,'[1]salary allocation'!$E$3:$J$3,0)),0)</f>
        <v>0</v>
      </c>
      <c r="AB414" s="15">
        <f>-$K414*IFERROR(INDEX('[1]salary allocation'!$E$6:$J$22,MATCH($H414,'[1]salary allocation'!$D$6:$D$22,0),MATCH(AB$3,'[1]salary allocation'!$E$3:$J$3,0)),0)</f>
        <v>0</v>
      </c>
      <c r="AC414" s="18">
        <f>-$K414*IFERROR(INDEX('[1]salary allocation'!$E$6:$J$22,MATCH($H414,'[1]salary allocation'!$D$6:$D$22,0),MATCH(AC$3,'[1]salary allocation'!$E$3:$J$3,0)),0)</f>
        <v>0</v>
      </c>
      <c r="AD414" s="17"/>
      <c r="AE414" s="16"/>
      <c r="AF414" s="15">
        <f>-$K414</f>
        <v>15444534</v>
      </c>
      <c r="AG414" s="15"/>
      <c r="AH414" s="2">
        <f>K414+SUM(O414:AC414)</f>
        <v>0</v>
      </c>
      <c r="AI414" s="2">
        <f>K414+SUM(AF414:AG414)</f>
        <v>0</v>
      </c>
    </row>
    <row r="415" spans="1:35" x14ac:dyDescent="0.2">
      <c r="A415" s="11" t="s">
        <v>3</v>
      </c>
      <c r="B415" s="43">
        <v>45838</v>
      </c>
      <c r="H415" s="11" t="s">
        <v>121</v>
      </c>
      <c r="I415" s="11" t="s">
        <v>470</v>
      </c>
      <c r="K415" s="13">
        <v>-4308352</v>
      </c>
      <c r="L415" s="12">
        <v>62025</v>
      </c>
      <c r="M415" s="42" t="str">
        <f>LEFT(I415,(LEN(LEFT(I415,FIND(";",I415)))-8))</f>
        <v>VNLA</v>
      </c>
      <c r="N415" s="11"/>
      <c r="O415" s="2">
        <f>IF($M415=O$3,-$K415,0)</f>
        <v>0</v>
      </c>
      <c r="P415" s="2">
        <f>IF($M415=P$3,-$K415,0)</f>
        <v>0</v>
      </c>
      <c r="Q415" s="2">
        <f>IF($M415=Q$3,-$K415,0)</f>
        <v>0</v>
      </c>
      <c r="R415" s="2">
        <f>IF($M415=R$3,-$K415,0)</f>
        <v>0</v>
      </c>
      <c r="S415" s="2">
        <f>IF($M415=S$3,-$K415,0)</f>
        <v>0</v>
      </c>
      <c r="T415" s="2">
        <f>IF($M415=T$3,-$K415,0)</f>
        <v>0</v>
      </c>
      <c r="U415" s="2">
        <f>IF($M415=U$3,-$K415,0)</f>
        <v>0</v>
      </c>
      <c r="V415" s="2">
        <f>IF($M415=V$3,-$K415,0)</f>
        <v>0</v>
      </c>
      <c r="W415" s="2">
        <f>IF($M415=W$3,-$K415,0)</f>
        <v>0</v>
      </c>
      <c r="X415" s="2">
        <f>IF($M415=X$3,-$K415,0)</f>
        <v>4308352</v>
      </c>
      <c r="Y415" s="2">
        <f>IF($M415=Y$3,-$K415,0)</f>
        <v>0</v>
      </c>
      <c r="Z415" s="2">
        <f>IF($M415=Z$3,-$K415,0)</f>
        <v>0</v>
      </c>
      <c r="AA415" s="2">
        <f>IF($M415=AA$3,-$K415,0)</f>
        <v>0</v>
      </c>
      <c r="AB415" s="2">
        <f>IF($M415=AB$3,-$K415,0)</f>
        <v>0</v>
      </c>
      <c r="AC415" s="21">
        <f>IF($M415=AC$3,-$K415,0)</f>
        <v>0</v>
      </c>
      <c r="AD415" s="20"/>
      <c r="AE415" s="19"/>
      <c r="AF415" s="2"/>
      <c r="AG415" s="2">
        <f>-$K415</f>
        <v>4308352</v>
      </c>
      <c r="AH415" s="2">
        <f>K415+SUM(O415:AC415)</f>
        <v>0</v>
      </c>
      <c r="AI415" s="2">
        <f>K415+SUM(AF415:AG415)</f>
        <v>0</v>
      </c>
    </row>
    <row r="416" spans="1:35" x14ac:dyDescent="0.2">
      <c r="A416" s="11" t="s">
        <v>3</v>
      </c>
      <c r="B416" s="43">
        <v>45838</v>
      </c>
      <c r="H416" s="11" t="s">
        <v>33</v>
      </c>
      <c r="I416" s="11" t="s">
        <v>469</v>
      </c>
      <c r="K416" s="13">
        <v>-3984832</v>
      </c>
      <c r="L416" s="12">
        <v>62025</v>
      </c>
      <c r="M416" s="42" t="str">
        <f>LEFT(I416,(LEN(LEFT(I416,FIND(";",I416)))-8))</f>
        <v>VNDN</v>
      </c>
      <c r="N416" s="11"/>
      <c r="O416" s="2">
        <f>IF($M416=O$3,-$K416,0)</f>
        <v>0</v>
      </c>
      <c r="P416" s="2">
        <f>IF($M416=P$3,-$K416,0)</f>
        <v>0</v>
      </c>
      <c r="Q416" s="2">
        <f>IF($M416=Q$3,-$K416,0)</f>
        <v>0</v>
      </c>
      <c r="R416" s="2">
        <f>IF($M416=R$3,-$K416,0)</f>
        <v>0</v>
      </c>
      <c r="S416" s="2">
        <f>IF($M416=S$3,-$K416,0)</f>
        <v>3984832</v>
      </c>
      <c r="T416" s="2">
        <f>IF($M416=T$3,-$K416,0)</f>
        <v>0</v>
      </c>
      <c r="U416" s="2">
        <f>IF($M416=U$3,-$K416,0)</f>
        <v>0</v>
      </c>
      <c r="V416" s="2">
        <f>IF($M416=V$3,-$K416,0)</f>
        <v>0</v>
      </c>
      <c r="W416" s="2">
        <f>IF($M416=W$3,-$K416,0)</f>
        <v>0</v>
      </c>
      <c r="X416" s="2">
        <f>IF($M416=X$3,-$K416,0)</f>
        <v>0</v>
      </c>
      <c r="Y416" s="2">
        <f>IF($M416=Y$3,-$K416,0)</f>
        <v>0</v>
      </c>
      <c r="Z416" s="2">
        <f>IF($M416=Z$3,-$K416,0)</f>
        <v>0</v>
      </c>
      <c r="AA416" s="2">
        <f>IF($M416=AA$3,-$K416,0)</f>
        <v>0</v>
      </c>
      <c r="AB416" s="2">
        <f>IF($M416=AB$3,-$K416,0)</f>
        <v>0</v>
      </c>
      <c r="AC416" s="21">
        <f>IF($M416=AC$3,-$K416,0)</f>
        <v>0</v>
      </c>
      <c r="AD416" s="20"/>
      <c r="AE416" s="19"/>
      <c r="AF416" s="2"/>
      <c r="AG416" s="2">
        <f>-$K416</f>
        <v>3984832</v>
      </c>
      <c r="AH416" s="2">
        <f>K416+SUM(O416:AC416)</f>
        <v>0</v>
      </c>
      <c r="AI416" s="2">
        <f>K416+SUM(AF416:AG416)</f>
        <v>0</v>
      </c>
    </row>
    <row r="417" spans="1:35" x14ac:dyDescent="0.2">
      <c r="A417" s="11" t="s">
        <v>3</v>
      </c>
      <c r="B417" s="43">
        <v>45838</v>
      </c>
      <c r="H417" s="11" t="s">
        <v>31</v>
      </c>
      <c r="I417" s="11" t="s">
        <v>468</v>
      </c>
      <c r="K417" s="13">
        <v>-5064512</v>
      </c>
      <c r="L417" s="12">
        <v>62025</v>
      </c>
      <c r="M417" s="42" t="str">
        <f>LEFT(I417,(LEN(LEFT(I417,FIND(";",I417)))-8))</f>
        <v>VNDN</v>
      </c>
      <c r="N417" s="11"/>
      <c r="O417" s="2">
        <f>IF($M417=O$3,-$K417,0)</f>
        <v>0</v>
      </c>
      <c r="P417" s="2">
        <f>IF($M417=P$3,-$K417,0)</f>
        <v>0</v>
      </c>
      <c r="Q417" s="2">
        <f>IF($M417=Q$3,-$K417,0)</f>
        <v>0</v>
      </c>
      <c r="R417" s="2">
        <f>IF($M417=R$3,-$K417,0)</f>
        <v>0</v>
      </c>
      <c r="S417" s="2">
        <f>IF($M417=S$3,-$K417,0)</f>
        <v>5064512</v>
      </c>
      <c r="T417" s="2">
        <f>IF($M417=T$3,-$K417,0)</f>
        <v>0</v>
      </c>
      <c r="U417" s="2">
        <f>IF($M417=U$3,-$K417,0)</f>
        <v>0</v>
      </c>
      <c r="V417" s="2">
        <f>IF($M417=V$3,-$K417,0)</f>
        <v>0</v>
      </c>
      <c r="W417" s="2">
        <f>IF($M417=W$3,-$K417,0)</f>
        <v>0</v>
      </c>
      <c r="X417" s="2">
        <f>IF($M417=X$3,-$K417,0)</f>
        <v>0</v>
      </c>
      <c r="Y417" s="2">
        <f>IF($M417=Y$3,-$K417,0)</f>
        <v>0</v>
      </c>
      <c r="Z417" s="2">
        <f>IF($M417=Z$3,-$K417,0)</f>
        <v>0</v>
      </c>
      <c r="AA417" s="2">
        <f>IF($M417=AA$3,-$K417,0)</f>
        <v>0</v>
      </c>
      <c r="AB417" s="2">
        <f>IF($M417=AB$3,-$K417,0)</f>
        <v>0</v>
      </c>
      <c r="AC417" s="21">
        <f>IF($M417=AC$3,-$K417,0)</f>
        <v>0</v>
      </c>
      <c r="AD417" s="20"/>
      <c r="AE417" s="19"/>
      <c r="AF417" s="2"/>
      <c r="AG417" s="2">
        <f>-$K417</f>
        <v>5064512</v>
      </c>
      <c r="AH417" s="2">
        <f>K417+SUM(O417:AC417)</f>
        <v>0</v>
      </c>
      <c r="AI417" s="2">
        <f>K417+SUM(AF417:AG417)</f>
        <v>0</v>
      </c>
    </row>
    <row r="418" spans="1:35" x14ac:dyDescent="0.2">
      <c r="A418" s="11" t="s">
        <v>3</v>
      </c>
      <c r="B418" s="43">
        <v>45838</v>
      </c>
      <c r="H418" s="11" t="s">
        <v>29</v>
      </c>
      <c r="I418" s="11" t="s">
        <v>467</v>
      </c>
      <c r="K418" s="13">
        <v>-6516352</v>
      </c>
      <c r="L418" s="12">
        <v>62025</v>
      </c>
      <c r="M418" s="42" t="str">
        <f>LEFT(I418,(LEN(LEFT(I418,FIND(";",I418)))-8))</f>
        <v>VNDN</v>
      </c>
      <c r="N418" s="11"/>
      <c r="O418" s="2">
        <f>IF($M418=O$3,-$K418,0)</f>
        <v>0</v>
      </c>
      <c r="P418" s="2">
        <f>IF($M418=P$3,-$K418,0)</f>
        <v>0</v>
      </c>
      <c r="Q418" s="2">
        <f>IF($M418=Q$3,-$K418,0)</f>
        <v>0</v>
      </c>
      <c r="R418" s="2">
        <f>IF($M418=R$3,-$K418,0)</f>
        <v>0</v>
      </c>
      <c r="S418" s="2">
        <f>IF($M418=S$3,-$K418,0)</f>
        <v>6516352</v>
      </c>
      <c r="T418" s="2">
        <f>IF($M418=T$3,-$K418,0)</f>
        <v>0</v>
      </c>
      <c r="U418" s="2">
        <f>IF($M418=U$3,-$K418,0)</f>
        <v>0</v>
      </c>
      <c r="V418" s="2">
        <f>IF($M418=V$3,-$K418,0)</f>
        <v>0</v>
      </c>
      <c r="W418" s="2">
        <f>IF($M418=W$3,-$K418,0)</f>
        <v>0</v>
      </c>
      <c r="X418" s="2">
        <f>IF($M418=X$3,-$K418,0)</f>
        <v>0</v>
      </c>
      <c r="Y418" s="2">
        <f>IF($M418=Y$3,-$K418,0)</f>
        <v>0</v>
      </c>
      <c r="Z418" s="2">
        <f>IF($M418=Z$3,-$K418,0)</f>
        <v>0</v>
      </c>
      <c r="AA418" s="2">
        <f>IF($M418=AA$3,-$K418,0)</f>
        <v>0</v>
      </c>
      <c r="AB418" s="2">
        <f>IF($M418=AB$3,-$K418,0)</f>
        <v>0</v>
      </c>
      <c r="AC418" s="21">
        <f>IF($M418=AC$3,-$K418,0)</f>
        <v>0</v>
      </c>
      <c r="AD418" s="20"/>
      <c r="AE418" s="19"/>
      <c r="AF418" s="2"/>
      <c r="AG418" s="2">
        <f>-$K418</f>
        <v>6516352</v>
      </c>
      <c r="AH418" s="2">
        <f>K418+SUM(O418:AC418)</f>
        <v>0</v>
      </c>
      <c r="AI418" s="2">
        <f>K418+SUM(AF418:AG418)</f>
        <v>0</v>
      </c>
    </row>
    <row r="419" spans="1:35" x14ac:dyDescent="0.2">
      <c r="A419" s="11" t="s">
        <v>3</v>
      </c>
      <c r="B419" s="43">
        <v>45838</v>
      </c>
      <c r="H419" s="11" t="s">
        <v>27</v>
      </c>
      <c r="I419" s="11" t="s">
        <v>466</v>
      </c>
      <c r="K419" s="13">
        <v>-4564352</v>
      </c>
      <c r="L419" s="12">
        <v>62025</v>
      </c>
      <c r="M419" s="42" t="str">
        <f>LEFT(I419,(LEN(LEFT(I419,FIND(";",I419)))-8))</f>
        <v>VNDN</v>
      </c>
      <c r="N419" s="11"/>
      <c r="O419" s="2">
        <f>IF($M419=O$3,-$K419,0)</f>
        <v>0</v>
      </c>
      <c r="P419" s="2">
        <f>IF($M419=P$3,-$K419,0)</f>
        <v>0</v>
      </c>
      <c r="Q419" s="2">
        <f>IF($M419=Q$3,-$K419,0)</f>
        <v>0</v>
      </c>
      <c r="R419" s="2">
        <f>IF($M419=R$3,-$K419,0)</f>
        <v>0</v>
      </c>
      <c r="S419" s="2">
        <f>IF($M419=S$3,-$K419,0)</f>
        <v>4564352</v>
      </c>
      <c r="T419" s="2">
        <f>IF($M419=T$3,-$K419,0)</f>
        <v>0</v>
      </c>
      <c r="U419" s="2">
        <f>IF($M419=U$3,-$K419,0)</f>
        <v>0</v>
      </c>
      <c r="V419" s="2">
        <f>IF($M419=V$3,-$K419,0)</f>
        <v>0</v>
      </c>
      <c r="W419" s="2">
        <f>IF($M419=W$3,-$K419,0)</f>
        <v>0</v>
      </c>
      <c r="X419" s="2">
        <f>IF($M419=X$3,-$K419,0)</f>
        <v>0</v>
      </c>
      <c r="Y419" s="2">
        <f>IF($M419=Y$3,-$K419,0)</f>
        <v>0</v>
      </c>
      <c r="Z419" s="2">
        <f>IF($M419=Z$3,-$K419,0)</f>
        <v>0</v>
      </c>
      <c r="AA419" s="2">
        <f>IF($M419=AA$3,-$K419,0)</f>
        <v>0</v>
      </c>
      <c r="AB419" s="2">
        <f>IF($M419=AB$3,-$K419,0)</f>
        <v>0</v>
      </c>
      <c r="AC419" s="21">
        <f>IF($M419=AC$3,-$K419,0)</f>
        <v>0</v>
      </c>
      <c r="AD419" s="20"/>
      <c r="AE419" s="19"/>
      <c r="AF419" s="2"/>
      <c r="AG419" s="2">
        <f>-$K419</f>
        <v>4564352</v>
      </c>
      <c r="AH419" s="2">
        <f>K419+SUM(O419:AC419)</f>
        <v>0</v>
      </c>
      <c r="AI419" s="2">
        <f>K419+SUM(AF419:AG419)</f>
        <v>0</v>
      </c>
    </row>
    <row r="420" spans="1:35" x14ac:dyDescent="0.2">
      <c r="A420" s="11" t="s">
        <v>3</v>
      </c>
      <c r="B420" s="43">
        <v>45838</v>
      </c>
      <c r="H420" s="11" t="s">
        <v>25</v>
      </c>
      <c r="I420" s="11" t="s">
        <v>465</v>
      </c>
      <c r="K420" s="13">
        <v>0</v>
      </c>
      <c r="L420" s="12">
        <v>62025</v>
      </c>
      <c r="M420" s="42" t="str">
        <f>LEFT(I420,(LEN(LEFT(I420,FIND(";",I420)))-8))</f>
        <v>VNQN</v>
      </c>
      <c r="N420" s="11"/>
      <c r="O420" s="2">
        <f>IF($M420=O$3,-$K420,0)</f>
        <v>0</v>
      </c>
      <c r="P420" s="2">
        <f>IF($M420=P$3,-$K420,0)</f>
        <v>0</v>
      </c>
      <c r="Q420" s="2">
        <f>IF($M420=Q$3,-$K420,0)</f>
        <v>0</v>
      </c>
      <c r="R420" s="2">
        <f>IF($M420=R$3,-$K420,0)</f>
        <v>0</v>
      </c>
      <c r="S420" s="2">
        <f>IF($M420=S$3,-$K420,0)</f>
        <v>0</v>
      </c>
      <c r="T420" s="2">
        <f>IF($M420=T$3,-$K420,0)</f>
        <v>0</v>
      </c>
      <c r="U420" s="2">
        <f>IF($M420=U$3,-$K420,0)</f>
        <v>0</v>
      </c>
      <c r="V420" s="2">
        <f>IF($M420=V$3,-$K420,0)</f>
        <v>0</v>
      </c>
      <c r="W420" s="2">
        <f>IF($M420=W$3,-$K420,0)</f>
        <v>0</v>
      </c>
      <c r="X420" s="2">
        <f>IF($M420=X$3,-$K420,0)</f>
        <v>0</v>
      </c>
      <c r="Y420" s="2">
        <f>IF($M420=Y$3,-$K420,0)</f>
        <v>0</v>
      </c>
      <c r="Z420" s="2">
        <f>IF($M420=Z$3,-$K420,0)</f>
        <v>0</v>
      </c>
      <c r="AA420" s="2">
        <f>IF($M420=AA$3,-$K420,0)</f>
        <v>0</v>
      </c>
      <c r="AB420" s="2">
        <f>IF($M420=AB$3,-$K420,0)</f>
        <v>0</v>
      </c>
      <c r="AC420" s="21">
        <f>IF($M420=AC$3,-$K420,0)</f>
        <v>0</v>
      </c>
      <c r="AD420" s="20"/>
      <c r="AE420" s="19"/>
      <c r="AF420" s="2"/>
      <c r="AG420" s="2">
        <f>-$K420</f>
        <v>0</v>
      </c>
      <c r="AH420" s="2">
        <f>K420+SUM(O420:AC420)</f>
        <v>0</v>
      </c>
      <c r="AI420" s="2">
        <f>K420+SUM(AF420:AG420)</f>
        <v>0</v>
      </c>
    </row>
    <row r="421" spans="1:35" x14ac:dyDescent="0.2">
      <c r="A421" s="11" t="s">
        <v>3</v>
      </c>
      <c r="B421" s="43">
        <v>45838</v>
      </c>
      <c r="H421" s="11" t="s">
        <v>81</v>
      </c>
      <c r="I421" s="11" t="s">
        <v>464</v>
      </c>
      <c r="K421" s="13">
        <v>-4069952</v>
      </c>
      <c r="L421" s="12">
        <v>62025</v>
      </c>
      <c r="M421" s="42" t="str">
        <f>LEFT(I421,(LEN(LEFT(I421,FIND(";",I421)))-8))</f>
        <v>VNQN</v>
      </c>
      <c r="N421" s="11"/>
      <c r="O421" s="2">
        <f>IF($M421=O$3,-$K421,0)</f>
        <v>0</v>
      </c>
      <c r="P421" s="2">
        <f>IF($M421=P$3,-$K421,0)</f>
        <v>0</v>
      </c>
      <c r="Q421" s="2">
        <f>IF($M421=Q$3,-$K421,0)</f>
        <v>0</v>
      </c>
      <c r="R421" s="2">
        <f>IF($M421=R$3,-$K421,0)</f>
        <v>0</v>
      </c>
      <c r="S421" s="2">
        <f>IF($M421=S$3,-$K421,0)</f>
        <v>0</v>
      </c>
      <c r="T421" s="2">
        <f>IF($M421=T$3,-$K421,0)</f>
        <v>4069952</v>
      </c>
      <c r="U421" s="2">
        <f>IF($M421=U$3,-$K421,0)</f>
        <v>0</v>
      </c>
      <c r="V421" s="2">
        <f>IF($M421=V$3,-$K421,0)</f>
        <v>0</v>
      </c>
      <c r="W421" s="2">
        <f>IF($M421=W$3,-$K421,0)</f>
        <v>0</v>
      </c>
      <c r="X421" s="2">
        <f>IF($M421=X$3,-$K421,0)</f>
        <v>0</v>
      </c>
      <c r="Y421" s="2">
        <f>IF($M421=Y$3,-$K421,0)</f>
        <v>0</v>
      </c>
      <c r="Z421" s="2">
        <f>IF($M421=Z$3,-$K421,0)</f>
        <v>0</v>
      </c>
      <c r="AA421" s="2">
        <f>IF($M421=AA$3,-$K421,0)</f>
        <v>0</v>
      </c>
      <c r="AB421" s="2">
        <f>IF($M421=AB$3,-$K421,0)</f>
        <v>0</v>
      </c>
      <c r="AC421" s="21">
        <f>IF($M421=AC$3,-$K421,0)</f>
        <v>0</v>
      </c>
      <c r="AD421" s="20"/>
      <c r="AE421" s="19"/>
      <c r="AF421" s="2"/>
      <c r="AG421" s="2">
        <f>-$K421</f>
        <v>4069952</v>
      </c>
      <c r="AH421" s="2">
        <f>K421+SUM(O421:AC421)</f>
        <v>0</v>
      </c>
      <c r="AI421" s="2">
        <f>K421+SUM(AF421:AG421)</f>
        <v>0</v>
      </c>
    </row>
    <row r="422" spans="1:35" x14ac:dyDescent="0.2">
      <c r="A422" s="11" t="s">
        <v>3</v>
      </c>
      <c r="B422" s="43">
        <v>45838</v>
      </c>
      <c r="H422" s="11" t="s">
        <v>23</v>
      </c>
      <c r="I422" s="11" t="s">
        <v>463</v>
      </c>
      <c r="K422" s="13">
        <v>-4069952</v>
      </c>
      <c r="L422" s="12">
        <v>62025</v>
      </c>
      <c r="M422" s="42" t="str">
        <f>LEFT(I422,(LEN(LEFT(I422,FIND(";",I422)))-8))</f>
        <v>VNHD</v>
      </c>
      <c r="N422" s="11"/>
      <c r="O422" s="2">
        <f>IF($M422=O$3,-$K422,0)</f>
        <v>0</v>
      </c>
      <c r="P422" s="2">
        <f>IF($M422=P$3,-$K422,0)</f>
        <v>0</v>
      </c>
      <c r="Q422" s="2">
        <f>IF($M422=Q$3,-$K422,0)</f>
        <v>0</v>
      </c>
      <c r="R422" s="2">
        <f>IF($M422=R$3,-$K422,0)</f>
        <v>0</v>
      </c>
      <c r="S422" s="2">
        <f>IF($M422=S$3,-$K422,0)</f>
        <v>0</v>
      </c>
      <c r="T422" s="2">
        <f>IF($M422=T$3,-$K422,0)</f>
        <v>0</v>
      </c>
      <c r="U422" s="2">
        <f>IF($M422=U$3,-$K422,0)</f>
        <v>4069952</v>
      </c>
      <c r="V422" s="2">
        <f>IF($M422=V$3,-$K422,0)</f>
        <v>0</v>
      </c>
      <c r="W422" s="2">
        <f>IF($M422=W$3,-$K422,0)</f>
        <v>0</v>
      </c>
      <c r="X422" s="2">
        <f>IF($M422=X$3,-$K422,0)</f>
        <v>0</v>
      </c>
      <c r="Y422" s="2">
        <f>IF($M422=Y$3,-$K422,0)</f>
        <v>0</v>
      </c>
      <c r="Z422" s="2">
        <f>IF($M422=Z$3,-$K422,0)</f>
        <v>0</v>
      </c>
      <c r="AA422" s="2">
        <f>IF($M422=AA$3,-$K422,0)</f>
        <v>0</v>
      </c>
      <c r="AB422" s="2">
        <f>IF($M422=AB$3,-$K422,0)</f>
        <v>0</v>
      </c>
      <c r="AC422" s="21">
        <f>IF($M422=AC$3,-$K422,0)</f>
        <v>0</v>
      </c>
      <c r="AD422" s="20"/>
      <c r="AE422" s="19"/>
      <c r="AF422" s="2"/>
      <c r="AG422" s="2">
        <f>-$K422</f>
        <v>4069952</v>
      </c>
      <c r="AH422" s="2">
        <f>K422+SUM(O422:AC422)</f>
        <v>0</v>
      </c>
      <c r="AI422" s="2">
        <f>K422+SUM(AF422:AG422)</f>
        <v>0</v>
      </c>
    </row>
    <row r="423" spans="1:35" x14ac:dyDescent="0.2">
      <c r="A423" s="11" t="s">
        <v>3</v>
      </c>
      <c r="B423" s="43">
        <v>45838</v>
      </c>
      <c r="H423" s="11" t="s">
        <v>21</v>
      </c>
      <c r="I423" s="11" t="s">
        <v>462</v>
      </c>
      <c r="K423" s="13">
        <v>-4564352</v>
      </c>
      <c r="L423" s="12">
        <v>62025</v>
      </c>
      <c r="M423" s="42" t="str">
        <f>LEFT(I423,(LEN(LEFT(I423,FIND(";",I423)))-8))</f>
        <v>VNHCM</v>
      </c>
      <c r="N423" s="11"/>
      <c r="O423" s="2">
        <f>IF($M423=O$3,-$K423,0)</f>
        <v>0</v>
      </c>
      <c r="P423" s="2">
        <f>IF($M423=P$3,-$K423,0)</f>
        <v>0</v>
      </c>
      <c r="Q423" s="2">
        <f>IF($M423=Q$3,-$K423,0)</f>
        <v>0</v>
      </c>
      <c r="R423" s="2">
        <f>IF($M423=R$3,-$K423,0)</f>
        <v>0</v>
      </c>
      <c r="S423" s="2">
        <f>IF($M423=S$3,-$K423,0)</f>
        <v>0</v>
      </c>
      <c r="T423" s="2">
        <f>IF($M423=T$3,-$K423,0)</f>
        <v>0</v>
      </c>
      <c r="U423" s="2">
        <f>IF($M423=U$3,-$K423,0)</f>
        <v>0</v>
      </c>
      <c r="V423" s="2">
        <f>IF($M423=V$3,-$K423,0)</f>
        <v>0</v>
      </c>
      <c r="W423" s="2">
        <f>IF($M423=W$3,-$K423,0)</f>
        <v>0</v>
      </c>
      <c r="X423" s="2">
        <f>IF($M423=X$3,-$K423,0)</f>
        <v>0</v>
      </c>
      <c r="Y423" s="2">
        <f>IF($M423=Y$3,-$K423,0)</f>
        <v>4564352</v>
      </c>
      <c r="Z423" s="2">
        <f>IF($M423=Z$3,-$K423,0)</f>
        <v>0</v>
      </c>
      <c r="AA423" s="2">
        <f>IF($M423=AA$3,-$K423,0)</f>
        <v>0</v>
      </c>
      <c r="AB423" s="2">
        <f>IF($M423=AB$3,-$K423,0)</f>
        <v>0</v>
      </c>
      <c r="AC423" s="21">
        <f>IF($M423=AC$3,-$K423,0)</f>
        <v>0</v>
      </c>
      <c r="AD423" s="20"/>
      <c r="AE423" s="19"/>
      <c r="AF423" s="2"/>
      <c r="AG423" s="2">
        <f>-$K423</f>
        <v>4564352</v>
      </c>
      <c r="AH423" s="2">
        <f>K423+SUM(O423:AC423)</f>
        <v>0</v>
      </c>
      <c r="AI423" s="2">
        <f>K423+SUM(AF423:AG423)</f>
        <v>0</v>
      </c>
    </row>
    <row r="424" spans="1:35" x14ac:dyDescent="0.2">
      <c r="A424" s="11" t="s">
        <v>3</v>
      </c>
      <c r="B424" s="43">
        <v>45838</v>
      </c>
      <c r="H424" s="11" t="s">
        <v>156</v>
      </c>
      <c r="I424" s="11" t="s">
        <v>461</v>
      </c>
      <c r="K424" s="13">
        <v>0</v>
      </c>
      <c r="L424" s="12">
        <v>62025</v>
      </c>
      <c r="M424" s="42" t="str">
        <f>LEFT(I424,(LEN(LEFT(I424,FIND(";",I424)))-8))</f>
        <v>VNBG</v>
      </c>
      <c r="N424" s="11"/>
      <c r="O424" s="2">
        <f>IF($M424=O$3,-$K424,0)</f>
        <v>0</v>
      </c>
      <c r="P424" s="2">
        <f>IF($M424=P$3,-$K424,0)</f>
        <v>0</v>
      </c>
      <c r="Q424" s="2">
        <f>IF($M424=Q$3,-$K424,0)</f>
        <v>0</v>
      </c>
      <c r="R424" s="2">
        <f>IF($M424=R$3,-$K424,0)</f>
        <v>0</v>
      </c>
      <c r="S424" s="2">
        <f>IF($M424=S$3,-$K424,0)</f>
        <v>0</v>
      </c>
      <c r="T424" s="2">
        <f>IF($M424=T$3,-$K424,0)</f>
        <v>0</v>
      </c>
      <c r="U424" s="2">
        <f>IF($M424=U$3,-$K424,0)</f>
        <v>0</v>
      </c>
      <c r="V424" s="2">
        <f>IF($M424=V$3,-$K424,0)</f>
        <v>0</v>
      </c>
      <c r="W424" s="2">
        <f>IF($M424=W$3,-$K424,0)</f>
        <v>0</v>
      </c>
      <c r="X424" s="2">
        <f>IF($M424=X$3,-$K424,0)</f>
        <v>0</v>
      </c>
      <c r="Y424" s="2">
        <f>IF($M424=Y$3,-$K424,0)</f>
        <v>0</v>
      </c>
      <c r="Z424" s="2">
        <f>IF($M424=Z$3,-$K424,0)</f>
        <v>0</v>
      </c>
      <c r="AA424" s="2">
        <f>IF($M424=AA$3,-$K424,0)</f>
        <v>0</v>
      </c>
      <c r="AB424" s="2">
        <f>IF($M424=AB$3,-$K424,0)</f>
        <v>0</v>
      </c>
      <c r="AC424" s="21">
        <f>IF($M424=AC$3,-$K424,0)</f>
        <v>0</v>
      </c>
      <c r="AD424" s="20"/>
      <c r="AE424" s="19"/>
      <c r="AF424" s="2"/>
      <c r="AG424" s="2"/>
      <c r="AH424" s="2">
        <f>K424+SUM(O424:AC424)</f>
        <v>0</v>
      </c>
      <c r="AI424" s="2">
        <f>K424+SUM(AF424:AG424)</f>
        <v>0</v>
      </c>
    </row>
    <row r="425" spans="1:35" x14ac:dyDescent="0.2">
      <c r="A425" s="11" t="s">
        <v>3</v>
      </c>
      <c r="B425" s="44">
        <v>45838</v>
      </c>
      <c r="H425" s="11" t="s">
        <v>19</v>
      </c>
      <c r="I425" s="11" t="s">
        <v>460</v>
      </c>
      <c r="K425" s="13">
        <v>-4564352</v>
      </c>
      <c r="L425" s="12">
        <v>62025</v>
      </c>
      <c r="M425" s="42" t="str">
        <f>LEFT(I425,(LEN(LEFT(I425,FIND(";",I425)))-8))</f>
        <v>VNQN</v>
      </c>
      <c r="N425" s="11"/>
      <c r="O425" s="2">
        <f>IF($M425=O$3,-$K425,0)</f>
        <v>0</v>
      </c>
      <c r="P425" s="2">
        <f>IF($M425=P$3,-$K425,0)</f>
        <v>0</v>
      </c>
      <c r="Q425" s="2">
        <f>IF($M425=Q$3,-$K425,0)</f>
        <v>0</v>
      </c>
      <c r="R425" s="2">
        <f>IF($M425=R$3,-$K425,0)</f>
        <v>0</v>
      </c>
      <c r="S425" s="2">
        <f>IF($M425=S$3,-$K425,0)</f>
        <v>0</v>
      </c>
      <c r="T425" s="2">
        <f>IF($M425=T$3,-$K425,0)</f>
        <v>4564352</v>
      </c>
      <c r="U425" s="2">
        <f>IF($M425=U$3,-$K425,0)</f>
        <v>0</v>
      </c>
      <c r="V425" s="2">
        <f>IF($M425=V$3,-$K425,0)</f>
        <v>0</v>
      </c>
      <c r="W425" s="2">
        <f>IF($M425=W$3,-$K425,0)</f>
        <v>0</v>
      </c>
      <c r="X425" s="2">
        <f>IF($M425=X$3,-$K425,0)</f>
        <v>0</v>
      </c>
      <c r="Y425" s="2">
        <f>IF($M425=Y$3,-$K425,0)</f>
        <v>0</v>
      </c>
      <c r="Z425" s="2">
        <f>IF($M425=Z$3,-$K425,0)</f>
        <v>0</v>
      </c>
      <c r="AA425" s="2">
        <f>IF($M425=AA$3,-$K425,0)</f>
        <v>0</v>
      </c>
      <c r="AB425" s="2">
        <f>IF($M425=AB$3,-$K425,0)</f>
        <v>0</v>
      </c>
      <c r="AC425" s="21">
        <f>IF($M425=AC$3,-$K425,0)</f>
        <v>0</v>
      </c>
      <c r="AD425" s="20"/>
      <c r="AE425" s="19"/>
      <c r="AF425" s="2"/>
      <c r="AG425" s="2">
        <f>-$K425</f>
        <v>4564352</v>
      </c>
      <c r="AH425" s="2">
        <f>K425+SUM(O425:AC425)</f>
        <v>0</v>
      </c>
      <c r="AI425" s="2">
        <f>K425+SUM(AF425:AG425)</f>
        <v>0</v>
      </c>
    </row>
    <row r="426" spans="1:35" x14ac:dyDescent="0.2">
      <c r="A426" s="11" t="s">
        <v>3</v>
      </c>
      <c r="B426" s="43">
        <v>45838</v>
      </c>
      <c r="H426" s="11" t="s">
        <v>153</v>
      </c>
      <c r="I426" s="11" t="s">
        <v>459</v>
      </c>
      <c r="K426" s="13">
        <v>-4244352</v>
      </c>
      <c r="L426" s="12">
        <v>62025</v>
      </c>
      <c r="M426" s="42" t="str">
        <f>LEFT(I426,(LEN(LEFT(I426,FIND(";",I426)))-8))</f>
        <v>VNBN</v>
      </c>
      <c r="N426" s="11"/>
      <c r="O426" s="2">
        <f>IF($M426=O$3,-$K426,0)</f>
        <v>0</v>
      </c>
      <c r="P426" s="2">
        <f>IF($M426=P$3,-$K426,0)</f>
        <v>0</v>
      </c>
      <c r="Q426" s="2">
        <f>IF($M426=Q$3,-$K426,0)</f>
        <v>0</v>
      </c>
      <c r="R426" s="2">
        <f>IF($M426=R$3,-$K426,0)</f>
        <v>0</v>
      </c>
      <c r="S426" s="2">
        <f>IF($M426=S$3,-$K426,0)</f>
        <v>0</v>
      </c>
      <c r="T426" s="2">
        <f>IF($M426=T$3,-$K426,0)</f>
        <v>0</v>
      </c>
      <c r="U426" s="2">
        <f>IF($M426=U$3,-$K426,0)</f>
        <v>0</v>
      </c>
      <c r="V426" s="2">
        <f>IF($M426=V$3,-$K426,0)</f>
        <v>0</v>
      </c>
      <c r="W426" s="2">
        <f>IF($M426=W$3,-$K426,0)</f>
        <v>0</v>
      </c>
      <c r="X426" s="2">
        <f>IF($M426=X$3,-$K426,0)</f>
        <v>0</v>
      </c>
      <c r="Y426" s="2">
        <f>IF($M426=Y$3,-$K426,0)</f>
        <v>0</v>
      </c>
      <c r="Z426" s="2">
        <f>IF($M426=Z$3,-$K426,0)</f>
        <v>0</v>
      </c>
      <c r="AA426" s="2">
        <f>IF($M426=AA$3,-$K426,0)</f>
        <v>4244352</v>
      </c>
      <c r="AB426" s="2">
        <f>IF($M426=AB$3,-$K426,0)</f>
        <v>0</v>
      </c>
      <c r="AC426" s="21">
        <f>IF($M426=AC$3,-$K426,0)</f>
        <v>0</v>
      </c>
      <c r="AD426" s="20"/>
      <c r="AE426" s="19"/>
      <c r="AF426" s="2"/>
      <c r="AG426" s="2">
        <f>-K426</f>
        <v>4244352</v>
      </c>
      <c r="AH426" s="2">
        <f>K426+SUM(O426:AC426)</f>
        <v>0</v>
      </c>
      <c r="AI426" s="2">
        <f>K426+SUM(AF426:AG426)</f>
        <v>0</v>
      </c>
    </row>
    <row r="427" spans="1:35" x14ac:dyDescent="0.2">
      <c r="A427" s="11" t="s">
        <v>3</v>
      </c>
      <c r="B427" s="43">
        <v>45838</v>
      </c>
      <c r="H427" s="11" t="s">
        <v>151</v>
      </c>
      <c r="I427" s="11" t="s">
        <v>458</v>
      </c>
      <c r="K427" s="13">
        <v>-3924352</v>
      </c>
      <c r="L427" s="12">
        <v>62025</v>
      </c>
      <c r="M427" s="42" t="str">
        <f>LEFT(I427,(LEN(LEFT(I427,FIND(";",I427)))-8))</f>
        <v>VNQN</v>
      </c>
      <c r="N427" s="11"/>
      <c r="O427" s="2">
        <f>IF($M427=O$3,-$K427,0)</f>
        <v>0</v>
      </c>
      <c r="P427" s="2">
        <f>IF($M427=P$3,-$K427,0)</f>
        <v>0</v>
      </c>
      <c r="Q427" s="2">
        <f>IF($M427=Q$3,-$K427,0)</f>
        <v>0</v>
      </c>
      <c r="R427" s="2">
        <f>IF($M427=R$3,-$K427,0)</f>
        <v>0</v>
      </c>
      <c r="S427" s="2">
        <f>IF($M427=S$3,-$K427,0)</f>
        <v>0</v>
      </c>
      <c r="T427" s="2">
        <f>IF($M427=T$3,-$K427,0)</f>
        <v>3924352</v>
      </c>
      <c r="U427" s="2">
        <f>IF($M427=U$3,-$K427,0)</f>
        <v>0</v>
      </c>
      <c r="V427" s="2">
        <f>IF($M427=V$3,-$K427,0)</f>
        <v>0</v>
      </c>
      <c r="W427" s="2">
        <f>IF($M427=W$3,-$K427,0)</f>
        <v>0</v>
      </c>
      <c r="X427" s="2">
        <f>IF($M427=X$3,-$K427,0)</f>
        <v>0</v>
      </c>
      <c r="Y427" s="2">
        <f>IF($M427=Y$3,-$K427,0)</f>
        <v>0</v>
      </c>
      <c r="Z427" s="2">
        <f>IF($M427=Z$3,-$K427,0)</f>
        <v>0</v>
      </c>
      <c r="AA427" s="2">
        <f>IF($M427=AA$3,-$K427,0)</f>
        <v>0</v>
      </c>
      <c r="AB427" s="2">
        <f>IF($M427=AB$3,-$K427,0)</f>
        <v>0</v>
      </c>
      <c r="AC427" s="21">
        <f>IF($M427=AC$3,-$K427,0)</f>
        <v>0</v>
      </c>
      <c r="AD427" s="20"/>
      <c r="AE427" s="19"/>
      <c r="AF427" s="2"/>
      <c r="AG427" s="2">
        <f>-$K427</f>
        <v>3924352</v>
      </c>
      <c r="AH427" s="2">
        <f>K427+SUM(O427:AC427)</f>
        <v>0</v>
      </c>
      <c r="AI427" s="2">
        <f>K427+SUM(AF427:AG427)</f>
        <v>0</v>
      </c>
    </row>
    <row r="428" spans="1:35" x14ac:dyDescent="0.2">
      <c r="A428" s="11" t="s">
        <v>3</v>
      </c>
      <c r="B428" s="43">
        <v>45838</v>
      </c>
      <c r="H428" s="11" t="s">
        <v>76</v>
      </c>
      <c r="I428" s="11" t="s">
        <v>457</v>
      </c>
      <c r="K428" s="13">
        <v>0</v>
      </c>
      <c r="L428" s="12">
        <v>62025</v>
      </c>
      <c r="M428" s="42" t="str">
        <f>LEFT(I428,(LEN(LEFT(I428,FIND(";",I428)))-8))</f>
        <v>VNMOET</v>
      </c>
      <c r="N428" s="11"/>
      <c r="O428" s="2">
        <f>IF($M428=O$3,-$K428,0)</f>
        <v>0</v>
      </c>
      <c r="P428" s="2">
        <f>IF($M428=P$3,-$K428,0)</f>
        <v>0</v>
      </c>
      <c r="Q428" s="2">
        <f>IF($M428=Q$3,-$K428,0)</f>
        <v>0</v>
      </c>
      <c r="R428" s="2">
        <f>IF($M428=R$3,-$K428,0)</f>
        <v>0</v>
      </c>
      <c r="S428" s="2">
        <f>IF($M428=S$3,-$K428,0)</f>
        <v>0</v>
      </c>
      <c r="T428" s="2">
        <f>IF($M428=T$3,-$K428,0)</f>
        <v>0</v>
      </c>
      <c r="U428" s="2">
        <f>IF($M428=U$3,-$K428,0)</f>
        <v>0</v>
      </c>
      <c r="V428" s="2">
        <f>IF($M428=V$3,-$K428,0)</f>
        <v>0</v>
      </c>
      <c r="W428" s="2">
        <f>IF($M428=W$3,-$K428,0)</f>
        <v>0</v>
      </c>
      <c r="X428" s="2">
        <f>IF($M428=X$3,-$K428,0)</f>
        <v>0</v>
      </c>
      <c r="Y428" s="2">
        <f>IF($M428=Y$3,-$K428,0)</f>
        <v>0</v>
      </c>
      <c r="Z428" s="2">
        <f>IF($M428=Z$3,-$K428,0)</f>
        <v>0</v>
      </c>
      <c r="AA428" s="2">
        <f>IF($M428=AA$3,-$K428,0)</f>
        <v>0</v>
      </c>
      <c r="AB428" s="2">
        <f>IF($M428=AB$3,-$K428,0)</f>
        <v>0</v>
      </c>
      <c r="AC428" s="21">
        <f>IF($M428=AC$3,-$K428,0)</f>
        <v>0</v>
      </c>
      <c r="AD428" s="20"/>
      <c r="AE428" s="19"/>
      <c r="AF428" s="2">
        <f>-$K428</f>
        <v>0</v>
      </c>
      <c r="AG428" s="2"/>
      <c r="AH428" s="2">
        <f>K428+SUM(O428:AC428)</f>
        <v>0</v>
      </c>
      <c r="AI428" s="2">
        <f>K428+SUM(AF428:AG428)</f>
        <v>0</v>
      </c>
    </row>
    <row r="429" spans="1:35" x14ac:dyDescent="0.2">
      <c r="A429" s="11" t="s">
        <v>3</v>
      </c>
      <c r="B429" s="43">
        <v>45838</v>
      </c>
      <c r="H429" s="11" t="s">
        <v>17</v>
      </c>
      <c r="I429" s="11" t="s">
        <v>456</v>
      </c>
      <c r="K429" s="13">
        <v>-3604352</v>
      </c>
      <c r="L429" s="12">
        <v>62025</v>
      </c>
      <c r="M429" s="42" t="str">
        <f>LEFT(I429,(LEN(LEFT(I429,FIND(";",I429)))-8))</f>
        <v>VNQN</v>
      </c>
      <c r="N429" s="11"/>
      <c r="O429" s="2">
        <f>IF($M429=O$3,-$K429,0)</f>
        <v>0</v>
      </c>
      <c r="P429" s="2">
        <f>IF($M429=P$3,-$K429,0)</f>
        <v>0</v>
      </c>
      <c r="Q429" s="2">
        <f>IF($M429=Q$3,-$K429,0)</f>
        <v>0</v>
      </c>
      <c r="R429" s="2">
        <f>IF($M429=R$3,-$K429,0)</f>
        <v>0</v>
      </c>
      <c r="S429" s="2">
        <f>IF($M429=S$3,-$K429,0)</f>
        <v>0</v>
      </c>
      <c r="T429" s="2">
        <f>IF($M429=T$3,-$K429,0)</f>
        <v>3604352</v>
      </c>
      <c r="U429" s="2">
        <f>IF($M429=U$3,-$K429,0)</f>
        <v>0</v>
      </c>
      <c r="V429" s="2">
        <f>IF($M429=V$3,-$K429,0)</f>
        <v>0</v>
      </c>
      <c r="W429" s="2">
        <f>IF($M429=W$3,-$K429,0)</f>
        <v>0</v>
      </c>
      <c r="X429" s="2">
        <f>IF($M429=X$3,-$K429,0)</f>
        <v>0</v>
      </c>
      <c r="Y429" s="2">
        <f>IF($M429=Y$3,-$K429,0)</f>
        <v>0</v>
      </c>
      <c r="Z429" s="2">
        <f>IF($M429=Z$3,-$K429,0)</f>
        <v>0</v>
      </c>
      <c r="AA429" s="2">
        <f>IF($M429=AA$3,-$K429,0)</f>
        <v>0</v>
      </c>
      <c r="AB429" s="2">
        <f>IF($M429=AB$3,-$K429,0)</f>
        <v>0</v>
      </c>
      <c r="AC429" s="21">
        <f>IF($M429=AC$3,-$K429,0)</f>
        <v>0</v>
      </c>
      <c r="AD429" s="20"/>
      <c r="AE429" s="19"/>
      <c r="AF429" s="2"/>
      <c r="AG429" s="2">
        <f>-$K429</f>
        <v>3604352</v>
      </c>
      <c r="AH429" s="2">
        <f>K429+SUM(O429:AC429)</f>
        <v>0</v>
      </c>
      <c r="AI429" s="2">
        <f>K429+SUM(AF429:AG429)</f>
        <v>0</v>
      </c>
    </row>
    <row r="430" spans="1:35" x14ac:dyDescent="0.2">
      <c r="A430" s="11" t="s">
        <v>3</v>
      </c>
      <c r="B430" s="43">
        <v>45838</v>
      </c>
      <c r="H430" s="11" t="s">
        <v>11</v>
      </c>
      <c r="I430" s="11" t="s">
        <v>455</v>
      </c>
      <c r="K430" s="13">
        <v>-3976000</v>
      </c>
      <c r="L430" s="12">
        <v>62025</v>
      </c>
      <c r="M430" s="42" t="str">
        <f>LEFT(I430,(LEN(LEFT(I430,FIND(";",I430)))-8))</f>
        <v>VNQN</v>
      </c>
      <c r="N430" s="11"/>
      <c r="O430" s="2">
        <f>IF($M430=O$3,-$K430,0)</f>
        <v>0</v>
      </c>
      <c r="P430" s="2">
        <f>IF($M430=P$3,-$K430,0)</f>
        <v>0</v>
      </c>
      <c r="Q430" s="2">
        <f>IF($M430=Q$3,-$K430,0)</f>
        <v>0</v>
      </c>
      <c r="R430" s="2">
        <f>IF($M430=R$3,-$K430,0)</f>
        <v>0</v>
      </c>
      <c r="S430" s="2">
        <f>IF($M430=S$3,-$K430,0)</f>
        <v>0</v>
      </c>
      <c r="T430" s="2">
        <f>IF($M430=T$3,-$K430,0)</f>
        <v>3976000</v>
      </c>
      <c r="U430" s="2">
        <f>IF($M430=U$3,-$K430,0)</f>
        <v>0</v>
      </c>
      <c r="V430" s="2">
        <f>IF($M430=V$3,-$K430,0)</f>
        <v>0</v>
      </c>
      <c r="W430" s="2">
        <f>IF($M430=W$3,-$K430,0)</f>
        <v>0</v>
      </c>
      <c r="X430" s="2">
        <f>IF($M430=X$3,-$K430,0)</f>
        <v>0</v>
      </c>
      <c r="Y430" s="2">
        <f>IF($M430=Y$3,-$K430,0)</f>
        <v>0</v>
      </c>
      <c r="Z430" s="2">
        <f>IF($M430=Z$3,-$K430,0)</f>
        <v>0</v>
      </c>
      <c r="AA430" s="2">
        <f>IF($M430=AA$3,-$K430,0)</f>
        <v>0</v>
      </c>
      <c r="AB430" s="2">
        <f>IF($M430=AB$3,-$K430,0)</f>
        <v>0</v>
      </c>
      <c r="AC430" s="21">
        <f>IF($M430=AC$3,-$K430,0)</f>
        <v>0</v>
      </c>
      <c r="AD430" s="20"/>
      <c r="AE430" s="19"/>
      <c r="AF430" s="2"/>
      <c r="AG430" s="2">
        <f>-$K430</f>
        <v>3976000</v>
      </c>
      <c r="AH430" s="2">
        <f>K430+SUM(O430:AC430)</f>
        <v>0</v>
      </c>
      <c r="AI430" s="2">
        <f>K430+SUM(AF430:AG430)</f>
        <v>0</v>
      </c>
    </row>
    <row r="431" spans="1:35" x14ac:dyDescent="0.2">
      <c r="A431" s="11" t="s">
        <v>3</v>
      </c>
      <c r="B431" s="22">
        <v>45869</v>
      </c>
      <c r="H431" s="11" t="s">
        <v>135</v>
      </c>
      <c r="I431" s="11" t="s">
        <v>454</v>
      </c>
      <c r="K431" s="13">
        <v>0</v>
      </c>
      <c r="L431" s="12">
        <v>72025</v>
      </c>
      <c r="M431" s="42" t="str">
        <f>LEFT(I431,(LEN(LEFT(I431,FIND(";",I431)))-8))</f>
        <v>VNOther</v>
      </c>
      <c r="N431" s="11"/>
      <c r="O431" s="15">
        <f>-$K431*IFERROR(INDEX('[1]salary allocation'!$E$6:$J$22,MATCH($H431,'[1]salary allocation'!$D$6:$D$22,0),MATCH(O$3,'[1]salary allocation'!$E$3:$J$3,0)),0)</f>
        <v>0</v>
      </c>
      <c r="P431" s="15">
        <f>-$K431*IFERROR(INDEX('[1]salary allocation'!$E$6:$J$22,MATCH($H431,'[1]salary allocation'!$D$6:$D$22,0),MATCH(P$3,'[1]salary allocation'!$E$3:$J$3,0)),0)</f>
        <v>0</v>
      </c>
      <c r="Q431" s="15">
        <f>-$K431*IFERROR(INDEX('[1]salary allocation'!$E$6:$J$22,MATCH($H431,'[1]salary allocation'!$D$6:$D$22,0),MATCH(Q$3,'[1]salary allocation'!$E$3:$J$3,0)),0)</f>
        <v>0</v>
      </c>
      <c r="R431" s="15">
        <f>-$K431*IFERROR(INDEX('[1]salary allocation'!$E$6:$J$22,MATCH($H431,'[1]salary allocation'!$D$6:$D$22,0),MATCH(R$3,'[1]salary allocation'!$E$3:$J$3,0)),0)</f>
        <v>0</v>
      </c>
      <c r="S431" s="15">
        <f>-$K431*IFERROR(INDEX('[1]salary allocation'!$E$6:$J$22,MATCH($H431,'[1]salary allocation'!$D$6:$D$22,0),MATCH(S$3,'[1]salary allocation'!$E$3:$J$3,0)),0)</f>
        <v>0</v>
      </c>
      <c r="T431" s="15">
        <f>-$K431*IFERROR(INDEX('[1]salary allocation'!$E$6:$J$22,MATCH($H431,'[1]salary allocation'!$D$6:$D$22,0),MATCH(T$3,'[1]salary allocation'!$E$3:$J$3,0)),0)</f>
        <v>0</v>
      </c>
      <c r="U431" s="15">
        <f>-$K431*IFERROR(INDEX('[1]salary allocation'!$E$6:$J$22,MATCH($H431,'[1]salary allocation'!$D$6:$D$22,0),MATCH(U$3,'[1]salary allocation'!$E$3:$J$3,0)),0)</f>
        <v>0</v>
      </c>
      <c r="V431" s="15">
        <f>-$K431*IFERROR(INDEX('[1]salary allocation'!$E$6:$J$22,MATCH($H431,'[1]salary allocation'!$D$6:$D$22,0),MATCH(V$3,'[1]salary allocation'!$E$3:$J$3,0)),0)</f>
        <v>0</v>
      </c>
      <c r="W431" s="15">
        <f>-$K431*IFERROR(INDEX('[1]salary allocation'!$E$6:$J$22,MATCH($H431,'[1]salary allocation'!$D$6:$D$22,0),MATCH(W$3,'[1]salary allocation'!$E$3:$J$3,0)),0)</f>
        <v>0</v>
      </c>
      <c r="X431" s="15">
        <f>-$K431*IFERROR(INDEX('[1]salary allocation'!$E$6:$J$22,MATCH($H431,'[1]salary allocation'!$D$6:$D$22,0),MATCH(X$3,'[1]salary allocation'!$E$3:$J$3,0)),0)</f>
        <v>0</v>
      </c>
      <c r="Y431" s="15">
        <f>-$K431*IFERROR(INDEX('[1]salary allocation'!$E$6:$J$22,MATCH($H431,'[1]salary allocation'!$D$6:$D$22,0),MATCH(Y$3,'[1]salary allocation'!$E$3:$J$3,0)),0)</f>
        <v>0</v>
      </c>
      <c r="Z431" s="15">
        <f>-$K431*IFERROR(INDEX('[1]salary allocation'!$E$6:$J$22,MATCH($H431,'[1]salary allocation'!$D$6:$D$22,0),MATCH(Z$3,'[1]salary allocation'!$E$3:$J$3,0)),0)</f>
        <v>0</v>
      </c>
      <c r="AA431" s="15">
        <f>-$K431*IFERROR(INDEX('[1]salary allocation'!$E$6:$J$22,MATCH($H431,'[1]salary allocation'!$D$6:$D$22,0),MATCH(AA$3,'[1]salary allocation'!$E$3:$J$3,0)),0)</f>
        <v>0</v>
      </c>
      <c r="AB431" s="15">
        <f>-$K431*IFERROR(INDEX('[1]salary allocation'!$E$6:$J$22,MATCH($H431,'[1]salary allocation'!$D$6:$D$22,0),MATCH(AB$3,'[1]salary allocation'!$E$3:$J$3,0)),0)</f>
        <v>0</v>
      </c>
      <c r="AC431" s="18">
        <f>-$K431*IFERROR(INDEX('[1]salary allocation'!$E$6:$J$22,MATCH($H431,'[1]salary allocation'!$D$6:$D$22,0),MATCH(AC$3,'[1]salary allocation'!$E$3:$J$3,0)),0)</f>
        <v>0</v>
      </c>
      <c r="AD431" s="17"/>
      <c r="AE431" s="16"/>
      <c r="AF431" s="15">
        <f>-$K431</f>
        <v>0</v>
      </c>
      <c r="AG431" s="15"/>
      <c r="AH431" s="2">
        <f>K431+SUM(O431:AC431)</f>
        <v>0</v>
      </c>
      <c r="AI431" s="2">
        <f>K431+SUM(AF431:AG431)</f>
        <v>0</v>
      </c>
    </row>
    <row r="432" spans="1:35" x14ac:dyDescent="0.2">
      <c r="A432" s="11" t="s">
        <v>3</v>
      </c>
      <c r="B432" s="22">
        <v>45869</v>
      </c>
      <c r="H432" s="11" t="s">
        <v>57</v>
      </c>
      <c r="I432" s="11" t="s">
        <v>453</v>
      </c>
      <c r="K432" s="13">
        <v>-15291396</v>
      </c>
      <c r="L432" s="12">
        <v>72025</v>
      </c>
      <c r="M432" s="42" t="str">
        <f>LEFT(I432,(LEN(LEFT(I432,FIND(";",I432)))-8))</f>
        <v>VNOther</v>
      </c>
      <c r="N432" s="11"/>
      <c r="O432" s="15">
        <f>-$K432*IFERROR(INDEX('[1]salary allocation'!$E$6:$J$22,MATCH($H432,'[1]salary allocation'!$D$6:$D$22,0),MATCH(O$3,'[1]salary allocation'!$E$3:$J$3,0)),0)</f>
        <v>0</v>
      </c>
      <c r="P432" s="15">
        <f>-$K432*IFERROR(INDEX('[1]salary allocation'!$E$6:$J$22,MATCH($H432,'[1]salary allocation'!$D$6:$D$22,0),MATCH(P$3,'[1]salary allocation'!$E$3:$J$3,0)),0)</f>
        <v>7645698</v>
      </c>
      <c r="Q432" s="15">
        <f>-$K432*IFERROR(INDEX('[1]salary allocation'!$E$6:$J$22,MATCH($H432,'[1]salary allocation'!$D$6:$D$22,0),MATCH(Q$3,'[1]salary allocation'!$E$3:$J$3,0)),0)</f>
        <v>0</v>
      </c>
      <c r="R432" s="15">
        <f>-$K432*IFERROR(INDEX('[1]salary allocation'!$E$6:$J$22,MATCH($H432,'[1]salary allocation'!$D$6:$D$22,0),MATCH(R$3,'[1]salary allocation'!$E$3:$J$3,0)),0)</f>
        <v>0</v>
      </c>
      <c r="S432" s="15">
        <f>-$K432*IFERROR(INDEX('[1]salary allocation'!$E$6:$J$22,MATCH($H432,'[1]salary allocation'!$D$6:$D$22,0),MATCH(S$3,'[1]salary allocation'!$E$3:$J$3,0)),0)</f>
        <v>1529139.6</v>
      </c>
      <c r="T432" s="15">
        <f>-$K432*IFERROR(INDEX('[1]salary allocation'!$E$6:$J$22,MATCH($H432,'[1]salary allocation'!$D$6:$D$22,0),MATCH(T$3,'[1]salary allocation'!$E$3:$J$3,0)),0)</f>
        <v>1529139.6</v>
      </c>
      <c r="U432" s="15">
        <f>-$K432*IFERROR(INDEX('[1]salary allocation'!$E$6:$J$22,MATCH($H432,'[1]salary allocation'!$D$6:$D$22,0),MATCH(U$3,'[1]salary allocation'!$E$3:$J$3,0)),0)</f>
        <v>1529139.6</v>
      </c>
      <c r="V432" s="15">
        <f>-$K432*IFERROR(INDEX('[1]salary allocation'!$E$6:$J$22,MATCH($H432,'[1]salary allocation'!$D$6:$D$22,0),MATCH(V$3,'[1]salary allocation'!$E$3:$J$3,0)),0)</f>
        <v>0</v>
      </c>
      <c r="W432" s="15">
        <f>-$K432*IFERROR(INDEX('[1]salary allocation'!$E$6:$J$22,MATCH($H432,'[1]salary allocation'!$D$6:$D$22,0),MATCH(W$3,'[1]salary allocation'!$E$3:$J$3,0)),0)</f>
        <v>3058279.2</v>
      </c>
      <c r="X432" s="15">
        <f>-$K432*IFERROR(INDEX('[1]salary allocation'!$E$6:$J$22,MATCH($H432,'[1]salary allocation'!$D$6:$D$22,0),MATCH(X$3,'[1]salary allocation'!$E$3:$J$3,0)),0)</f>
        <v>0</v>
      </c>
      <c r="Y432" s="15">
        <f>-$K432*IFERROR(INDEX('[1]salary allocation'!$E$6:$J$22,MATCH($H432,'[1]salary allocation'!$D$6:$D$22,0),MATCH(Y$3,'[1]salary allocation'!$E$3:$J$3,0)),0)</f>
        <v>0</v>
      </c>
      <c r="Z432" s="15">
        <f>-$K432*IFERROR(INDEX('[1]salary allocation'!$E$6:$J$22,MATCH($H432,'[1]salary allocation'!$D$6:$D$22,0),MATCH(Z$3,'[1]salary allocation'!$E$3:$J$3,0)),0)</f>
        <v>0</v>
      </c>
      <c r="AA432" s="15">
        <f>-$K432*IFERROR(INDEX('[1]salary allocation'!$E$6:$J$22,MATCH($H432,'[1]salary allocation'!$D$6:$D$22,0),MATCH(AA$3,'[1]salary allocation'!$E$3:$J$3,0)),0)</f>
        <v>0</v>
      </c>
      <c r="AB432" s="15">
        <f>-$K432*IFERROR(INDEX('[1]salary allocation'!$E$6:$J$22,MATCH($H432,'[1]salary allocation'!$D$6:$D$22,0),MATCH(AB$3,'[1]salary allocation'!$E$3:$J$3,0)),0)</f>
        <v>0</v>
      </c>
      <c r="AC432" s="18">
        <f>-$K432*IFERROR(INDEX('[1]salary allocation'!$E$6:$J$22,MATCH($H432,'[1]salary allocation'!$D$6:$D$22,0),MATCH(AC$3,'[1]salary allocation'!$E$3:$J$3,0)),0)</f>
        <v>0</v>
      </c>
      <c r="AD432" s="17"/>
      <c r="AE432" s="16"/>
      <c r="AF432" s="15">
        <f>-$K432</f>
        <v>15291396</v>
      </c>
      <c r="AG432" s="15"/>
      <c r="AH432" s="2">
        <f>K432+SUM(O432:AC432)</f>
        <v>0</v>
      </c>
      <c r="AI432" s="2">
        <f>K432+SUM(AF432:AG432)</f>
        <v>0</v>
      </c>
    </row>
    <row r="433" spans="1:35" x14ac:dyDescent="0.2">
      <c r="A433" s="11" t="s">
        <v>3</v>
      </c>
      <c r="B433" s="22">
        <v>45869</v>
      </c>
      <c r="H433" s="11" t="s">
        <v>55</v>
      </c>
      <c r="I433" s="11" t="s">
        <v>452</v>
      </c>
      <c r="K433" s="13">
        <v>-15435730</v>
      </c>
      <c r="L433" s="12">
        <v>72025</v>
      </c>
      <c r="M433" s="42" t="str">
        <f>LEFT(I433,(LEN(LEFT(I433,FIND(";",I433)))-8))</f>
        <v>VNHBC</v>
      </c>
      <c r="N433" s="11"/>
      <c r="O433" s="15">
        <f>-$K433*IFERROR(INDEX('[1]salary allocation'!$E$6:$J$22,MATCH($H433,'[1]salary allocation'!$D$6:$D$22,0),MATCH(O$3,'[1]salary allocation'!$E$3:$J$3,0)),0)</f>
        <v>0</v>
      </c>
      <c r="P433" s="15">
        <f>-$K433*IFERROR(INDEX('[1]salary allocation'!$E$6:$J$22,MATCH($H433,'[1]salary allocation'!$D$6:$D$22,0),MATCH(P$3,'[1]salary allocation'!$E$3:$J$3,0)),0)</f>
        <v>0</v>
      </c>
      <c r="Q433" s="15">
        <f>-$K433*IFERROR(INDEX('[1]salary allocation'!$E$6:$J$22,MATCH($H433,'[1]salary allocation'!$D$6:$D$22,0),MATCH(Q$3,'[1]salary allocation'!$E$3:$J$3,0)),0)</f>
        <v>0</v>
      </c>
      <c r="R433" s="15">
        <f>-$K433*IFERROR(INDEX('[1]salary allocation'!$E$6:$J$22,MATCH($H433,'[1]salary allocation'!$D$6:$D$22,0),MATCH(R$3,'[1]salary allocation'!$E$3:$J$3,0)),0)</f>
        <v>0</v>
      </c>
      <c r="S433" s="15">
        <f>-$K433*IFERROR(INDEX('[1]salary allocation'!$E$6:$J$22,MATCH($H433,'[1]salary allocation'!$D$6:$D$22,0),MATCH(S$3,'[1]salary allocation'!$E$3:$J$3,0)),0)</f>
        <v>3087146</v>
      </c>
      <c r="T433" s="15">
        <f>-$K433*IFERROR(INDEX('[1]salary allocation'!$E$6:$J$22,MATCH($H433,'[1]salary allocation'!$D$6:$D$22,0),MATCH(T$3,'[1]salary allocation'!$E$3:$J$3,0)),0)</f>
        <v>3087146</v>
      </c>
      <c r="U433" s="15">
        <f>-$K433*IFERROR(INDEX('[1]salary allocation'!$E$6:$J$22,MATCH($H433,'[1]salary allocation'!$D$6:$D$22,0),MATCH(U$3,'[1]salary allocation'!$E$3:$J$3,0)),0)</f>
        <v>3087146</v>
      </c>
      <c r="V433" s="15">
        <f>-$K433*IFERROR(INDEX('[1]salary allocation'!$E$6:$J$22,MATCH($H433,'[1]salary allocation'!$D$6:$D$22,0),MATCH(V$3,'[1]salary allocation'!$E$3:$J$3,0)),0)</f>
        <v>0</v>
      </c>
      <c r="W433" s="15">
        <f>-$K433*IFERROR(INDEX('[1]salary allocation'!$E$6:$J$22,MATCH($H433,'[1]salary allocation'!$D$6:$D$22,0),MATCH(W$3,'[1]salary allocation'!$E$3:$J$3,0)),0)</f>
        <v>6174292</v>
      </c>
      <c r="X433" s="15">
        <f>-$K433*IFERROR(INDEX('[1]salary allocation'!$E$6:$J$22,MATCH($H433,'[1]salary allocation'!$D$6:$D$22,0),MATCH(X$3,'[1]salary allocation'!$E$3:$J$3,0)),0)</f>
        <v>0</v>
      </c>
      <c r="Y433" s="15">
        <f>-$K433*IFERROR(INDEX('[1]salary allocation'!$E$6:$J$22,MATCH($H433,'[1]salary allocation'!$D$6:$D$22,0),MATCH(Y$3,'[1]salary allocation'!$E$3:$J$3,0)),0)</f>
        <v>0</v>
      </c>
      <c r="Z433" s="15">
        <f>-$K433*IFERROR(INDEX('[1]salary allocation'!$E$6:$J$22,MATCH($H433,'[1]salary allocation'!$D$6:$D$22,0),MATCH(Z$3,'[1]salary allocation'!$E$3:$J$3,0)),0)</f>
        <v>0</v>
      </c>
      <c r="AA433" s="15">
        <f>-$K433*IFERROR(INDEX('[1]salary allocation'!$E$6:$J$22,MATCH($H433,'[1]salary allocation'!$D$6:$D$22,0),MATCH(AA$3,'[1]salary allocation'!$E$3:$J$3,0)),0)</f>
        <v>0</v>
      </c>
      <c r="AB433" s="15">
        <f>-$K433*IFERROR(INDEX('[1]salary allocation'!$E$6:$J$22,MATCH($H433,'[1]salary allocation'!$D$6:$D$22,0),MATCH(AB$3,'[1]salary allocation'!$E$3:$J$3,0)),0)</f>
        <v>0</v>
      </c>
      <c r="AC433" s="18">
        <f>-$K433*IFERROR(INDEX('[1]salary allocation'!$E$6:$J$22,MATCH($H433,'[1]salary allocation'!$D$6:$D$22,0),MATCH(AC$3,'[1]salary allocation'!$E$3:$J$3,0)),0)</f>
        <v>0</v>
      </c>
      <c r="AD433" s="17"/>
      <c r="AE433" s="16"/>
      <c r="AF433" s="15"/>
      <c r="AG433" s="15">
        <f>-$K433</f>
        <v>15435730</v>
      </c>
      <c r="AH433" s="2">
        <f>K433+SUM(O433:AC433)</f>
        <v>0</v>
      </c>
      <c r="AI433" s="2">
        <f>K433+SUM(AF433:AG433)</f>
        <v>0</v>
      </c>
    </row>
    <row r="434" spans="1:35" x14ac:dyDescent="0.2">
      <c r="A434" s="11" t="s">
        <v>3</v>
      </c>
      <c r="B434" s="22">
        <v>45869</v>
      </c>
      <c r="H434" s="11" t="s">
        <v>53</v>
      </c>
      <c r="I434" s="11" t="s">
        <v>451</v>
      </c>
      <c r="K434" s="13">
        <v>-15167610</v>
      </c>
      <c r="L434" s="12">
        <v>72025</v>
      </c>
      <c r="M434" s="42" t="str">
        <f>LEFT(I434,(LEN(LEFT(I434,FIND(";",I434)))-8))</f>
        <v>VNOther</v>
      </c>
      <c r="N434" s="11"/>
      <c r="O434" s="15">
        <f>-$K434*IFERROR(INDEX('[1]salary allocation'!$E$6:$J$22,MATCH($H434,'[1]salary allocation'!$D$6:$D$22,0),MATCH(O$3,'[1]salary allocation'!$E$3:$J$3,0)),0)</f>
        <v>0</v>
      </c>
      <c r="P434" s="15">
        <f>-$K434*IFERROR(INDEX('[1]salary allocation'!$E$6:$J$22,MATCH($H434,'[1]salary allocation'!$D$6:$D$22,0),MATCH(P$3,'[1]salary allocation'!$E$3:$J$3,0)),0)</f>
        <v>2275141.5</v>
      </c>
      <c r="Q434" s="15">
        <f>-$K434*IFERROR(INDEX('[1]salary allocation'!$E$6:$J$22,MATCH($H434,'[1]salary allocation'!$D$6:$D$22,0),MATCH(Q$3,'[1]salary allocation'!$E$3:$J$3,0)),0)</f>
        <v>0</v>
      </c>
      <c r="R434" s="15">
        <f>-$K434*IFERROR(INDEX('[1]salary allocation'!$E$6:$J$22,MATCH($H434,'[1]salary allocation'!$D$6:$D$22,0),MATCH(R$3,'[1]salary allocation'!$E$3:$J$3,0)),0)</f>
        <v>0</v>
      </c>
      <c r="S434" s="15">
        <f>-$K434*IFERROR(INDEX('[1]salary allocation'!$E$6:$J$22,MATCH($H434,'[1]salary allocation'!$D$6:$D$22,0),MATCH(S$3,'[1]salary allocation'!$E$3:$J$3,0)),0)</f>
        <v>2578493.6999999997</v>
      </c>
      <c r="T434" s="15">
        <f>-$K434*IFERROR(INDEX('[1]salary allocation'!$E$6:$J$22,MATCH($H434,'[1]salary allocation'!$D$6:$D$22,0),MATCH(T$3,'[1]salary allocation'!$E$3:$J$3,0)),0)</f>
        <v>2578493.6999999997</v>
      </c>
      <c r="U434" s="15">
        <f>-$K434*IFERROR(INDEX('[1]salary allocation'!$E$6:$J$22,MATCH($H434,'[1]salary allocation'!$D$6:$D$22,0),MATCH(U$3,'[1]salary allocation'!$E$3:$J$3,0)),0)</f>
        <v>2578493.6999999997</v>
      </c>
      <c r="V434" s="15">
        <f>-$K434*IFERROR(INDEX('[1]salary allocation'!$E$6:$J$22,MATCH($H434,'[1]salary allocation'!$D$6:$D$22,0),MATCH(V$3,'[1]salary allocation'!$E$3:$J$3,0)),0)</f>
        <v>0</v>
      </c>
      <c r="W434" s="15">
        <f>-$K434*IFERROR(INDEX('[1]salary allocation'!$E$6:$J$22,MATCH($H434,'[1]salary allocation'!$D$6:$D$22,0),MATCH(W$3,'[1]salary allocation'!$E$3:$J$3,0)),0)</f>
        <v>5156987.3999999994</v>
      </c>
      <c r="X434" s="15">
        <f>-$K434*IFERROR(INDEX('[1]salary allocation'!$E$6:$J$22,MATCH($H434,'[1]salary allocation'!$D$6:$D$22,0),MATCH(X$3,'[1]salary allocation'!$E$3:$J$3,0)),0)</f>
        <v>0</v>
      </c>
      <c r="Y434" s="15">
        <f>-$K434*IFERROR(INDEX('[1]salary allocation'!$E$6:$J$22,MATCH($H434,'[1]salary allocation'!$D$6:$D$22,0),MATCH(Y$3,'[1]salary allocation'!$E$3:$J$3,0)),0)</f>
        <v>0</v>
      </c>
      <c r="Z434" s="15">
        <f>-$K434*IFERROR(INDEX('[1]salary allocation'!$E$6:$J$22,MATCH($H434,'[1]salary allocation'!$D$6:$D$22,0),MATCH(Z$3,'[1]salary allocation'!$E$3:$J$3,0)),0)</f>
        <v>0</v>
      </c>
      <c r="AA434" s="15">
        <f>-$K434*IFERROR(INDEX('[1]salary allocation'!$E$6:$J$22,MATCH($H434,'[1]salary allocation'!$D$6:$D$22,0),MATCH(AA$3,'[1]salary allocation'!$E$3:$J$3,0)),0)</f>
        <v>0</v>
      </c>
      <c r="AB434" s="15">
        <f>-$K434*IFERROR(INDEX('[1]salary allocation'!$E$6:$J$22,MATCH($H434,'[1]salary allocation'!$D$6:$D$22,0),MATCH(AB$3,'[1]salary allocation'!$E$3:$J$3,0)),0)</f>
        <v>0</v>
      </c>
      <c r="AC434" s="18">
        <f>-$K434*IFERROR(INDEX('[1]salary allocation'!$E$6:$J$22,MATCH($H434,'[1]salary allocation'!$D$6:$D$22,0),MATCH(AC$3,'[1]salary allocation'!$E$3:$J$3,0)),0)</f>
        <v>0</v>
      </c>
      <c r="AD434" s="17"/>
      <c r="AE434" s="16"/>
      <c r="AF434" s="15">
        <f>-$K434</f>
        <v>15167610</v>
      </c>
      <c r="AG434" s="15"/>
      <c r="AH434" s="2">
        <f>K434+SUM(O434:AC434)</f>
        <v>0</v>
      </c>
      <c r="AI434" s="2">
        <f>K434+SUM(AF434:AG434)</f>
        <v>0</v>
      </c>
    </row>
    <row r="435" spans="1:35" x14ac:dyDescent="0.2">
      <c r="A435" s="11" t="s">
        <v>3</v>
      </c>
      <c r="B435" s="22">
        <v>45869</v>
      </c>
      <c r="H435" s="11" t="s">
        <v>51</v>
      </c>
      <c r="I435" s="11" t="s">
        <v>450</v>
      </c>
      <c r="K435" s="13">
        <v>-13511273</v>
      </c>
      <c r="L435" s="12">
        <v>72025</v>
      </c>
      <c r="M435" s="42" t="str">
        <f>LEFT(I435,(LEN(LEFT(I435,FIND(";",I435)))-8))</f>
        <v>VNOther</v>
      </c>
      <c r="N435" s="11"/>
      <c r="O435" s="15">
        <f>-$K435*IFERROR(INDEX('[1]salary allocation'!$E$6:$J$22,MATCH($H435,'[1]salary allocation'!$D$6:$D$22,0),MATCH(O$3,'[1]salary allocation'!$E$3:$J$3,0)),0)</f>
        <v>0</v>
      </c>
      <c r="P435" s="15">
        <f>-$K435*IFERROR(INDEX('[1]salary allocation'!$E$6:$J$22,MATCH($H435,'[1]salary allocation'!$D$6:$D$22,0),MATCH(P$3,'[1]salary allocation'!$E$3:$J$3,0)),0)</f>
        <v>6755636.5</v>
      </c>
      <c r="Q435" s="15">
        <f>-$K435*IFERROR(INDEX('[1]salary allocation'!$E$6:$J$22,MATCH($H435,'[1]salary allocation'!$D$6:$D$22,0),MATCH(Q$3,'[1]salary allocation'!$E$3:$J$3,0)),0)</f>
        <v>0</v>
      </c>
      <c r="R435" s="15">
        <f>-$K435*IFERROR(INDEX('[1]salary allocation'!$E$6:$J$22,MATCH($H435,'[1]salary allocation'!$D$6:$D$22,0),MATCH(R$3,'[1]salary allocation'!$E$3:$J$3,0)),0)</f>
        <v>0</v>
      </c>
      <c r="S435" s="15">
        <f>-$K435*IFERROR(INDEX('[1]salary allocation'!$E$6:$J$22,MATCH($H435,'[1]salary allocation'!$D$6:$D$22,0),MATCH(S$3,'[1]salary allocation'!$E$3:$J$3,0)),0)</f>
        <v>1351127.3</v>
      </c>
      <c r="T435" s="15">
        <f>-$K435*IFERROR(INDEX('[1]salary allocation'!$E$6:$J$22,MATCH($H435,'[1]salary allocation'!$D$6:$D$22,0),MATCH(T$3,'[1]salary allocation'!$E$3:$J$3,0)),0)</f>
        <v>1351127.3</v>
      </c>
      <c r="U435" s="15">
        <f>-$K435*IFERROR(INDEX('[1]salary allocation'!$E$6:$J$22,MATCH($H435,'[1]salary allocation'!$D$6:$D$22,0),MATCH(U$3,'[1]salary allocation'!$E$3:$J$3,0)),0)</f>
        <v>1351127.3</v>
      </c>
      <c r="V435" s="15">
        <f>-$K435*IFERROR(INDEX('[1]salary allocation'!$E$6:$J$22,MATCH($H435,'[1]salary allocation'!$D$6:$D$22,0),MATCH(V$3,'[1]salary allocation'!$E$3:$J$3,0)),0)</f>
        <v>0</v>
      </c>
      <c r="W435" s="15">
        <f>-$K435*IFERROR(INDEX('[1]salary allocation'!$E$6:$J$22,MATCH($H435,'[1]salary allocation'!$D$6:$D$22,0),MATCH(W$3,'[1]salary allocation'!$E$3:$J$3,0)),0)</f>
        <v>2702254.6</v>
      </c>
      <c r="X435" s="15">
        <f>-$K435*IFERROR(INDEX('[1]salary allocation'!$E$6:$J$22,MATCH($H435,'[1]salary allocation'!$D$6:$D$22,0),MATCH(X$3,'[1]salary allocation'!$E$3:$J$3,0)),0)</f>
        <v>0</v>
      </c>
      <c r="Y435" s="15">
        <f>-$K435*IFERROR(INDEX('[1]salary allocation'!$E$6:$J$22,MATCH($H435,'[1]salary allocation'!$D$6:$D$22,0),MATCH(Y$3,'[1]salary allocation'!$E$3:$J$3,0)),0)</f>
        <v>0</v>
      </c>
      <c r="Z435" s="15">
        <f>-$K435*IFERROR(INDEX('[1]salary allocation'!$E$6:$J$22,MATCH($H435,'[1]salary allocation'!$D$6:$D$22,0),MATCH(Z$3,'[1]salary allocation'!$E$3:$J$3,0)),0)</f>
        <v>0</v>
      </c>
      <c r="AA435" s="15">
        <f>-$K435*IFERROR(INDEX('[1]salary allocation'!$E$6:$J$22,MATCH($H435,'[1]salary allocation'!$D$6:$D$22,0),MATCH(AA$3,'[1]salary allocation'!$E$3:$J$3,0)),0)</f>
        <v>0</v>
      </c>
      <c r="AB435" s="15">
        <f>-$K435*IFERROR(INDEX('[1]salary allocation'!$E$6:$J$22,MATCH($H435,'[1]salary allocation'!$D$6:$D$22,0),MATCH(AB$3,'[1]salary allocation'!$E$3:$J$3,0)),0)</f>
        <v>0</v>
      </c>
      <c r="AC435" s="18">
        <f>-$K435*IFERROR(INDEX('[1]salary allocation'!$E$6:$J$22,MATCH($H435,'[1]salary allocation'!$D$6:$D$22,0),MATCH(AC$3,'[1]salary allocation'!$E$3:$J$3,0)),0)</f>
        <v>0</v>
      </c>
      <c r="AD435" s="17"/>
      <c r="AE435" s="16"/>
      <c r="AF435" s="15">
        <f>-$K435</f>
        <v>13511273</v>
      </c>
      <c r="AG435" s="15"/>
      <c r="AH435" s="2">
        <f>K435+SUM(O435:AC435)</f>
        <v>0</v>
      </c>
      <c r="AI435" s="2">
        <f>K435+SUM(AF435:AG435)</f>
        <v>0</v>
      </c>
    </row>
    <row r="436" spans="1:35" x14ac:dyDescent="0.2">
      <c r="A436" s="11" t="s">
        <v>3</v>
      </c>
      <c r="B436" s="22">
        <v>45869</v>
      </c>
      <c r="H436" s="11" t="s">
        <v>49</v>
      </c>
      <c r="I436" s="11" t="s">
        <v>449</v>
      </c>
      <c r="K436" s="13">
        <v>-8587878</v>
      </c>
      <c r="L436" s="12">
        <v>72025</v>
      </c>
      <c r="M436" s="42" t="str">
        <f>LEFT(I436,(LEN(LEFT(I436,FIND(";",I436)))-8))</f>
        <v>VNMOET</v>
      </c>
      <c r="N436" s="11"/>
      <c r="O436" s="15">
        <f>-$K436*IFERROR(INDEX('[1]salary allocation'!$E$6:$J$22,MATCH($H436,'[1]salary allocation'!$D$6:$D$22,0),MATCH(O$3,'[1]salary allocation'!$E$3:$J$3,0)),0)</f>
        <v>0</v>
      </c>
      <c r="P436" s="15">
        <f>-$K436*IFERROR(INDEX('[1]salary allocation'!$E$6:$J$22,MATCH($H436,'[1]salary allocation'!$D$6:$D$22,0),MATCH(P$3,'[1]salary allocation'!$E$3:$J$3,0)),0)</f>
        <v>0</v>
      </c>
      <c r="Q436" s="15">
        <f>-$K436*IFERROR(INDEX('[1]salary allocation'!$E$6:$J$22,MATCH($H436,'[1]salary allocation'!$D$6:$D$22,0),MATCH(Q$3,'[1]salary allocation'!$E$3:$J$3,0)),0)</f>
        <v>0</v>
      </c>
      <c r="R436" s="15">
        <f>-$K436*IFERROR(INDEX('[1]salary allocation'!$E$6:$J$22,MATCH($H436,'[1]salary allocation'!$D$6:$D$22,0),MATCH(R$3,'[1]salary allocation'!$E$3:$J$3,0)),0)</f>
        <v>0</v>
      </c>
      <c r="S436" s="15">
        <f>-$K436*IFERROR(INDEX('[1]salary allocation'!$E$6:$J$22,MATCH($H436,'[1]salary allocation'!$D$6:$D$22,0),MATCH(S$3,'[1]salary allocation'!$E$3:$J$3,0)),0)</f>
        <v>1717575.6</v>
      </c>
      <c r="T436" s="15">
        <f>-$K436*IFERROR(INDEX('[1]salary allocation'!$E$6:$J$22,MATCH($H436,'[1]salary allocation'!$D$6:$D$22,0),MATCH(T$3,'[1]salary allocation'!$E$3:$J$3,0)),0)</f>
        <v>1717575.6</v>
      </c>
      <c r="U436" s="15">
        <f>-$K436*IFERROR(INDEX('[1]salary allocation'!$E$6:$J$22,MATCH($H436,'[1]salary allocation'!$D$6:$D$22,0),MATCH(U$3,'[1]salary allocation'!$E$3:$J$3,0)),0)</f>
        <v>1717575.6</v>
      </c>
      <c r="V436" s="15">
        <f>-$K436*IFERROR(INDEX('[1]salary allocation'!$E$6:$J$22,MATCH($H436,'[1]salary allocation'!$D$6:$D$22,0),MATCH(V$3,'[1]salary allocation'!$E$3:$J$3,0)),0)</f>
        <v>0</v>
      </c>
      <c r="W436" s="15">
        <f>-$K436*IFERROR(INDEX('[1]salary allocation'!$E$6:$J$22,MATCH($H436,'[1]salary allocation'!$D$6:$D$22,0),MATCH(W$3,'[1]salary allocation'!$E$3:$J$3,0)),0)</f>
        <v>3435151.2</v>
      </c>
      <c r="X436" s="15">
        <f>-$K436*IFERROR(INDEX('[1]salary allocation'!$E$6:$J$22,MATCH($H436,'[1]salary allocation'!$D$6:$D$22,0),MATCH(X$3,'[1]salary allocation'!$E$3:$J$3,0)),0)</f>
        <v>0</v>
      </c>
      <c r="Y436" s="15">
        <f>-$K436*IFERROR(INDEX('[1]salary allocation'!$E$6:$J$22,MATCH($H436,'[1]salary allocation'!$D$6:$D$22,0),MATCH(Y$3,'[1]salary allocation'!$E$3:$J$3,0)),0)</f>
        <v>0</v>
      </c>
      <c r="Z436" s="15">
        <f>-$K436*IFERROR(INDEX('[1]salary allocation'!$E$6:$J$22,MATCH($H436,'[1]salary allocation'!$D$6:$D$22,0),MATCH(Z$3,'[1]salary allocation'!$E$3:$J$3,0)),0)</f>
        <v>0</v>
      </c>
      <c r="AA436" s="15">
        <f>-$K436*IFERROR(INDEX('[1]salary allocation'!$E$6:$J$22,MATCH($H436,'[1]salary allocation'!$D$6:$D$22,0),MATCH(AA$3,'[1]salary allocation'!$E$3:$J$3,0)),0)</f>
        <v>0</v>
      </c>
      <c r="AB436" s="15">
        <f>-$K436*IFERROR(INDEX('[1]salary allocation'!$E$6:$J$22,MATCH($H436,'[1]salary allocation'!$D$6:$D$22,0),MATCH(AB$3,'[1]salary allocation'!$E$3:$J$3,0)),0)</f>
        <v>0</v>
      </c>
      <c r="AC436" s="18">
        <f>-$K436*IFERROR(INDEX('[1]salary allocation'!$E$6:$J$22,MATCH($H436,'[1]salary allocation'!$D$6:$D$22,0),MATCH(AC$3,'[1]salary allocation'!$E$3:$J$3,0)),0)</f>
        <v>0</v>
      </c>
      <c r="AD436" s="17"/>
      <c r="AE436" s="16"/>
      <c r="AF436" s="15"/>
      <c r="AG436" s="15">
        <f>-K436</f>
        <v>8587878</v>
      </c>
      <c r="AH436" s="2">
        <f>K436+SUM(O436:AC436)</f>
        <v>0</v>
      </c>
      <c r="AI436" s="2">
        <f>K436+SUM(AF436:AG436)</f>
        <v>0</v>
      </c>
    </row>
    <row r="437" spans="1:35" x14ac:dyDescent="0.2">
      <c r="A437" s="11" t="s">
        <v>3</v>
      </c>
      <c r="B437" s="22">
        <v>45869</v>
      </c>
      <c r="H437" s="11" t="s">
        <v>47</v>
      </c>
      <c r="I437" s="11" t="s">
        <v>448</v>
      </c>
      <c r="K437" s="13">
        <v>-15274858</v>
      </c>
      <c r="L437" s="12">
        <v>72025</v>
      </c>
      <c r="M437" s="42" t="str">
        <f>LEFT(I437,(LEN(LEFT(I437,FIND(";",I437)))-8))</f>
        <v>VNHBC</v>
      </c>
      <c r="N437" s="11"/>
      <c r="O437" s="15">
        <f>-$K437*IFERROR(INDEX('[1]salary allocation'!$E$6:$J$22,MATCH($H437,'[1]salary allocation'!$D$6:$D$22,0),MATCH(O$3,'[1]salary allocation'!$E$3:$J$3,0)),0)</f>
        <v>0</v>
      </c>
      <c r="P437" s="15">
        <f>-$K437*IFERROR(INDEX('[1]salary allocation'!$E$6:$J$22,MATCH($H437,'[1]salary allocation'!$D$6:$D$22,0),MATCH(P$3,'[1]salary allocation'!$E$3:$J$3,0)),0)</f>
        <v>0</v>
      </c>
      <c r="Q437" s="15">
        <f>-$K437*IFERROR(INDEX('[1]salary allocation'!$E$6:$J$22,MATCH($H437,'[1]salary allocation'!$D$6:$D$22,0),MATCH(Q$3,'[1]salary allocation'!$E$3:$J$3,0)),0)</f>
        <v>0</v>
      </c>
      <c r="R437" s="15">
        <f>-$K437*IFERROR(INDEX('[1]salary allocation'!$E$6:$J$22,MATCH($H437,'[1]salary allocation'!$D$6:$D$22,0),MATCH(R$3,'[1]salary allocation'!$E$3:$J$3,0)),0)</f>
        <v>0</v>
      </c>
      <c r="S437" s="15">
        <f>-$K437*IFERROR(INDEX('[1]salary allocation'!$E$6:$J$22,MATCH($H437,'[1]salary allocation'!$D$6:$D$22,0),MATCH(S$3,'[1]salary allocation'!$E$3:$J$3,0)),0)</f>
        <v>3054971.6</v>
      </c>
      <c r="T437" s="15">
        <f>-$K437*IFERROR(INDEX('[1]salary allocation'!$E$6:$J$22,MATCH($H437,'[1]salary allocation'!$D$6:$D$22,0),MATCH(T$3,'[1]salary allocation'!$E$3:$J$3,0)),0)</f>
        <v>3054971.6</v>
      </c>
      <c r="U437" s="15">
        <f>-$K437*IFERROR(INDEX('[1]salary allocation'!$E$6:$J$22,MATCH($H437,'[1]salary allocation'!$D$6:$D$22,0),MATCH(U$3,'[1]salary allocation'!$E$3:$J$3,0)),0)</f>
        <v>3054971.6</v>
      </c>
      <c r="V437" s="15">
        <f>-$K437*IFERROR(INDEX('[1]salary allocation'!$E$6:$J$22,MATCH($H437,'[1]salary allocation'!$D$6:$D$22,0),MATCH(V$3,'[1]salary allocation'!$E$3:$J$3,0)),0)</f>
        <v>0</v>
      </c>
      <c r="W437" s="15">
        <f>-$K437*IFERROR(INDEX('[1]salary allocation'!$E$6:$J$22,MATCH($H437,'[1]salary allocation'!$D$6:$D$22,0),MATCH(W$3,'[1]salary allocation'!$E$3:$J$3,0)),0)</f>
        <v>6109943.2000000002</v>
      </c>
      <c r="X437" s="15">
        <f>-$K437*IFERROR(INDEX('[1]salary allocation'!$E$6:$J$22,MATCH($H437,'[1]salary allocation'!$D$6:$D$22,0),MATCH(X$3,'[1]salary allocation'!$E$3:$J$3,0)),0)</f>
        <v>0</v>
      </c>
      <c r="Y437" s="15">
        <f>-$K437*IFERROR(INDEX('[1]salary allocation'!$E$6:$J$22,MATCH($H437,'[1]salary allocation'!$D$6:$D$22,0),MATCH(Y$3,'[1]salary allocation'!$E$3:$J$3,0)),0)</f>
        <v>0</v>
      </c>
      <c r="Z437" s="15">
        <f>-$K437*IFERROR(INDEX('[1]salary allocation'!$E$6:$J$22,MATCH($H437,'[1]salary allocation'!$D$6:$D$22,0),MATCH(Z$3,'[1]salary allocation'!$E$3:$J$3,0)),0)</f>
        <v>0</v>
      </c>
      <c r="AA437" s="15">
        <f>-$K437*IFERROR(INDEX('[1]salary allocation'!$E$6:$J$22,MATCH($H437,'[1]salary allocation'!$D$6:$D$22,0),MATCH(AA$3,'[1]salary allocation'!$E$3:$J$3,0)),0)</f>
        <v>0</v>
      </c>
      <c r="AB437" s="15">
        <f>-$K437*IFERROR(INDEX('[1]salary allocation'!$E$6:$J$22,MATCH($H437,'[1]salary allocation'!$D$6:$D$22,0),MATCH(AB$3,'[1]salary allocation'!$E$3:$J$3,0)),0)</f>
        <v>0</v>
      </c>
      <c r="AC437" s="18">
        <f>-$K437*IFERROR(INDEX('[1]salary allocation'!$E$6:$J$22,MATCH($H437,'[1]salary allocation'!$D$6:$D$22,0),MATCH(AC$3,'[1]salary allocation'!$E$3:$J$3,0)),0)</f>
        <v>0</v>
      </c>
      <c r="AD437" s="17"/>
      <c r="AE437" s="16"/>
      <c r="AF437" s="15">
        <f>-$K437</f>
        <v>15274858</v>
      </c>
      <c r="AG437" s="15"/>
      <c r="AH437" s="2">
        <f>K437+SUM(O437:AC437)</f>
        <v>0</v>
      </c>
      <c r="AI437" s="2">
        <f>K437+SUM(AF437:AG437)</f>
        <v>0</v>
      </c>
    </row>
    <row r="438" spans="1:35" x14ac:dyDescent="0.2">
      <c r="A438" s="11" t="s">
        <v>3</v>
      </c>
      <c r="B438" s="22">
        <v>45869</v>
      </c>
      <c r="H438" s="11" t="s">
        <v>173</v>
      </c>
      <c r="I438" s="11" t="s">
        <v>447</v>
      </c>
      <c r="K438" s="13">
        <v>0</v>
      </c>
      <c r="L438" s="12">
        <v>72025</v>
      </c>
      <c r="M438" s="42" t="str">
        <f>LEFT(I438,(LEN(LEFT(I438,FIND(";",I438)))-8))</f>
        <v>VNELC</v>
      </c>
      <c r="N438" s="11"/>
      <c r="O438" s="15">
        <f>-$K438*IFERROR(INDEX('[1]salary allocation'!$E$6:$J$22,MATCH($H438,'[1]salary allocation'!$D$6:$D$22,0),MATCH(O$3,'[1]salary allocation'!$E$3:$J$3,0)),0)</f>
        <v>0</v>
      </c>
      <c r="P438" s="15">
        <f>-$K438*IFERROR(INDEX('[1]salary allocation'!$E$6:$J$22,MATCH($H438,'[1]salary allocation'!$D$6:$D$22,0),MATCH(P$3,'[1]salary allocation'!$E$3:$J$3,0)),0)</f>
        <v>0</v>
      </c>
      <c r="Q438" s="15">
        <f>-$K438*IFERROR(INDEX('[1]salary allocation'!$E$6:$J$22,MATCH($H438,'[1]salary allocation'!$D$6:$D$22,0),MATCH(Q$3,'[1]salary allocation'!$E$3:$J$3,0)),0)</f>
        <v>0</v>
      </c>
      <c r="R438" s="15">
        <f>-$K438*IFERROR(INDEX('[1]salary allocation'!$E$6:$J$22,MATCH($H438,'[1]salary allocation'!$D$6:$D$22,0),MATCH(R$3,'[1]salary allocation'!$E$3:$J$3,0)),0)</f>
        <v>0</v>
      </c>
      <c r="S438" s="15">
        <f>-$K438*IFERROR(INDEX('[1]salary allocation'!$E$6:$J$22,MATCH($H438,'[1]salary allocation'!$D$6:$D$22,0),MATCH(S$3,'[1]salary allocation'!$E$3:$J$3,0)),0)</f>
        <v>0</v>
      </c>
      <c r="T438" s="15">
        <f>-$K438*IFERROR(INDEX('[1]salary allocation'!$E$6:$J$22,MATCH($H438,'[1]salary allocation'!$D$6:$D$22,0),MATCH(T$3,'[1]salary allocation'!$E$3:$J$3,0)),0)</f>
        <v>0</v>
      </c>
      <c r="U438" s="15">
        <f>-$K438*IFERROR(INDEX('[1]salary allocation'!$E$6:$J$22,MATCH($H438,'[1]salary allocation'!$D$6:$D$22,0),MATCH(U$3,'[1]salary allocation'!$E$3:$J$3,0)),0)</f>
        <v>0</v>
      </c>
      <c r="V438" s="15">
        <f>-$K438*IFERROR(INDEX('[1]salary allocation'!$E$6:$J$22,MATCH($H438,'[1]salary allocation'!$D$6:$D$22,0),MATCH(V$3,'[1]salary allocation'!$E$3:$J$3,0)),0)</f>
        <v>0</v>
      </c>
      <c r="W438" s="15">
        <f>-$K438*IFERROR(INDEX('[1]salary allocation'!$E$6:$J$22,MATCH($H438,'[1]salary allocation'!$D$6:$D$22,0),MATCH(W$3,'[1]salary allocation'!$E$3:$J$3,0)),0)</f>
        <v>0</v>
      </c>
      <c r="X438" s="15">
        <f>-$K438*IFERROR(INDEX('[1]salary allocation'!$E$6:$J$22,MATCH($H438,'[1]salary allocation'!$D$6:$D$22,0),MATCH(X$3,'[1]salary allocation'!$E$3:$J$3,0)),0)</f>
        <v>0</v>
      </c>
      <c r="Y438" s="15">
        <f>-$K438*IFERROR(INDEX('[1]salary allocation'!$E$6:$J$22,MATCH($H438,'[1]salary allocation'!$D$6:$D$22,0),MATCH(Y$3,'[1]salary allocation'!$E$3:$J$3,0)),0)</f>
        <v>0</v>
      </c>
      <c r="Z438" s="15">
        <f>-$K438*IFERROR(INDEX('[1]salary allocation'!$E$6:$J$22,MATCH($H438,'[1]salary allocation'!$D$6:$D$22,0),MATCH(Z$3,'[1]salary allocation'!$E$3:$J$3,0)),0)</f>
        <v>0</v>
      </c>
      <c r="AA438" s="15">
        <f>-$K438*IFERROR(INDEX('[1]salary allocation'!$E$6:$J$22,MATCH($H438,'[1]salary allocation'!$D$6:$D$22,0),MATCH(AA$3,'[1]salary allocation'!$E$3:$J$3,0)),0)</f>
        <v>0</v>
      </c>
      <c r="AB438" s="15">
        <f>-$K438*IFERROR(INDEX('[1]salary allocation'!$E$6:$J$22,MATCH($H438,'[1]salary allocation'!$D$6:$D$22,0),MATCH(AB$3,'[1]salary allocation'!$E$3:$J$3,0)),0)</f>
        <v>0</v>
      </c>
      <c r="AC438" s="18">
        <f>-$K438*IFERROR(INDEX('[1]salary allocation'!$E$6:$J$22,MATCH($H438,'[1]salary allocation'!$D$6:$D$22,0),MATCH(AC$3,'[1]salary allocation'!$E$3:$J$3,0)),0)</f>
        <v>0</v>
      </c>
      <c r="AD438" s="17"/>
      <c r="AE438" s="16"/>
      <c r="AF438" s="15"/>
      <c r="AG438" s="15">
        <f>-$K438</f>
        <v>0</v>
      </c>
      <c r="AH438" s="2">
        <f>K438+SUM(O438:AC438)</f>
        <v>0</v>
      </c>
      <c r="AI438" s="2">
        <f>K438+SUM(AF438:AG438)</f>
        <v>0</v>
      </c>
    </row>
    <row r="439" spans="1:35" x14ac:dyDescent="0.2">
      <c r="A439" s="11" t="s">
        <v>3</v>
      </c>
      <c r="B439" s="22">
        <v>45869</v>
      </c>
      <c r="H439" s="11" t="s">
        <v>45</v>
      </c>
      <c r="I439" s="11" t="s">
        <v>446</v>
      </c>
      <c r="K439" s="13">
        <v>-6190329</v>
      </c>
      <c r="L439" s="12">
        <v>72025</v>
      </c>
      <c r="M439" s="42" t="str">
        <f>LEFT(I439,(LEN(LEFT(I439,FIND(";",I439)))-8))</f>
        <v>VNHBC7</v>
      </c>
      <c r="N439" s="11"/>
      <c r="O439" s="15">
        <f>-$K439*IFERROR(INDEX('[1]salary allocation'!$E$6:$J$22,MATCH($H439,'[1]salary allocation'!$D$6:$D$22,0),MATCH(O$3,'[1]salary allocation'!$E$3:$J$3,0)),0)</f>
        <v>0</v>
      </c>
      <c r="P439" s="15">
        <f>-$K439*IFERROR(INDEX('[1]salary allocation'!$E$6:$J$22,MATCH($H439,'[1]salary allocation'!$D$6:$D$22,0),MATCH(P$3,'[1]salary allocation'!$E$3:$J$3,0)),0)</f>
        <v>0</v>
      </c>
      <c r="Q439" s="15">
        <f>-$K439*IFERROR(INDEX('[1]salary allocation'!$E$6:$J$22,MATCH($H439,'[1]salary allocation'!$D$6:$D$22,0),MATCH(Q$3,'[1]salary allocation'!$E$3:$J$3,0)),0)</f>
        <v>0</v>
      </c>
      <c r="R439" s="15">
        <f>-$K439*IFERROR(INDEX('[1]salary allocation'!$E$6:$J$22,MATCH($H439,'[1]salary allocation'!$D$6:$D$22,0),MATCH(R$3,'[1]salary allocation'!$E$3:$J$3,0)),0)</f>
        <v>0</v>
      </c>
      <c r="S439" s="15">
        <f>-$K439*IFERROR(INDEX('[1]salary allocation'!$E$6:$J$22,MATCH($H439,'[1]salary allocation'!$D$6:$D$22,0),MATCH(S$3,'[1]salary allocation'!$E$3:$J$3,0)),0)</f>
        <v>1238065.8</v>
      </c>
      <c r="T439" s="15">
        <f>-$K439*IFERROR(INDEX('[1]salary allocation'!$E$6:$J$22,MATCH($H439,'[1]salary allocation'!$D$6:$D$22,0),MATCH(T$3,'[1]salary allocation'!$E$3:$J$3,0)),0)</f>
        <v>1238065.8</v>
      </c>
      <c r="U439" s="15">
        <f>-$K439*IFERROR(INDEX('[1]salary allocation'!$E$6:$J$22,MATCH($H439,'[1]salary allocation'!$D$6:$D$22,0),MATCH(U$3,'[1]salary allocation'!$E$3:$J$3,0)),0)</f>
        <v>1238065.8</v>
      </c>
      <c r="V439" s="15">
        <f>-$K439*IFERROR(INDEX('[1]salary allocation'!$E$6:$J$22,MATCH($H439,'[1]salary allocation'!$D$6:$D$22,0),MATCH(V$3,'[1]salary allocation'!$E$3:$J$3,0)),0)</f>
        <v>0</v>
      </c>
      <c r="W439" s="15">
        <f>-$K439*IFERROR(INDEX('[1]salary allocation'!$E$6:$J$22,MATCH($H439,'[1]salary allocation'!$D$6:$D$22,0),MATCH(W$3,'[1]salary allocation'!$E$3:$J$3,0)),0)</f>
        <v>2476131.6</v>
      </c>
      <c r="X439" s="15">
        <f>-$K439*IFERROR(INDEX('[1]salary allocation'!$E$6:$J$22,MATCH($H439,'[1]salary allocation'!$D$6:$D$22,0),MATCH(X$3,'[1]salary allocation'!$E$3:$J$3,0)),0)</f>
        <v>0</v>
      </c>
      <c r="Y439" s="15">
        <f>-$K439*IFERROR(INDEX('[1]salary allocation'!$E$6:$J$22,MATCH($H439,'[1]salary allocation'!$D$6:$D$22,0),MATCH(Y$3,'[1]salary allocation'!$E$3:$J$3,0)),0)</f>
        <v>0</v>
      </c>
      <c r="Z439" s="15">
        <f>-$K439*IFERROR(INDEX('[1]salary allocation'!$E$6:$J$22,MATCH($H439,'[1]salary allocation'!$D$6:$D$22,0),MATCH(Z$3,'[1]salary allocation'!$E$3:$J$3,0)),0)</f>
        <v>0</v>
      </c>
      <c r="AA439" s="15">
        <f>-$K439*IFERROR(INDEX('[1]salary allocation'!$E$6:$J$22,MATCH($H439,'[1]salary allocation'!$D$6:$D$22,0),MATCH(AA$3,'[1]salary allocation'!$E$3:$J$3,0)),0)</f>
        <v>0</v>
      </c>
      <c r="AB439" s="15">
        <f>-$K439*IFERROR(INDEX('[1]salary allocation'!$E$6:$J$22,MATCH($H439,'[1]salary allocation'!$D$6:$D$22,0),MATCH(AB$3,'[1]salary allocation'!$E$3:$J$3,0)),0)</f>
        <v>0</v>
      </c>
      <c r="AC439" s="18">
        <f>-$K439*IFERROR(INDEX('[1]salary allocation'!$E$6:$J$22,MATCH($H439,'[1]salary allocation'!$D$6:$D$22,0),MATCH(AC$3,'[1]salary allocation'!$E$3:$J$3,0)),0)</f>
        <v>0</v>
      </c>
      <c r="AD439" s="17"/>
      <c r="AE439" s="16"/>
      <c r="AF439" s="15"/>
      <c r="AG439" s="15">
        <f>-K439</f>
        <v>6190329</v>
      </c>
      <c r="AH439" s="2">
        <f>K439+SUM(O439:AC439)</f>
        <v>0</v>
      </c>
      <c r="AI439" s="2">
        <f>K439+SUM(AF439:AG439)</f>
        <v>0</v>
      </c>
    </row>
    <row r="440" spans="1:35" x14ac:dyDescent="0.2">
      <c r="A440" s="11" t="s">
        <v>3</v>
      </c>
      <c r="B440" s="22">
        <v>45869</v>
      </c>
      <c r="H440" s="11" t="s">
        <v>43</v>
      </c>
      <c r="I440" s="11" t="s">
        <v>445</v>
      </c>
      <c r="K440" s="13">
        <v>-15082412</v>
      </c>
      <c r="L440" s="12">
        <v>72025</v>
      </c>
      <c r="M440" s="42" t="str">
        <f>LEFT(I440,(LEN(LEFT(I440,FIND(";",I440)))-8))</f>
        <v>VNMOET</v>
      </c>
      <c r="N440" s="11"/>
      <c r="O440" s="15">
        <f>-$K440*IFERROR(INDEX('[1]salary allocation'!$E$6:$J$22,MATCH($H440,'[1]salary allocation'!$D$6:$D$22,0),MATCH(O$3,'[1]salary allocation'!$E$3:$J$3,0)),0)</f>
        <v>0</v>
      </c>
      <c r="P440" s="15">
        <f>-$K440*IFERROR(INDEX('[1]salary allocation'!$E$6:$J$22,MATCH($H440,'[1]salary allocation'!$D$6:$D$22,0),MATCH(P$3,'[1]salary allocation'!$E$3:$J$3,0)),0)</f>
        <v>0</v>
      </c>
      <c r="Q440" s="15">
        <f>-$K440*IFERROR(INDEX('[1]salary allocation'!$E$6:$J$22,MATCH($H440,'[1]salary allocation'!$D$6:$D$22,0),MATCH(Q$3,'[1]salary allocation'!$E$3:$J$3,0)),0)</f>
        <v>0</v>
      </c>
      <c r="R440" s="15">
        <f>-$K440*IFERROR(INDEX('[1]salary allocation'!$E$6:$J$22,MATCH($H440,'[1]salary allocation'!$D$6:$D$22,0),MATCH(R$3,'[1]salary allocation'!$E$3:$J$3,0)),0)</f>
        <v>0</v>
      </c>
      <c r="S440" s="15">
        <f>-$K440*IFERROR(INDEX('[1]salary allocation'!$E$6:$J$22,MATCH($H440,'[1]salary allocation'!$D$6:$D$22,0),MATCH(S$3,'[1]salary allocation'!$E$3:$J$3,0)),0)</f>
        <v>3016482.4000000004</v>
      </c>
      <c r="T440" s="15">
        <f>-$K440*IFERROR(INDEX('[1]salary allocation'!$E$6:$J$22,MATCH($H440,'[1]salary allocation'!$D$6:$D$22,0),MATCH(T$3,'[1]salary allocation'!$E$3:$J$3,0)),0)</f>
        <v>3016482.4000000004</v>
      </c>
      <c r="U440" s="15">
        <f>-$K440*IFERROR(INDEX('[1]salary allocation'!$E$6:$J$22,MATCH($H440,'[1]salary allocation'!$D$6:$D$22,0),MATCH(U$3,'[1]salary allocation'!$E$3:$J$3,0)),0)</f>
        <v>3016482.4000000004</v>
      </c>
      <c r="V440" s="15">
        <f>-$K440*IFERROR(INDEX('[1]salary allocation'!$E$6:$J$22,MATCH($H440,'[1]salary allocation'!$D$6:$D$22,0),MATCH(V$3,'[1]salary allocation'!$E$3:$J$3,0)),0)</f>
        <v>0</v>
      </c>
      <c r="W440" s="15">
        <f>-$K440*IFERROR(INDEX('[1]salary allocation'!$E$6:$J$22,MATCH($H440,'[1]salary allocation'!$D$6:$D$22,0),MATCH(W$3,'[1]salary allocation'!$E$3:$J$3,0)),0)</f>
        <v>6032964.8000000007</v>
      </c>
      <c r="X440" s="15">
        <f>-$K440*IFERROR(INDEX('[1]salary allocation'!$E$6:$J$22,MATCH($H440,'[1]salary allocation'!$D$6:$D$22,0),MATCH(X$3,'[1]salary allocation'!$E$3:$J$3,0)),0)</f>
        <v>0</v>
      </c>
      <c r="Y440" s="15">
        <f>-$K440*IFERROR(INDEX('[1]salary allocation'!$E$6:$J$22,MATCH($H440,'[1]salary allocation'!$D$6:$D$22,0),MATCH(Y$3,'[1]salary allocation'!$E$3:$J$3,0)),0)</f>
        <v>0</v>
      </c>
      <c r="Z440" s="15">
        <f>-$K440*IFERROR(INDEX('[1]salary allocation'!$E$6:$J$22,MATCH($H440,'[1]salary allocation'!$D$6:$D$22,0),MATCH(Z$3,'[1]salary allocation'!$E$3:$J$3,0)),0)</f>
        <v>0</v>
      </c>
      <c r="AA440" s="15">
        <f>-$K440*IFERROR(INDEX('[1]salary allocation'!$E$6:$J$22,MATCH($H440,'[1]salary allocation'!$D$6:$D$22,0),MATCH(AA$3,'[1]salary allocation'!$E$3:$J$3,0)),0)</f>
        <v>0</v>
      </c>
      <c r="AB440" s="15">
        <f>-$K440*IFERROR(INDEX('[1]salary allocation'!$E$6:$J$22,MATCH($H440,'[1]salary allocation'!$D$6:$D$22,0),MATCH(AB$3,'[1]salary allocation'!$E$3:$J$3,0)),0)</f>
        <v>0</v>
      </c>
      <c r="AC440" s="18">
        <f>-$K440*IFERROR(INDEX('[1]salary allocation'!$E$6:$J$22,MATCH($H440,'[1]salary allocation'!$D$6:$D$22,0),MATCH(AC$3,'[1]salary allocation'!$E$3:$J$3,0)),0)</f>
        <v>0</v>
      </c>
      <c r="AD440" s="17"/>
      <c r="AE440" s="16"/>
      <c r="AF440" s="15">
        <f>-$K440</f>
        <v>15082412</v>
      </c>
      <c r="AG440" s="15"/>
      <c r="AH440" s="2">
        <f>K440+SUM(O440:AC440)</f>
        <v>0</v>
      </c>
      <c r="AI440" s="2">
        <f>K440+SUM(AF440:AG440)</f>
        <v>0</v>
      </c>
    </row>
    <row r="441" spans="1:35" x14ac:dyDescent="0.2">
      <c r="A441" s="11" t="s">
        <v>3</v>
      </c>
      <c r="B441" s="22">
        <v>45869</v>
      </c>
      <c r="H441" s="11" t="s">
        <v>41</v>
      </c>
      <c r="I441" s="11" t="s">
        <v>444</v>
      </c>
      <c r="K441" s="13">
        <v>-15030292</v>
      </c>
      <c r="L441" s="12">
        <v>72025</v>
      </c>
      <c r="M441" s="42" t="str">
        <f>LEFT(I441,(LEN(LEFT(I441,FIND(";",I441)))-8))</f>
        <v>VNMOET</v>
      </c>
      <c r="N441" s="11"/>
      <c r="O441" s="15">
        <f>-$K441*IFERROR(INDEX('[1]salary allocation'!$E$6:$J$22,MATCH($H441,'[1]salary allocation'!$D$6:$D$22,0),MATCH(O$3,'[1]salary allocation'!$E$3:$J$3,0)),0)</f>
        <v>0</v>
      </c>
      <c r="P441" s="15">
        <f>-$K441*IFERROR(INDEX('[1]salary allocation'!$E$6:$J$22,MATCH($H441,'[1]salary allocation'!$D$6:$D$22,0),MATCH(P$3,'[1]salary allocation'!$E$3:$J$3,0)),0)</f>
        <v>0</v>
      </c>
      <c r="Q441" s="15">
        <f>-$K441*IFERROR(INDEX('[1]salary allocation'!$E$6:$J$22,MATCH($H441,'[1]salary allocation'!$D$6:$D$22,0),MATCH(Q$3,'[1]salary allocation'!$E$3:$J$3,0)),0)</f>
        <v>0</v>
      </c>
      <c r="R441" s="15">
        <f>-$K441*IFERROR(INDEX('[1]salary allocation'!$E$6:$J$22,MATCH($H441,'[1]salary allocation'!$D$6:$D$22,0),MATCH(R$3,'[1]salary allocation'!$E$3:$J$3,0)),0)</f>
        <v>0</v>
      </c>
      <c r="S441" s="15">
        <f>-$K441*IFERROR(INDEX('[1]salary allocation'!$E$6:$J$22,MATCH($H441,'[1]salary allocation'!$D$6:$D$22,0),MATCH(S$3,'[1]salary allocation'!$E$3:$J$3,0)),0)</f>
        <v>0</v>
      </c>
      <c r="T441" s="15">
        <f>-$K441*IFERROR(INDEX('[1]salary allocation'!$E$6:$J$22,MATCH($H441,'[1]salary allocation'!$D$6:$D$22,0),MATCH(T$3,'[1]salary allocation'!$E$3:$J$3,0)),0)</f>
        <v>0</v>
      </c>
      <c r="U441" s="15">
        <f>-$K441*IFERROR(INDEX('[1]salary allocation'!$E$6:$J$22,MATCH($H441,'[1]salary allocation'!$D$6:$D$22,0),MATCH(U$3,'[1]salary allocation'!$E$3:$J$3,0)),0)</f>
        <v>0</v>
      </c>
      <c r="V441" s="15">
        <f>-$K441*IFERROR(INDEX('[1]salary allocation'!$E$6:$J$22,MATCH($H441,'[1]salary allocation'!$D$6:$D$22,0),MATCH(V$3,'[1]salary allocation'!$E$3:$J$3,0)),0)</f>
        <v>0</v>
      </c>
      <c r="W441" s="15">
        <f>-$K441*IFERROR(INDEX('[1]salary allocation'!$E$6:$J$22,MATCH($H441,'[1]salary allocation'!$D$6:$D$22,0),MATCH(W$3,'[1]salary allocation'!$E$3:$J$3,0)),0)</f>
        <v>15030292</v>
      </c>
      <c r="X441" s="15">
        <f>-$K441*IFERROR(INDEX('[1]salary allocation'!$E$6:$J$22,MATCH($H441,'[1]salary allocation'!$D$6:$D$22,0),MATCH(X$3,'[1]salary allocation'!$E$3:$J$3,0)),0)</f>
        <v>0</v>
      </c>
      <c r="Y441" s="15">
        <f>-$K441*IFERROR(INDEX('[1]salary allocation'!$E$6:$J$22,MATCH($H441,'[1]salary allocation'!$D$6:$D$22,0),MATCH(Y$3,'[1]salary allocation'!$E$3:$J$3,0)),0)</f>
        <v>0</v>
      </c>
      <c r="Z441" s="15">
        <f>-$K441*IFERROR(INDEX('[1]salary allocation'!$E$6:$J$22,MATCH($H441,'[1]salary allocation'!$D$6:$D$22,0),MATCH(Z$3,'[1]salary allocation'!$E$3:$J$3,0)),0)</f>
        <v>0</v>
      </c>
      <c r="AA441" s="15">
        <f>-$K441*IFERROR(INDEX('[1]salary allocation'!$E$6:$J$22,MATCH($H441,'[1]salary allocation'!$D$6:$D$22,0),MATCH(AA$3,'[1]salary allocation'!$E$3:$J$3,0)),0)</f>
        <v>0</v>
      </c>
      <c r="AB441" s="15">
        <f>-$K441*IFERROR(INDEX('[1]salary allocation'!$E$6:$J$22,MATCH($H441,'[1]salary allocation'!$D$6:$D$22,0),MATCH(AB$3,'[1]salary allocation'!$E$3:$J$3,0)),0)</f>
        <v>0</v>
      </c>
      <c r="AC441" s="18">
        <f>-$K441*IFERROR(INDEX('[1]salary allocation'!$E$6:$J$22,MATCH($H441,'[1]salary allocation'!$D$6:$D$22,0),MATCH(AC$3,'[1]salary allocation'!$E$3:$J$3,0)),0)</f>
        <v>0</v>
      </c>
      <c r="AD441" s="17"/>
      <c r="AE441" s="16"/>
      <c r="AF441" s="15">
        <f>-$K441</f>
        <v>15030292</v>
      </c>
      <c r="AG441" s="15"/>
      <c r="AH441" s="2">
        <f>K441+SUM(O441:AC441)</f>
        <v>0</v>
      </c>
      <c r="AI441" s="2">
        <f>K441+SUM(AF441:AG441)</f>
        <v>0</v>
      </c>
    </row>
    <row r="442" spans="1:35" x14ac:dyDescent="0.2">
      <c r="A442" s="11" t="s">
        <v>3</v>
      </c>
      <c r="B442" s="22">
        <v>45869</v>
      </c>
      <c r="H442" s="11" t="s">
        <v>39</v>
      </c>
      <c r="I442" s="11" t="s">
        <v>443</v>
      </c>
      <c r="K442" s="13">
        <v>-15082412</v>
      </c>
      <c r="L442" s="12">
        <v>72025</v>
      </c>
      <c r="M442" s="42" t="str">
        <f>LEFT(I442,(LEN(LEFT(I442,FIND(";",I442)))-8))</f>
        <v>VNMOET</v>
      </c>
      <c r="N442" s="11"/>
      <c r="O442" s="15">
        <f>-$K442*IFERROR(INDEX('[1]salary allocation'!$E$6:$J$22,MATCH($H442,'[1]salary allocation'!$D$6:$D$22,0),MATCH(O$3,'[1]salary allocation'!$E$3:$J$3,0)),0)</f>
        <v>0</v>
      </c>
      <c r="P442" s="15">
        <f>-$K442*IFERROR(INDEX('[1]salary allocation'!$E$6:$J$22,MATCH($H442,'[1]salary allocation'!$D$6:$D$22,0),MATCH(P$3,'[1]salary allocation'!$E$3:$J$3,0)),0)</f>
        <v>0</v>
      </c>
      <c r="Q442" s="15">
        <f>-$K442*IFERROR(INDEX('[1]salary allocation'!$E$6:$J$22,MATCH($H442,'[1]salary allocation'!$D$6:$D$22,0),MATCH(Q$3,'[1]salary allocation'!$E$3:$J$3,0)),0)</f>
        <v>0</v>
      </c>
      <c r="R442" s="15">
        <f>-$K442*IFERROR(INDEX('[1]salary allocation'!$E$6:$J$22,MATCH($H442,'[1]salary allocation'!$D$6:$D$22,0),MATCH(R$3,'[1]salary allocation'!$E$3:$J$3,0)),0)</f>
        <v>0</v>
      </c>
      <c r="S442" s="15">
        <f>-$K442*IFERROR(INDEX('[1]salary allocation'!$E$6:$J$22,MATCH($H442,'[1]salary allocation'!$D$6:$D$22,0),MATCH(S$3,'[1]salary allocation'!$E$3:$J$3,0)),0)</f>
        <v>0</v>
      </c>
      <c r="T442" s="15">
        <f>-$K442*IFERROR(INDEX('[1]salary allocation'!$E$6:$J$22,MATCH($H442,'[1]salary allocation'!$D$6:$D$22,0),MATCH(T$3,'[1]salary allocation'!$E$3:$J$3,0)),0)</f>
        <v>0</v>
      </c>
      <c r="U442" s="15">
        <f>-$K442*IFERROR(INDEX('[1]salary allocation'!$E$6:$J$22,MATCH($H442,'[1]salary allocation'!$D$6:$D$22,0),MATCH(U$3,'[1]salary allocation'!$E$3:$J$3,0)),0)</f>
        <v>0</v>
      </c>
      <c r="V442" s="15">
        <f>-$K442*IFERROR(INDEX('[1]salary allocation'!$E$6:$J$22,MATCH($H442,'[1]salary allocation'!$D$6:$D$22,0),MATCH(V$3,'[1]salary allocation'!$E$3:$J$3,0)),0)</f>
        <v>0</v>
      </c>
      <c r="W442" s="15">
        <f>-$K442*IFERROR(INDEX('[1]salary allocation'!$E$6:$J$22,MATCH($H442,'[1]salary allocation'!$D$6:$D$22,0),MATCH(W$3,'[1]salary allocation'!$E$3:$J$3,0)),0)</f>
        <v>15082412</v>
      </c>
      <c r="X442" s="15">
        <f>-$K442*IFERROR(INDEX('[1]salary allocation'!$E$6:$J$22,MATCH($H442,'[1]salary allocation'!$D$6:$D$22,0),MATCH(X$3,'[1]salary allocation'!$E$3:$J$3,0)),0)</f>
        <v>0</v>
      </c>
      <c r="Y442" s="15">
        <f>-$K442*IFERROR(INDEX('[1]salary allocation'!$E$6:$J$22,MATCH($H442,'[1]salary allocation'!$D$6:$D$22,0),MATCH(Y$3,'[1]salary allocation'!$E$3:$J$3,0)),0)</f>
        <v>0</v>
      </c>
      <c r="Z442" s="15">
        <f>-$K442*IFERROR(INDEX('[1]salary allocation'!$E$6:$J$22,MATCH($H442,'[1]salary allocation'!$D$6:$D$22,0),MATCH(Z$3,'[1]salary allocation'!$E$3:$J$3,0)),0)</f>
        <v>0</v>
      </c>
      <c r="AA442" s="15">
        <f>-$K442*IFERROR(INDEX('[1]salary allocation'!$E$6:$J$22,MATCH($H442,'[1]salary allocation'!$D$6:$D$22,0),MATCH(AA$3,'[1]salary allocation'!$E$3:$J$3,0)),0)</f>
        <v>0</v>
      </c>
      <c r="AB442" s="15">
        <f>-$K442*IFERROR(INDEX('[1]salary allocation'!$E$6:$J$22,MATCH($H442,'[1]salary allocation'!$D$6:$D$22,0),MATCH(AB$3,'[1]salary allocation'!$E$3:$J$3,0)),0)</f>
        <v>0</v>
      </c>
      <c r="AC442" s="18">
        <f>-$K442*IFERROR(INDEX('[1]salary allocation'!$E$6:$J$22,MATCH($H442,'[1]salary allocation'!$D$6:$D$22,0),MATCH(AC$3,'[1]salary allocation'!$E$3:$J$3,0)),0)</f>
        <v>0</v>
      </c>
      <c r="AD442" s="17"/>
      <c r="AE442" s="16"/>
      <c r="AF442" s="15">
        <f>-$K442</f>
        <v>15082412</v>
      </c>
      <c r="AG442" s="15"/>
      <c r="AH442" s="2">
        <f>K442+SUM(O442:AC442)</f>
        <v>0</v>
      </c>
      <c r="AI442" s="2">
        <f>K442+SUM(AF442:AG442)</f>
        <v>0</v>
      </c>
    </row>
    <row r="443" spans="1:35" ht="17" x14ac:dyDescent="0.2">
      <c r="A443" s="11" t="s">
        <v>3</v>
      </c>
      <c r="B443" s="22">
        <v>45869</v>
      </c>
      <c r="H443" s="40" t="s">
        <v>37</v>
      </c>
      <c r="I443" s="11" t="s">
        <v>442</v>
      </c>
      <c r="K443" s="13">
        <v>-13631552</v>
      </c>
      <c r="L443" s="12">
        <v>72025</v>
      </c>
      <c r="M443" s="42" t="str">
        <f>LEFT(I443,(LEN(LEFT(I443,FIND(";",I443)))-8))</f>
        <v>VNOther</v>
      </c>
      <c r="N443" s="11"/>
      <c r="O443" s="15">
        <f>-$K443*IFERROR(INDEX('[1]salary allocation'!$E$6:$J$22,MATCH($H443,'[1]salary allocation'!$D$6:$D$22,0),MATCH(O$3,'[1]salary allocation'!$E$3:$J$3,0)),0)</f>
        <v>0</v>
      </c>
      <c r="P443" s="15">
        <f>-$K443*IFERROR(INDEX('[1]salary allocation'!$E$6:$J$22,MATCH($H443,'[1]salary allocation'!$D$6:$D$22,0),MATCH(P$3,'[1]salary allocation'!$E$3:$J$3,0)),0)</f>
        <v>2044732.7999999998</v>
      </c>
      <c r="Q443" s="15">
        <f>-$K443*IFERROR(INDEX('[1]salary allocation'!$E$6:$J$22,MATCH($H443,'[1]salary allocation'!$D$6:$D$22,0),MATCH(Q$3,'[1]salary allocation'!$E$3:$J$3,0)),0)</f>
        <v>0</v>
      </c>
      <c r="R443" s="15">
        <f>-$K443*IFERROR(INDEX('[1]salary allocation'!$E$6:$J$22,MATCH($H443,'[1]salary allocation'!$D$6:$D$22,0),MATCH(R$3,'[1]salary allocation'!$E$3:$J$3,0)),0)</f>
        <v>0</v>
      </c>
      <c r="S443" s="15">
        <f>-$K443*IFERROR(INDEX('[1]salary allocation'!$E$6:$J$22,MATCH($H443,'[1]salary allocation'!$D$6:$D$22,0),MATCH(S$3,'[1]salary allocation'!$E$3:$J$3,0)),0)</f>
        <v>2317363.84</v>
      </c>
      <c r="T443" s="15">
        <f>-$K443*IFERROR(INDEX('[1]salary allocation'!$E$6:$J$22,MATCH($H443,'[1]salary allocation'!$D$6:$D$22,0),MATCH(T$3,'[1]salary allocation'!$E$3:$J$3,0)),0)</f>
        <v>2317363.84</v>
      </c>
      <c r="U443" s="15">
        <f>-$K443*IFERROR(INDEX('[1]salary allocation'!$E$6:$J$22,MATCH($H443,'[1]salary allocation'!$D$6:$D$22,0),MATCH(U$3,'[1]salary allocation'!$E$3:$J$3,0)),0)</f>
        <v>2317363.84</v>
      </c>
      <c r="V443" s="15">
        <f>-$K443*IFERROR(INDEX('[1]salary allocation'!$E$6:$J$22,MATCH($H443,'[1]salary allocation'!$D$6:$D$22,0),MATCH(V$3,'[1]salary allocation'!$E$3:$J$3,0)),0)</f>
        <v>0</v>
      </c>
      <c r="W443" s="15">
        <f>-$K443*IFERROR(INDEX('[1]salary allocation'!$E$6:$J$22,MATCH($H443,'[1]salary allocation'!$D$6:$D$22,0),MATCH(W$3,'[1]salary allocation'!$E$3:$J$3,0)),0)</f>
        <v>4634727.68</v>
      </c>
      <c r="X443" s="15">
        <f>-$K443*IFERROR(INDEX('[1]salary allocation'!$E$6:$J$22,MATCH($H443,'[1]salary allocation'!$D$6:$D$22,0),MATCH(X$3,'[1]salary allocation'!$E$3:$J$3,0)),0)</f>
        <v>0</v>
      </c>
      <c r="Y443" s="15">
        <f>-$K443*IFERROR(INDEX('[1]salary allocation'!$E$6:$J$22,MATCH($H443,'[1]salary allocation'!$D$6:$D$22,0),MATCH(Y$3,'[1]salary allocation'!$E$3:$J$3,0)),0)</f>
        <v>0</v>
      </c>
      <c r="Z443" s="15">
        <f>-$K443*IFERROR(INDEX('[1]salary allocation'!$E$6:$J$22,MATCH($H443,'[1]salary allocation'!$D$6:$D$22,0),MATCH(Z$3,'[1]salary allocation'!$E$3:$J$3,0)),0)</f>
        <v>0</v>
      </c>
      <c r="AA443" s="15">
        <f>-$K443*IFERROR(INDEX('[1]salary allocation'!$E$6:$J$22,MATCH($H443,'[1]salary allocation'!$D$6:$D$22,0),MATCH(AA$3,'[1]salary allocation'!$E$3:$J$3,0)),0)</f>
        <v>0</v>
      </c>
      <c r="AB443" s="15">
        <f>-$K443*IFERROR(INDEX('[1]salary allocation'!$E$6:$J$22,MATCH($H443,'[1]salary allocation'!$D$6:$D$22,0),MATCH(AB$3,'[1]salary allocation'!$E$3:$J$3,0)),0)</f>
        <v>0</v>
      </c>
      <c r="AC443" s="18">
        <f>-$K443*IFERROR(INDEX('[1]salary allocation'!$E$6:$J$22,MATCH($H443,'[1]salary allocation'!$D$6:$D$22,0),MATCH(AC$3,'[1]salary allocation'!$E$3:$J$3,0)),0)</f>
        <v>0</v>
      </c>
      <c r="AD443" s="17"/>
      <c r="AE443" s="16"/>
      <c r="AF443" s="15">
        <f>-K443</f>
        <v>13631552</v>
      </c>
      <c r="AG443" s="15"/>
      <c r="AH443" s="2">
        <f>K443+SUM(O443:AC443)</f>
        <v>0</v>
      </c>
      <c r="AI443" s="2">
        <f>K443+SUM(AF443:AG443)</f>
        <v>0</v>
      </c>
    </row>
    <row r="444" spans="1:35" x14ac:dyDescent="0.2">
      <c r="A444" s="11" t="s">
        <v>3</v>
      </c>
      <c r="B444" s="22">
        <v>45869</v>
      </c>
      <c r="H444" s="11" t="s">
        <v>35</v>
      </c>
      <c r="I444" s="11" t="s">
        <v>441</v>
      </c>
      <c r="K444" s="13">
        <v>-15485846</v>
      </c>
      <c r="L444" s="12">
        <v>72025</v>
      </c>
      <c r="M444" s="42" t="str">
        <f>LEFT(I444,(LEN(LEFT(I444,FIND(";",I444)))-8))</f>
        <v>VNOther</v>
      </c>
      <c r="N444" s="11"/>
      <c r="O444" s="15">
        <f>-$K444*IFERROR(INDEX('[1]salary allocation'!$E$6:$J$22,MATCH($H444,'[1]salary allocation'!$D$6:$D$22,0),MATCH(O$3,'[1]salary allocation'!$E$3:$J$3,0)),0)</f>
        <v>0</v>
      </c>
      <c r="P444" s="15">
        <f>-$K444*IFERROR(INDEX('[1]salary allocation'!$E$6:$J$22,MATCH($H444,'[1]salary allocation'!$D$6:$D$22,0),MATCH(P$3,'[1]salary allocation'!$E$3:$J$3,0)),0)</f>
        <v>2322876.9</v>
      </c>
      <c r="Q444" s="15">
        <f>-$K444*IFERROR(INDEX('[1]salary allocation'!$E$6:$J$22,MATCH($H444,'[1]salary allocation'!$D$6:$D$22,0),MATCH(Q$3,'[1]salary allocation'!$E$3:$J$3,0)),0)</f>
        <v>0</v>
      </c>
      <c r="R444" s="15">
        <f>-$K444*IFERROR(INDEX('[1]salary allocation'!$E$6:$J$22,MATCH($H444,'[1]salary allocation'!$D$6:$D$22,0),MATCH(R$3,'[1]salary allocation'!$E$3:$J$3,0)),0)</f>
        <v>0</v>
      </c>
      <c r="S444" s="15">
        <f>-$K444*IFERROR(INDEX('[1]salary allocation'!$E$6:$J$22,MATCH($H444,'[1]salary allocation'!$D$6:$D$22,0),MATCH(S$3,'[1]salary allocation'!$E$3:$J$3,0)),0)</f>
        <v>2632593.8199999998</v>
      </c>
      <c r="T444" s="15">
        <f>-$K444*IFERROR(INDEX('[1]salary allocation'!$E$6:$J$22,MATCH($H444,'[1]salary allocation'!$D$6:$D$22,0),MATCH(T$3,'[1]salary allocation'!$E$3:$J$3,0)),0)</f>
        <v>2632593.8199999998</v>
      </c>
      <c r="U444" s="15">
        <f>-$K444*IFERROR(INDEX('[1]salary allocation'!$E$6:$J$22,MATCH($H444,'[1]salary allocation'!$D$6:$D$22,0),MATCH(U$3,'[1]salary allocation'!$E$3:$J$3,0)),0)</f>
        <v>2632593.8199999998</v>
      </c>
      <c r="V444" s="15">
        <f>-$K444*IFERROR(INDEX('[1]salary allocation'!$E$6:$J$22,MATCH($H444,'[1]salary allocation'!$D$6:$D$22,0),MATCH(V$3,'[1]salary allocation'!$E$3:$J$3,0)),0)</f>
        <v>0</v>
      </c>
      <c r="W444" s="15">
        <f>-$K444*IFERROR(INDEX('[1]salary allocation'!$E$6:$J$22,MATCH($H444,'[1]salary allocation'!$D$6:$D$22,0),MATCH(W$3,'[1]salary allocation'!$E$3:$J$3,0)),0)</f>
        <v>5265187.6399999997</v>
      </c>
      <c r="X444" s="15">
        <f>-$K444*IFERROR(INDEX('[1]salary allocation'!$E$6:$J$22,MATCH($H444,'[1]salary allocation'!$D$6:$D$22,0),MATCH(X$3,'[1]salary allocation'!$E$3:$J$3,0)),0)</f>
        <v>0</v>
      </c>
      <c r="Y444" s="15">
        <f>-$K444*IFERROR(INDEX('[1]salary allocation'!$E$6:$J$22,MATCH($H444,'[1]salary allocation'!$D$6:$D$22,0),MATCH(Y$3,'[1]salary allocation'!$E$3:$J$3,0)),0)</f>
        <v>0</v>
      </c>
      <c r="Z444" s="15">
        <f>-$K444*IFERROR(INDEX('[1]salary allocation'!$E$6:$J$22,MATCH($H444,'[1]salary allocation'!$D$6:$D$22,0),MATCH(Z$3,'[1]salary allocation'!$E$3:$J$3,0)),0)</f>
        <v>0</v>
      </c>
      <c r="AA444" s="15">
        <f>-$K444*IFERROR(INDEX('[1]salary allocation'!$E$6:$J$22,MATCH($H444,'[1]salary allocation'!$D$6:$D$22,0),MATCH(AA$3,'[1]salary allocation'!$E$3:$J$3,0)),0)</f>
        <v>0</v>
      </c>
      <c r="AB444" s="15">
        <f>-$K444*IFERROR(INDEX('[1]salary allocation'!$E$6:$J$22,MATCH($H444,'[1]salary allocation'!$D$6:$D$22,0),MATCH(AB$3,'[1]salary allocation'!$E$3:$J$3,0)),0)</f>
        <v>0</v>
      </c>
      <c r="AC444" s="18">
        <f>-$K444*IFERROR(INDEX('[1]salary allocation'!$E$6:$J$22,MATCH($H444,'[1]salary allocation'!$D$6:$D$22,0),MATCH(AC$3,'[1]salary allocation'!$E$3:$J$3,0)),0)</f>
        <v>0</v>
      </c>
      <c r="AD444" s="17"/>
      <c r="AE444" s="16"/>
      <c r="AF444" s="15">
        <f>-$K444</f>
        <v>15485846</v>
      </c>
      <c r="AG444" s="15"/>
      <c r="AH444" s="2">
        <f>K444+SUM(O444:AC444)</f>
        <v>0</v>
      </c>
      <c r="AI444" s="2">
        <f>K444+SUM(AF444:AG444)</f>
        <v>0</v>
      </c>
    </row>
    <row r="445" spans="1:35" x14ac:dyDescent="0.2">
      <c r="A445" s="11" t="s">
        <v>3</v>
      </c>
      <c r="B445" s="22">
        <v>45869</v>
      </c>
      <c r="H445" s="11" t="s">
        <v>121</v>
      </c>
      <c r="I445" s="11" t="s">
        <v>440</v>
      </c>
      <c r="K445" s="13">
        <v>-4308352</v>
      </c>
      <c r="L445" s="12">
        <v>72025</v>
      </c>
      <c r="M445" s="42" t="str">
        <f>LEFT(I445,(LEN(LEFT(I445,FIND(";",I445)))-8))</f>
        <v>VNLA</v>
      </c>
      <c r="N445" s="11"/>
      <c r="O445" s="2">
        <f>IF($M445=O$3,-$K445,0)</f>
        <v>0</v>
      </c>
      <c r="P445" s="2">
        <f>IF($M445=P$3,-$K445,0)</f>
        <v>0</v>
      </c>
      <c r="Q445" s="2">
        <f>IF($M445=Q$3,-$K445,0)</f>
        <v>0</v>
      </c>
      <c r="R445" s="2">
        <f>IF($M445=R$3,-$K445,0)</f>
        <v>0</v>
      </c>
      <c r="S445" s="2">
        <f>IF($M445=S$3,-$K445,0)</f>
        <v>0</v>
      </c>
      <c r="T445" s="2">
        <f>IF($M445=T$3,-$K445,0)</f>
        <v>0</v>
      </c>
      <c r="U445" s="2">
        <f>IF($M445=U$3,-$K445,0)</f>
        <v>0</v>
      </c>
      <c r="V445" s="2">
        <f>IF($M445=V$3,-$K445,0)</f>
        <v>0</v>
      </c>
      <c r="W445" s="2">
        <f>IF($M445=W$3,-$K445,0)</f>
        <v>0</v>
      </c>
      <c r="X445" s="2">
        <f>IF($M445=X$3,-$K445,0)</f>
        <v>4308352</v>
      </c>
      <c r="Y445" s="2">
        <f>IF($M445=Y$3,-$K445,0)</f>
        <v>0</v>
      </c>
      <c r="Z445" s="2">
        <f>IF($M445=Z$3,-$K445,0)</f>
        <v>0</v>
      </c>
      <c r="AA445" s="2">
        <f>IF($M445=AA$3,-$K445,0)</f>
        <v>0</v>
      </c>
      <c r="AB445" s="2">
        <f>IF($M445=AB$3,-$K445,0)</f>
        <v>0</v>
      </c>
      <c r="AC445" s="21">
        <f>IF($M445=AC$3,-$K445,0)</f>
        <v>0</v>
      </c>
      <c r="AD445" s="20"/>
      <c r="AE445" s="19"/>
      <c r="AF445" s="2"/>
      <c r="AG445" s="2">
        <f>-$K445</f>
        <v>4308352</v>
      </c>
      <c r="AH445" s="2">
        <f>K445+SUM(O445:AC445)</f>
        <v>0</v>
      </c>
      <c r="AI445" s="2">
        <f>K445+SUM(AF445:AG445)</f>
        <v>0</v>
      </c>
    </row>
    <row r="446" spans="1:35" x14ac:dyDescent="0.2">
      <c r="A446" s="11" t="s">
        <v>3</v>
      </c>
      <c r="B446" s="22">
        <v>45869</v>
      </c>
      <c r="H446" s="11" t="s">
        <v>33</v>
      </c>
      <c r="I446" s="11" t="s">
        <v>439</v>
      </c>
      <c r="K446" s="13">
        <v>-3984832</v>
      </c>
      <c r="L446" s="12">
        <v>72025</v>
      </c>
      <c r="M446" s="42" t="str">
        <f>LEFT(I446,(LEN(LEFT(I446,FIND(";",I446)))-8))</f>
        <v>VNDN</v>
      </c>
      <c r="N446" s="11"/>
      <c r="O446" s="2">
        <f>IF($M446=O$3,-$K446,0)</f>
        <v>0</v>
      </c>
      <c r="P446" s="2">
        <f>IF($M446=P$3,-$K446,0)</f>
        <v>0</v>
      </c>
      <c r="Q446" s="2">
        <f>IF($M446=Q$3,-$K446,0)</f>
        <v>0</v>
      </c>
      <c r="R446" s="2">
        <f>IF($M446=R$3,-$K446,0)</f>
        <v>0</v>
      </c>
      <c r="S446" s="2">
        <f>IF($M446=S$3,-$K446,0)</f>
        <v>3984832</v>
      </c>
      <c r="T446" s="2">
        <f>IF($M446=T$3,-$K446,0)</f>
        <v>0</v>
      </c>
      <c r="U446" s="2">
        <f>IF($M446=U$3,-$K446,0)</f>
        <v>0</v>
      </c>
      <c r="V446" s="2">
        <f>IF($M446=V$3,-$K446,0)</f>
        <v>0</v>
      </c>
      <c r="W446" s="2">
        <f>IF($M446=W$3,-$K446,0)</f>
        <v>0</v>
      </c>
      <c r="X446" s="2">
        <f>IF($M446=X$3,-$K446,0)</f>
        <v>0</v>
      </c>
      <c r="Y446" s="2">
        <f>IF($M446=Y$3,-$K446,0)</f>
        <v>0</v>
      </c>
      <c r="Z446" s="2">
        <f>IF($M446=Z$3,-$K446,0)</f>
        <v>0</v>
      </c>
      <c r="AA446" s="2">
        <f>IF($M446=AA$3,-$K446,0)</f>
        <v>0</v>
      </c>
      <c r="AB446" s="2">
        <f>IF($M446=AB$3,-$K446,0)</f>
        <v>0</v>
      </c>
      <c r="AC446" s="21">
        <f>IF($M446=AC$3,-$K446,0)</f>
        <v>0</v>
      </c>
      <c r="AD446" s="20"/>
      <c r="AE446" s="19"/>
      <c r="AF446" s="2"/>
      <c r="AG446" s="2">
        <f>-$K446</f>
        <v>3984832</v>
      </c>
      <c r="AH446" s="2">
        <f>K446+SUM(O446:AC446)</f>
        <v>0</v>
      </c>
      <c r="AI446" s="2">
        <f>K446+SUM(AF446:AG446)</f>
        <v>0</v>
      </c>
    </row>
    <row r="447" spans="1:35" x14ac:dyDescent="0.2">
      <c r="A447" s="11" t="s">
        <v>3</v>
      </c>
      <c r="B447" s="22">
        <v>45869</v>
      </c>
      <c r="H447" s="11" t="s">
        <v>31</v>
      </c>
      <c r="I447" s="11" t="s">
        <v>438</v>
      </c>
      <c r="K447" s="13">
        <v>-5064512</v>
      </c>
      <c r="L447" s="12">
        <v>72025</v>
      </c>
      <c r="M447" s="42" t="str">
        <f>LEFT(I447,(LEN(LEFT(I447,FIND(";",I447)))-8))</f>
        <v>VNDN</v>
      </c>
      <c r="N447" s="11"/>
      <c r="O447" s="2">
        <f>IF($M447=O$3,-$K447,0)</f>
        <v>0</v>
      </c>
      <c r="P447" s="2">
        <f>IF($M447=P$3,-$K447,0)</f>
        <v>0</v>
      </c>
      <c r="Q447" s="2">
        <f>IF($M447=Q$3,-$K447,0)</f>
        <v>0</v>
      </c>
      <c r="R447" s="2">
        <f>IF($M447=R$3,-$K447,0)</f>
        <v>0</v>
      </c>
      <c r="S447" s="2">
        <f>IF($M447=S$3,-$K447,0)</f>
        <v>5064512</v>
      </c>
      <c r="T447" s="2">
        <f>IF($M447=T$3,-$K447,0)</f>
        <v>0</v>
      </c>
      <c r="U447" s="2">
        <f>IF($M447=U$3,-$K447,0)</f>
        <v>0</v>
      </c>
      <c r="V447" s="2">
        <f>IF($M447=V$3,-$K447,0)</f>
        <v>0</v>
      </c>
      <c r="W447" s="2">
        <f>IF($M447=W$3,-$K447,0)</f>
        <v>0</v>
      </c>
      <c r="X447" s="2">
        <f>IF($M447=X$3,-$K447,0)</f>
        <v>0</v>
      </c>
      <c r="Y447" s="2">
        <f>IF($M447=Y$3,-$K447,0)</f>
        <v>0</v>
      </c>
      <c r="Z447" s="2">
        <f>IF($M447=Z$3,-$K447,0)</f>
        <v>0</v>
      </c>
      <c r="AA447" s="2">
        <f>IF($M447=AA$3,-$K447,0)</f>
        <v>0</v>
      </c>
      <c r="AB447" s="2">
        <f>IF($M447=AB$3,-$K447,0)</f>
        <v>0</v>
      </c>
      <c r="AC447" s="21">
        <f>IF($M447=AC$3,-$K447,0)</f>
        <v>0</v>
      </c>
      <c r="AD447" s="20"/>
      <c r="AE447" s="19"/>
      <c r="AF447" s="2"/>
      <c r="AG447" s="2">
        <f>-$K447</f>
        <v>5064512</v>
      </c>
      <c r="AH447" s="2">
        <f>K447+SUM(O447:AC447)</f>
        <v>0</v>
      </c>
      <c r="AI447" s="2">
        <f>K447+SUM(AF447:AG447)</f>
        <v>0</v>
      </c>
    </row>
    <row r="448" spans="1:35" x14ac:dyDescent="0.2">
      <c r="A448" s="11" t="s">
        <v>3</v>
      </c>
      <c r="B448" s="22">
        <v>45869</v>
      </c>
      <c r="H448" s="11" t="s">
        <v>29</v>
      </c>
      <c r="I448" s="11" t="s">
        <v>437</v>
      </c>
      <c r="K448" s="13">
        <v>-6516352</v>
      </c>
      <c r="L448" s="12">
        <v>72025</v>
      </c>
      <c r="M448" s="42" t="str">
        <f>LEFT(I448,(LEN(LEFT(I448,FIND(";",I448)))-8))</f>
        <v>VNDN</v>
      </c>
      <c r="N448" s="11"/>
      <c r="O448" s="2">
        <f>IF($M448=O$3,-$K448,0)</f>
        <v>0</v>
      </c>
      <c r="P448" s="2">
        <f>IF($M448=P$3,-$K448,0)</f>
        <v>0</v>
      </c>
      <c r="Q448" s="2">
        <f>IF($M448=Q$3,-$K448,0)</f>
        <v>0</v>
      </c>
      <c r="R448" s="2">
        <f>IF($M448=R$3,-$K448,0)</f>
        <v>0</v>
      </c>
      <c r="S448" s="2">
        <f>IF($M448=S$3,-$K448,0)</f>
        <v>6516352</v>
      </c>
      <c r="T448" s="2">
        <f>IF($M448=T$3,-$K448,0)</f>
        <v>0</v>
      </c>
      <c r="U448" s="2">
        <f>IF($M448=U$3,-$K448,0)</f>
        <v>0</v>
      </c>
      <c r="V448" s="2">
        <f>IF($M448=V$3,-$K448,0)</f>
        <v>0</v>
      </c>
      <c r="W448" s="2">
        <f>IF($M448=W$3,-$K448,0)</f>
        <v>0</v>
      </c>
      <c r="X448" s="2">
        <f>IF($M448=X$3,-$K448,0)</f>
        <v>0</v>
      </c>
      <c r="Y448" s="2">
        <f>IF($M448=Y$3,-$K448,0)</f>
        <v>0</v>
      </c>
      <c r="Z448" s="2">
        <f>IF($M448=Z$3,-$K448,0)</f>
        <v>0</v>
      </c>
      <c r="AA448" s="2">
        <f>IF($M448=AA$3,-$K448,0)</f>
        <v>0</v>
      </c>
      <c r="AB448" s="2">
        <f>IF($M448=AB$3,-$K448,0)</f>
        <v>0</v>
      </c>
      <c r="AC448" s="21">
        <f>IF($M448=AC$3,-$K448,0)</f>
        <v>0</v>
      </c>
      <c r="AD448" s="20"/>
      <c r="AE448" s="19"/>
      <c r="AF448" s="2"/>
      <c r="AG448" s="2">
        <f>-$K448</f>
        <v>6516352</v>
      </c>
      <c r="AH448" s="2">
        <f>K448+SUM(O448:AC448)</f>
        <v>0</v>
      </c>
      <c r="AI448" s="2">
        <f>K448+SUM(AF448:AG448)</f>
        <v>0</v>
      </c>
    </row>
    <row r="449" spans="1:35" x14ac:dyDescent="0.2">
      <c r="A449" s="11" t="s">
        <v>3</v>
      </c>
      <c r="B449" s="22">
        <v>45869</v>
      </c>
      <c r="H449" s="11" t="s">
        <v>27</v>
      </c>
      <c r="I449" s="11" t="s">
        <v>436</v>
      </c>
      <c r="K449" s="13">
        <v>-4564352</v>
      </c>
      <c r="L449" s="12">
        <v>72025</v>
      </c>
      <c r="M449" s="42" t="str">
        <f>LEFT(I449,(LEN(LEFT(I449,FIND(";",I449)))-8))</f>
        <v>VNDN</v>
      </c>
      <c r="N449" s="11"/>
      <c r="O449" s="2">
        <f>IF($M449=O$3,-$K449,0)</f>
        <v>0</v>
      </c>
      <c r="P449" s="2">
        <f>IF($M449=P$3,-$K449,0)</f>
        <v>0</v>
      </c>
      <c r="Q449" s="2">
        <f>IF($M449=Q$3,-$K449,0)</f>
        <v>0</v>
      </c>
      <c r="R449" s="2">
        <f>IF($M449=R$3,-$K449,0)</f>
        <v>0</v>
      </c>
      <c r="S449" s="2">
        <f>IF($M449=S$3,-$K449,0)</f>
        <v>4564352</v>
      </c>
      <c r="T449" s="2">
        <f>IF($M449=T$3,-$K449,0)</f>
        <v>0</v>
      </c>
      <c r="U449" s="2">
        <f>IF($M449=U$3,-$K449,0)</f>
        <v>0</v>
      </c>
      <c r="V449" s="2">
        <f>IF($M449=V$3,-$K449,0)</f>
        <v>0</v>
      </c>
      <c r="W449" s="2">
        <f>IF($M449=W$3,-$K449,0)</f>
        <v>0</v>
      </c>
      <c r="X449" s="2">
        <f>IF($M449=X$3,-$K449,0)</f>
        <v>0</v>
      </c>
      <c r="Y449" s="2">
        <f>IF($M449=Y$3,-$K449,0)</f>
        <v>0</v>
      </c>
      <c r="Z449" s="2">
        <f>IF($M449=Z$3,-$K449,0)</f>
        <v>0</v>
      </c>
      <c r="AA449" s="2">
        <f>IF($M449=AA$3,-$K449,0)</f>
        <v>0</v>
      </c>
      <c r="AB449" s="2">
        <f>IF($M449=AB$3,-$K449,0)</f>
        <v>0</v>
      </c>
      <c r="AC449" s="21">
        <f>IF($M449=AC$3,-$K449,0)</f>
        <v>0</v>
      </c>
      <c r="AD449" s="20"/>
      <c r="AE449" s="19"/>
      <c r="AF449" s="2"/>
      <c r="AG449" s="2">
        <f>-$K449</f>
        <v>4564352</v>
      </c>
      <c r="AH449" s="2">
        <f>K449+SUM(O449:AC449)</f>
        <v>0</v>
      </c>
      <c r="AI449" s="2">
        <f>K449+SUM(AF449:AG449)</f>
        <v>0</v>
      </c>
    </row>
    <row r="450" spans="1:35" x14ac:dyDescent="0.2">
      <c r="A450" s="11" t="s">
        <v>3</v>
      </c>
      <c r="B450" s="22">
        <v>45869</v>
      </c>
      <c r="H450" s="11" t="s">
        <v>25</v>
      </c>
      <c r="I450" s="11" t="s">
        <v>435</v>
      </c>
      <c r="K450" s="13">
        <v>0</v>
      </c>
      <c r="L450" s="12">
        <v>72025</v>
      </c>
      <c r="M450" s="42" t="str">
        <f>LEFT(I450,(LEN(LEFT(I450,FIND(";",I450)))-8))</f>
        <v>VNQN</v>
      </c>
      <c r="N450" s="11"/>
      <c r="O450" s="2">
        <f>IF($M450=O$3,-$K450,0)</f>
        <v>0</v>
      </c>
      <c r="P450" s="2">
        <f>IF($M450=P$3,-$K450,0)</f>
        <v>0</v>
      </c>
      <c r="Q450" s="2">
        <f>IF($M450=Q$3,-$K450,0)</f>
        <v>0</v>
      </c>
      <c r="R450" s="2">
        <f>IF($M450=R$3,-$K450,0)</f>
        <v>0</v>
      </c>
      <c r="S450" s="2">
        <f>IF($M450=S$3,-$K450,0)</f>
        <v>0</v>
      </c>
      <c r="T450" s="2">
        <f>IF($M450=T$3,-$K450,0)</f>
        <v>0</v>
      </c>
      <c r="U450" s="2">
        <f>IF($M450=U$3,-$K450,0)</f>
        <v>0</v>
      </c>
      <c r="V450" s="2">
        <f>IF($M450=V$3,-$K450,0)</f>
        <v>0</v>
      </c>
      <c r="W450" s="2">
        <f>IF($M450=W$3,-$K450,0)</f>
        <v>0</v>
      </c>
      <c r="X450" s="2">
        <f>IF($M450=X$3,-$K450,0)</f>
        <v>0</v>
      </c>
      <c r="Y450" s="2">
        <f>IF($M450=Y$3,-$K450,0)</f>
        <v>0</v>
      </c>
      <c r="Z450" s="2">
        <f>IF($M450=Z$3,-$K450,0)</f>
        <v>0</v>
      </c>
      <c r="AA450" s="2">
        <f>IF($M450=AA$3,-$K450,0)</f>
        <v>0</v>
      </c>
      <c r="AB450" s="2">
        <f>IF($M450=AB$3,-$K450,0)</f>
        <v>0</v>
      </c>
      <c r="AC450" s="21">
        <f>IF($M450=AC$3,-$K450,0)</f>
        <v>0</v>
      </c>
      <c r="AD450" s="20"/>
      <c r="AE450" s="19"/>
      <c r="AF450" s="2"/>
      <c r="AG450" s="2">
        <f>-$K450</f>
        <v>0</v>
      </c>
      <c r="AH450" s="2">
        <f>K450+SUM(O450:AC450)</f>
        <v>0</v>
      </c>
      <c r="AI450" s="2">
        <f>K450+SUM(AF450:AG450)</f>
        <v>0</v>
      </c>
    </row>
    <row r="451" spans="1:35" x14ac:dyDescent="0.2">
      <c r="A451" s="11" t="s">
        <v>3</v>
      </c>
      <c r="B451" s="22">
        <v>45869</v>
      </c>
      <c r="H451" s="11" t="s">
        <v>81</v>
      </c>
      <c r="I451" s="11" t="s">
        <v>434</v>
      </c>
      <c r="K451" s="13">
        <v>-4069952</v>
      </c>
      <c r="L451" s="12">
        <v>72025</v>
      </c>
      <c r="M451" s="42" t="str">
        <f>LEFT(I451,(LEN(LEFT(I451,FIND(";",I451)))-8))</f>
        <v>VNQN</v>
      </c>
      <c r="N451" s="11"/>
      <c r="O451" s="2">
        <f>IF($M451=O$3,-$K451,0)</f>
        <v>0</v>
      </c>
      <c r="P451" s="2">
        <f>IF($M451=P$3,-$K451,0)</f>
        <v>0</v>
      </c>
      <c r="Q451" s="2">
        <f>IF($M451=Q$3,-$K451,0)</f>
        <v>0</v>
      </c>
      <c r="R451" s="2">
        <f>IF($M451=R$3,-$K451,0)</f>
        <v>0</v>
      </c>
      <c r="S451" s="2">
        <f>IF($M451=S$3,-$K451,0)</f>
        <v>0</v>
      </c>
      <c r="T451" s="2">
        <f>IF($M451=T$3,-$K451,0)</f>
        <v>4069952</v>
      </c>
      <c r="U451" s="2">
        <f>IF($M451=U$3,-$K451,0)</f>
        <v>0</v>
      </c>
      <c r="V451" s="2">
        <f>IF($M451=V$3,-$K451,0)</f>
        <v>0</v>
      </c>
      <c r="W451" s="2">
        <f>IF($M451=W$3,-$K451,0)</f>
        <v>0</v>
      </c>
      <c r="X451" s="2">
        <f>IF($M451=X$3,-$K451,0)</f>
        <v>0</v>
      </c>
      <c r="Y451" s="2">
        <f>IF($M451=Y$3,-$K451,0)</f>
        <v>0</v>
      </c>
      <c r="Z451" s="2">
        <f>IF($M451=Z$3,-$K451,0)</f>
        <v>0</v>
      </c>
      <c r="AA451" s="2">
        <f>IF($M451=AA$3,-$K451,0)</f>
        <v>0</v>
      </c>
      <c r="AB451" s="2">
        <f>IF($M451=AB$3,-$K451,0)</f>
        <v>0</v>
      </c>
      <c r="AC451" s="21">
        <f>IF($M451=AC$3,-$K451,0)</f>
        <v>0</v>
      </c>
      <c r="AD451" s="20"/>
      <c r="AE451" s="19"/>
      <c r="AF451" s="2"/>
      <c r="AG451" s="2">
        <f>-$K451</f>
        <v>4069952</v>
      </c>
      <c r="AH451" s="2">
        <f>K451+SUM(O451:AC451)</f>
        <v>0</v>
      </c>
      <c r="AI451" s="2">
        <f>K451+SUM(AF451:AG451)</f>
        <v>0</v>
      </c>
    </row>
    <row r="452" spans="1:35" x14ac:dyDescent="0.2">
      <c r="A452" s="11" t="s">
        <v>3</v>
      </c>
      <c r="B452" s="22">
        <v>45869</v>
      </c>
      <c r="H452" s="11" t="s">
        <v>23</v>
      </c>
      <c r="I452" s="11" t="s">
        <v>433</v>
      </c>
      <c r="K452" s="13">
        <v>-4069952</v>
      </c>
      <c r="L452" s="12">
        <v>72025</v>
      </c>
      <c r="M452" s="42" t="str">
        <f>LEFT(I452,(LEN(LEFT(I452,FIND(";",I452)))-8))</f>
        <v>VNHD</v>
      </c>
      <c r="N452" s="11"/>
      <c r="O452" s="2">
        <f>IF($M452=O$3,-$K452,0)</f>
        <v>0</v>
      </c>
      <c r="P452" s="2">
        <f>IF($M452=P$3,-$K452,0)</f>
        <v>0</v>
      </c>
      <c r="Q452" s="2">
        <f>IF($M452=Q$3,-$K452,0)</f>
        <v>0</v>
      </c>
      <c r="R452" s="2">
        <f>IF($M452=R$3,-$K452,0)</f>
        <v>0</v>
      </c>
      <c r="S452" s="2">
        <f>IF($M452=S$3,-$K452,0)</f>
        <v>0</v>
      </c>
      <c r="T452" s="2">
        <f>IF($M452=T$3,-$K452,0)</f>
        <v>0</v>
      </c>
      <c r="U452" s="2">
        <f>IF($M452=U$3,-$K452,0)</f>
        <v>4069952</v>
      </c>
      <c r="V452" s="2">
        <f>IF($M452=V$3,-$K452,0)</f>
        <v>0</v>
      </c>
      <c r="W452" s="2">
        <f>IF($M452=W$3,-$K452,0)</f>
        <v>0</v>
      </c>
      <c r="X452" s="2">
        <f>IF($M452=X$3,-$K452,0)</f>
        <v>0</v>
      </c>
      <c r="Y452" s="2">
        <f>IF($M452=Y$3,-$K452,0)</f>
        <v>0</v>
      </c>
      <c r="Z452" s="2">
        <f>IF($M452=Z$3,-$K452,0)</f>
        <v>0</v>
      </c>
      <c r="AA452" s="2">
        <f>IF($M452=AA$3,-$K452,0)</f>
        <v>0</v>
      </c>
      <c r="AB452" s="2">
        <f>IF($M452=AB$3,-$K452,0)</f>
        <v>0</v>
      </c>
      <c r="AC452" s="21">
        <f>IF($M452=AC$3,-$K452,0)</f>
        <v>0</v>
      </c>
      <c r="AD452" s="20"/>
      <c r="AE452" s="19"/>
      <c r="AF452" s="2"/>
      <c r="AG452" s="2">
        <f>-$K452</f>
        <v>4069952</v>
      </c>
      <c r="AH452" s="2">
        <f>K452+SUM(O452:AC452)</f>
        <v>0</v>
      </c>
      <c r="AI452" s="2">
        <f>K452+SUM(AF452:AG452)</f>
        <v>0</v>
      </c>
    </row>
    <row r="453" spans="1:35" x14ac:dyDescent="0.2">
      <c r="A453" s="11" t="s">
        <v>3</v>
      </c>
      <c r="B453" s="22">
        <v>45869</v>
      </c>
      <c r="H453" s="11" t="s">
        <v>21</v>
      </c>
      <c r="I453" s="11" t="s">
        <v>432</v>
      </c>
      <c r="K453" s="13">
        <v>-4564352</v>
      </c>
      <c r="L453" s="12">
        <v>72025</v>
      </c>
      <c r="M453" s="42" t="str">
        <f>LEFT(I453,(LEN(LEFT(I453,FIND(";",I453)))-8))</f>
        <v>VNHCM</v>
      </c>
      <c r="N453" s="11"/>
      <c r="O453" s="2">
        <f>IF($M453=O$3,-$K453,0)</f>
        <v>0</v>
      </c>
      <c r="P453" s="2">
        <f>IF($M453=P$3,-$K453,0)</f>
        <v>0</v>
      </c>
      <c r="Q453" s="2">
        <f>IF($M453=Q$3,-$K453,0)</f>
        <v>0</v>
      </c>
      <c r="R453" s="2">
        <f>IF($M453=R$3,-$K453,0)</f>
        <v>0</v>
      </c>
      <c r="S453" s="2">
        <f>IF($M453=S$3,-$K453,0)</f>
        <v>0</v>
      </c>
      <c r="T453" s="2">
        <f>IF($M453=T$3,-$K453,0)</f>
        <v>0</v>
      </c>
      <c r="U453" s="2">
        <f>IF($M453=U$3,-$K453,0)</f>
        <v>0</v>
      </c>
      <c r="V453" s="2">
        <f>IF($M453=V$3,-$K453,0)</f>
        <v>0</v>
      </c>
      <c r="W453" s="2">
        <f>IF($M453=W$3,-$K453,0)</f>
        <v>0</v>
      </c>
      <c r="X453" s="2">
        <f>IF($M453=X$3,-$K453,0)</f>
        <v>0</v>
      </c>
      <c r="Y453" s="2">
        <f>IF($M453=Y$3,-$K453,0)</f>
        <v>4564352</v>
      </c>
      <c r="Z453" s="2">
        <f>IF($M453=Z$3,-$K453,0)</f>
        <v>0</v>
      </c>
      <c r="AA453" s="2">
        <f>IF($M453=AA$3,-$K453,0)</f>
        <v>0</v>
      </c>
      <c r="AB453" s="2">
        <f>IF($M453=AB$3,-$K453,0)</f>
        <v>0</v>
      </c>
      <c r="AC453" s="21">
        <f>IF($M453=AC$3,-$K453,0)</f>
        <v>0</v>
      </c>
      <c r="AD453" s="20"/>
      <c r="AE453" s="19"/>
      <c r="AF453" s="2"/>
      <c r="AG453" s="2">
        <f>-$K453</f>
        <v>4564352</v>
      </c>
      <c r="AH453" s="2">
        <f>K453+SUM(O453:AC453)</f>
        <v>0</v>
      </c>
      <c r="AI453" s="2">
        <f>K453+SUM(AF453:AG453)</f>
        <v>0</v>
      </c>
    </row>
    <row r="454" spans="1:35" x14ac:dyDescent="0.2">
      <c r="A454" s="11" t="s">
        <v>3</v>
      </c>
      <c r="B454" s="22">
        <v>45869</v>
      </c>
      <c r="H454" s="11" t="s">
        <v>156</v>
      </c>
      <c r="I454" s="11" t="s">
        <v>431</v>
      </c>
      <c r="K454" s="13">
        <v>0</v>
      </c>
      <c r="L454" s="12">
        <v>72025</v>
      </c>
      <c r="M454" s="42" t="str">
        <f>LEFT(I454,(LEN(LEFT(I454,FIND(";",I454)))-8))</f>
        <v>VNBG</v>
      </c>
      <c r="N454" s="11"/>
      <c r="O454" s="2">
        <f>IF($M454=O$3,-$K454,0)</f>
        <v>0</v>
      </c>
      <c r="P454" s="2">
        <f>IF($M454=P$3,-$K454,0)</f>
        <v>0</v>
      </c>
      <c r="Q454" s="2">
        <f>IF($M454=Q$3,-$K454,0)</f>
        <v>0</v>
      </c>
      <c r="R454" s="2">
        <f>IF($M454=R$3,-$K454,0)</f>
        <v>0</v>
      </c>
      <c r="S454" s="2">
        <f>IF($M454=S$3,-$K454,0)</f>
        <v>0</v>
      </c>
      <c r="T454" s="2">
        <f>IF($M454=T$3,-$K454,0)</f>
        <v>0</v>
      </c>
      <c r="U454" s="2">
        <f>IF($M454=U$3,-$K454,0)</f>
        <v>0</v>
      </c>
      <c r="V454" s="2">
        <f>IF($M454=V$3,-$K454,0)</f>
        <v>0</v>
      </c>
      <c r="W454" s="2">
        <f>IF($M454=W$3,-$K454,0)</f>
        <v>0</v>
      </c>
      <c r="X454" s="2">
        <f>IF($M454=X$3,-$K454,0)</f>
        <v>0</v>
      </c>
      <c r="Y454" s="2">
        <f>IF($M454=Y$3,-$K454,0)</f>
        <v>0</v>
      </c>
      <c r="Z454" s="2">
        <f>IF($M454=Z$3,-$K454,0)</f>
        <v>0</v>
      </c>
      <c r="AA454" s="2">
        <f>IF($M454=AA$3,-$K454,0)</f>
        <v>0</v>
      </c>
      <c r="AB454" s="2">
        <f>IF($M454=AB$3,-$K454,0)</f>
        <v>0</v>
      </c>
      <c r="AC454" s="21">
        <f>IF($M454=AC$3,-$K454,0)</f>
        <v>0</v>
      </c>
      <c r="AD454" s="20"/>
      <c r="AE454" s="19"/>
      <c r="AF454" s="2"/>
      <c r="AG454" s="2"/>
      <c r="AH454" s="2">
        <f>K454+SUM(O454:AC454)</f>
        <v>0</v>
      </c>
      <c r="AI454" s="2">
        <f>K454+SUM(AF454:AG454)</f>
        <v>0</v>
      </c>
    </row>
    <row r="455" spans="1:35" x14ac:dyDescent="0.2">
      <c r="A455" s="11" t="s">
        <v>3</v>
      </c>
      <c r="B455" s="22">
        <v>45869</v>
      </c>
      <c r="H455" s="11" t="s">
        <v>19</v>
      </c>
      <c r="I455" s="11" t="s">
        <v>430</v>
      </c>
      <c r="K455" s="13">
        <v>-4564352</v>
      </c>
      <c r="L455" s="12">
        <v>72025</v>
      </c>
      <c r="M455" s="42" t="str">
        <f>LEFT(I455,(LEN(LEFT(I455,FIND(";",I455)))-8))</f>
        <v>VNHCM</v>
      </c>
      <c r="N455" s="11"/>
      <c r="O455" s="2">
        <f>IF($M455=O$3,-$K455,0)</f>
        <v>0</v>
      </c>
      <c r="P455" s="2">
        <f>IF($M455=P$3,-$K455,0)</f>
        <v>0</v>
      </c>
      <c r="Q455" s="2">
        <f>IF($M455=Q$3,-$K455,0)</f>
        <v>0</v>
      </c>
      <c r="R455" s="2">
        <f>IF($M455=R$3,-$K455,0)</f>
        <v>0</v>
      </c>
      <c r="S455" s="2">
        <f>IF($M455=S$3,-$K455,0)</f>
        <v>0</v>
      </c>
      <c r="T455" s="2">
        <f>IF($M455=T$3,-$K455,0)</f>
        <v>0</v>
      </c>
      <c r="U455" s="2">
        <f>IF($M455=U$3,-$K455,0)</f>
        <v>0</v>
      </c>
      <c r="V455" s="2">
        <f>IF($M455=V$3,-$K455,0)</f>
        <v>0</v>
      </c>
      <c r="W455" s="2">
        <f>IF($M455=W$3,-$K455,0)</f>
        <v>0</v>
      </c>
      <c r="X455" s="2">
        <f>IF($M455=X$3,-$K455,0)</f>
        <v>0</v>
      </c>
      <c r="Y455" s="2">
        <f>IF($M455=Y$3,-$K455,0)</f>
        <v>4564352</v>
      </c>
      <c r="Z455" s="2">
        <f>IF($M455=Z$3,-$K455,0)</f>
        <v>0</v>
      </c>
      <c r="AA455" s="2">
        <f>IF($M455=AA$3,-$K455,0)</f>
        <v>0</v>
      </c>
      <c r="AB455" s="2">
        <f>IF($M455=AB$3,-$K455,0)</f>
        <v>0</v>
      </c>
      <c r="AC455" s="21">
        <f>IF($M455=AC$3,-$K455,0)</f>
        <v>0</v>
      </c>
      <c r="AD455" s="20"/>
      <c r="AE455" s="19"/>
      <c r="AF455" s="2"/>
      <c r="AG455" s="2">
        <f>-$K455</f>
        <v>4564352</v>
      </c>
      <c r="AH455" s="2">
        <f>K455+SUM(O455:AC455)</f>
        <v>0</v>
      </c>
      <c r="AI455" s="2">
        <f>K455+SUM(AF455:AG455)</f>
        <v>0</v>
      </c>
    </row>
    <row r="456" spans="1:35" x14ac:dyDescent="0.2">
      <c r="A456" s="11" t="s">
        <v>3</v>
      </c>
      <c r="B456" s="22">
        <v>45869</v>
      </c>
      <c r="H456" s="11" t="s">
        <v>153</v>
      </c>
      <c r="I456" s="11" t="s">
        <v>429</v>
      </c>
      <c r="K456" s="13">
        <v>0</v>
      </c>
      <c r="L456" s="12">
        <v>72025</v>
      </c>
      <c r="M456" s="42" t="str">
        <f>LEFT(I456,(LEN(LEFT(I456,FIND(";",I456)))-8))</f>
        <v>VNBN</v>
      </c>
      <c r="N456" s="11"/>
      <c r="O456" s="2">
        <f>IF($M456=O$3,-$K456,0)</f>
        <v>0</v>
      </c>
      <c r="P456" s="2">
        <f>IF($M456=P$3,-$K456,0)</f>
        <v>0</v>
      </c>
      <c r="Q456" s="2">
        <f>IF($M456=Q$3,-$K456,0)</f>
        <v>0</v>
      </c>
      <c r="R456" s="2">
        <f>IF($M456=R$3,-$K456,0)</f>
        <v>0</v>
      </c>
      <c r="S456" s="2">
        <f>IF($M456=S$3,-$K456,0)</f>
        <v>0</v>
      </c>
      <c r="T456" s="2">
        <f>IF($M456=T$3,-$K456,0)</f>
        <v>0</v>
      </c>
      <c r="U456" s="2">
        <f>IF($M456=U$3,-$K456,0)</f>
        <v>0</v>
      </c>
      <c r="V456" s="2">
        <f>IF($M456=V$3,-$K456,0)</f>
        <v>0</v>
      </c>
      <c r="W456" s="2">
        <f>IF($M456=W$3,-$K456,0)</f>
        <v>0</v>
      </c>
      <c r="X456" s="2">
        <f>IF($M456=X$3,-$K456,0)</f>
        <v>0</v>
      </c>
      <c r="Y456" s="2">
        <f>IF($M456=Y$3,-$K456,0)</f>
        <v>0</v>
      </c>
      <c r="Z456" s="2">
        <f>IF($M456=Z$3,-$K456,0)</f>
        <v>0</v>
      </c>
      <c r="AA456" s="2">
        <f>IF($M456=AA$3,-$K456,0)</f>
        <v>0</v>
      </c>
      <c r="AB456" s="2">
        <f>IF($M456=AB$3,-$K456,0)</f>
        <v>0</v>
      </c>
      <c r="AC456" s="21">
        <f>IF($M456=AC$3,-$K456,0)</f>
        <v>0</v>
      </c>
      <c r="AD456" s="20"/>
      <c r="AE456" s="19"/>
      <c r="AF456" s="2"/>
      <c r="AG456" s="2"/>
      <c r="AH456" s="2">
        <f>K456+SUM(O456:AC456)</f>
        <v>0</v>
      </c>
      <c r="AI456" s="2">
        <f>K456+SUM(AF456:AG456)</f>
        <v>0</v>
      </c>
    </row>
    <row r="457" spans="1:35" x14ac:dyDescent="0.2">
      <c r="A457" s="11" t="s">
        <v>3</v>
      </c>
      <c r="B457" s="22">
        <v>45869</v>
      </c>
      <c r="H457" s="11" t="s">
        <v>151</v>
      </c>
      <c r="I457" s="11" t="s">
        <v>428</v>
      </c>
      <c r="K457" s="13">
        <v>0</v>
      </c>
      <c r="L457" s="12">
        <v>72025</v>
      </c>
      <c r="M457" s="42" t="str">
        <f>LEFT(I457,(LEN(LEFT(I457,FIND(";",I457)))-8))</f>
        <v>VNQN</v>
      </c>
      <c r="N457" s="11"/>
      <c r="O457" s="2">
        <f>IF($M457=O$3,-$K457,0)</f>
        <v>0</v>
      </c>
      <c r="P457" s="2">
        <f>IF($M457=P$3,-$K457,0)</f>
        <v>0</v>
      </c>
      <c r="Q457" s="2">
        <f>IF($M457=Q$3,-$K457,0)</f>
        <v>0</v>
      </c>
      <c r="R457" s="2">
        <f>IF($M457=R$3,-$K457,0)</f>
        <v>0</v>
      </c>
      <c r="S457" s="2">
        <f>IF($M457=S$3,-$K457,0)</f>
        <v>0</v>
      </c>
      <c r="T457" s="2">
        <f>IF($M457=T$3,-$K457,0)</f>
        <v>0</v>
      </c>
      <c r="U457" s="2">
        <f>IF($M457=U$3,-$K457,0)</f>
        <v>0</v>
      </c>
      <c r="V457" s="2">
        <f>IF($M457=V$3,-$K457,0)</f>
        <v>0</v>
      </c>
      <c r="W457" s="2">
        <f>IF($M457=W$3,-$K457,0)</f>
        <v>0</v>
      </c>
      <c r="X457" s="2">
        <f>IF($M457=X$3,-$K457,0)</f>
        <v>0</v>
      </c>
      <c r="Y457" s="2">
        <f>IF($M457=Y$3,-$K457,0)</f>
        <v>0</v>
      </c>
      <c r="Z457" s="2">
        <f>IF($M457=Z$3,-$K457,0)</f>
        <v>0</v>
      </c>
      <c r="AA457" s="2">
        <f>IF($M457=AA$3,-$K457,0)</f>
        <v>0</v>
      </c>
      <c r="AB457" s="2">
        <f>IF($M457=AB$3,-$K457,0)</f>
        <v>0</v>
      </c>
      <c r="AC457" s="21">
        <f>IF($M457=AC$3,-$K457,0)</f>
        <v>0</v>
      </c>
      <c r="AD457" s="20"/>
      <c r="AE457" s="19"/>
      <c r="AF457" s="2"/>
      <c r="AG457" s="2">
        <f>-$K457</f>
        <v>0</v>
      </c>
      <c r="AH457" s="2">
        <f>K457+SUM(O457:AC457)</f>
        <v>0</v>
      </c>
      <c r="AI457" s="2">
        <f>K457+SUM(AF457:AG457)</f>
        <v>0</v>
      </c>
    </row>
    <row r="458" spans="1:35" x14ac:dyDescent="0.2">
      <c r="A458" s="11" t="s">
        <v>3</v>
      </c>
      <c r="B458" s="22">
        <v>45869</v>
      </c>
      <c r="H458" s="11" t="s">
        <v>76</v>
      </c>
      <c r="I458" s="11" t="s">
        <v>427</v>
      </c>
      <c r="K458" s="13">
        <v>0</v>
      </c>
      <c r="L458" s="12">
        <v>72025</v>
      </c>
      <c r="M458" s="42" t="str">
        <f>LEFT(I458,(LEN(LEFT(I458,FIND(";",I458)))-8))</f>
        <v>VNMOET</v>
      </c>
      <c r="N458" s="11"/>
      <c r="O458" s="2">
        <f>IF($M458=O$3,-$K458,0)</f>
        <v>0</v>
      </c>
      <c r="P458" s="2">
        <f>IF($M458=P$3,-$K458,0)</f>
        <v>0</v>
      </c>
      <c r="Q458" s="2">
        <f>IF($M458=Q$3,-$K458,0)</f>
        <v>0</v>
      </c>
      <c r="R458" s="2">
        <f>IF($M458=R$3,-$K458,0)</f>
        <v>0</v>
      </c>
      <c r="S458" s="2">
        <f>IF($M458=S$3,-$K458,0)</f>
        <v>0</v>
      </c>
      <c r="T458" s="2">
        <f>IF($M458=T$3,-$K458,0)</f>
        <v>0</v>
      </c>
      <c r="U458" s="2">
        <f>IF($M458=U$3,-$K458,0)</f>
        <v>0</v>
      </c>
      <c r="V458" s="2">
        <f>IF($M458=V$3,-$K458,0)</f>
        <v>0</v>
      </c>
      <c r="W458" s="2">
        <f>IF($M458=W$3,-$K458,0)</f>
        <v>0</v>
      </c>
      <c r="X458" s="2">
        <f>IF($M458=X$3,-$K458,0)</f>
        <v>0</v>
      </c>
      <c r="Y458" s="2">
        <f>IF($M458=Y$3,-$K458,0)</f>
        <v>0</v>
      </c>
      <c r="Z458" s="2">
        <f>IF($M458=Z$3,-$K458,0)</f>
        <v>0</v>
      </c>
      <c r="AA458" s="2">
        <f>IF($M458=AA$3,-$K458,0)</f>
        <v>0</v>
      </c>
      <c r="AB458" s="2">
        <f>IF($M458=AB$3,-$K458,0)</f>
        <v>0</v>
      </c>
      <c r="AC458" s="21">
        <f>IF($M458=AC$3,-$K458,0)</f>
        <v>0</v>
      </c>
      <c r="AD458" s="20"/>
      <c r="AE458" s="19"/>
      <c r="AF458" s="2">
        <f>-$K458</f>
        <v>0</v>
      </c>
      <c r="AG458" s="2"/>
      <c r="AH458" s="2">
        <f>K458+SUM(O458:AC458)</f>
        <v>0</v>
      </c>
      <c r="AI458" s="2">
        <f>K458+SUM(AF458:AG458)</f>
        <v>0</v>
      </c>
    </row>
    <row r="459" spans="1:35" x14ac:dyDescent="0.2">
      <c r="A459" s="11" t="s">
        <v>3</v>
      </c>
      <c r="B459" s="22">
        <v>45869</v>
      </c>
      <c r="H459" s="11" t="s">
        <v>17</v>
      </c>
      <c r="I459" s="11" t="s">
        <v>426</v>
      </c>
      <c r="K459" s="13">
        <v>-3604352</v>
      </c>
      <c r="L459" s="12">
        <v>72025</v>
      </c>
      <c r="M459" s="42" t="str">
        <f>LEFT(I459,(LEN(LEFT(I459,FIND(";",I459)))-8))</f>
        <v>VNQN</v>
      </c>
      <c r="N459" s="11"/>
      <c r="O459" s="2">
        <f>IF($M459=O$3,-$K459,0)</f>
        <v>0</v>
      </c>
      <c r="P459" s="2">
        <f>IF($M459=P$3,-$K459,0)</f>
        <v>0</v>
      </c>
      <c r="Q459" s="2">
        <f>IF($M459=Q$3,-$K459,0)</f>
        <v>0</v>
      </c>
      <c r="R459" s="2">
        <f>IF($M459=R$3,-$K459,0)</f>
        <v>0</v>
      </c>
      <c r="S459" s="2">
        <f>IF($M459=S$3,-$K459,0)</f>
        <v>0</v>
      </c>
      <c r="T459" s="2">
        <f>IF($M459=T$3,-$K459,0)</f>
        <v>3604352</v>
      </c>
      <c r="U459" s="2">
        <f>IF($M459=U$3,-$K459,0)</f>
        <v>0</v>
      </c>
      <c r="V459" s="2">
        <f>IF($M459=V$3,-$K459,0)</f>
        <v>0</v>
      </c>
      <c r="W459" s="2">
        <f>IF($M459=W$3,-$K459,0)</f>
        <v>0</v>
      </c>
      <c r="X459" s="2">
        <f>IF($M459=X$3,-$K459,0)</f>
        <v>0</v>
      </c>
      <c r="Y459" s="2">
        <f>IF($M459=Y$3,-$K459,0)</f>
        <v>0</v>
      </c>
      <c r="Z459" s="2">
        <f>IF($M459=Z$3,-$K459,0)</f>
        <v>0</v>
      </c>
      <c r="AA459" s="2">
        <f>IF($M459=AA$3,-$K459,0)</f>
        <v>0</v>
      </c>
      <c r="AB459" s="2">
        <f>IF($M459=AB$3,-$K459,0)</f>
        <v>0</v>
      </c>
      <c r="AC459" s="21">
        <f>IF($M459=AC$3,-$K459,0)</f>
        <v>0</v>
      </c>
      <c r="AD459" s="20"/>
      <c r="AE459" s="19"/>
      <c r="AF459" s="2"/>
      <c r="AG459" s="2">
        <f>-$K459</f>
        <v>3604352</v>
      </c>
      <c r="AH459" s="2">
        <f>K459+SUM(O459:AC459)</f>
        <v>0</v>
      </c>
      <c r="AI459" s="2">
        <f>K459+SUM(AF459:AG459)</f>
        <v>0</v>
      </c>
    </row>
    <row r="460" spans="1:35" x14ac:dyDescent="0.2">
      <c r="A460" s="11" t="s">
        <v>3</v>
      </c>
      <c r="B460" s="22">
        <v>45869</v>
      </c>
      <c r="H460" s="11" t="s">
        <v>11</v>
      </c>
      <c r="I460" s="11" t="s">
        <v>425</v>
      </c>
      <c r="K460" s="13">
        <v>-3976000</v>
      </c>
      <c r="L460" s="12">
        <v>72025</v>
      </c>
      <c r="M460" s="42" t="str">
        <f>LEFT(I460,(LEN(LEFT(I460,FIND(";",I460)))-8))</f>
        <v>VNQN</v>
      </c>
      <c r="N460" s="11"/>
      <c r="O460" s="2">
        <f>IF($M460=O$3,-$K460,0)</f>
        <v>0</v>
      </c>
      <c r="P460" s="2">
        <f>IF($M460=P$3,-$K460,0)</f>
        <v>0</v>
      </c>
      <c r="Q460" s="2">
        <f>IF($M460=Q$3,-$K460,0)</f>
        <v>0</v>
      </c>
      <c r="R460" s="2">
        <f>IF($M460=R$3,-$K460,0)</f>
        <v>0</v>
      </c>
      <c r="S460" s="2">
        <f>IF($M460=S$3,-$K460,0)</f>
        <v>0</v>
      </c>
      <c r="T460" s="2">
        <f>IF($M460=T$3,-$K460,0)</f>
        <v>3976000</v>
      </c>
      <c r="U460" s="2">
        <f>IF($M460=U$3,-$K460,0)</f>
        <v>0</v>
      </c>
      <c r="V460" s="2">
        <f>IF($M460=V$3,-$K460,0)</f>
        <v>0</v>
      </c>
      <c r="W460" s="2">
        <f>IF($M460=W$3,-$K460,0)</f>
        <v>0</v>
      </c>
      <c r="X460" s="2">
        <f>IF($M460=X$3,-$K460,0)</f>
        <v>0</v>
      </c>
      <c r="Y460" s="2">
        <f>IF($M460=Y$3,-$K460,0)</f>
        <v>0</v>
      </c>
      <c r="Z460" s="2">
        <f>IF($M460=Z$3,-$K460,0)</f>
        <v>0</v>
      </c>
      <c r="AA460" s="2">
        <f>IF($M460=AA$3,-$K460,0)</f>
        <v>0</v>
      </c>
      <c r="AB460" s="2">
        <f>IF($M460=AB$3,-$K460,0)</f>
        <v>0</v>
      </c>
      <c r="AC460" s="21">
        <f>IF($M460=AC$3,-$K460,0)</f>
        <v>0</v>
      </c>
      <c r="AD460" s="20"/>
      <c r="AE460" s="19"/>
      <c r="AF460" s="2"/>
      <c r="AG460" s="2">
        <f>-$K460</f>
        <v>3976000</v>
      </c>
      <c r="AH460" s="2">
        <f>K460+SUM(O460:AC460)</f>
        <v>0</v>
      </c>
      <c r="AI460" s="2">
        <f>K460+SUM(AF460:AG460)</f>
        <v>0</v>
      </c>
    </row>
    <row r="461" spans="1:35" x14ac:dyDescent="0.2">
      <c r="A461" s="11" t="s">
        <v>61</v>
      </c>
      <c r="B461" s="22" t="s">
        <v>393</v>
      </c>
      <c r="H461" s="11" t="s">
        <v>135</v>
      </c>
      <c r="I461" s="11" t="s">
        <v>424</v>
      </c>
      <c r="K461" s="13">
        <v>-47560444</v>
      </c>
      <c r="L461" s="12">
        <v>62025</v>
      </c>
      <c r="M461" s="2" t="str">
        <f>LEFT(I461,(LEN(LEFT(I461,FIND(";",I461)))-8))</f>
        <v>VNOther</v>
      </c>
      <c r="N461" s="11"/>
      <c r="O461" s="15">
        <f>-$K461*IFERROR(INDEX('[1]salary allocation'!$E$6:$J$22,MATCH($H461,'[1]salary allocation'!$D$6:$D$22,0),MATCH(O$3,'[1]salary allocation'!$E$3:$J$3,0)),0)</f>
        <v>0</v>
      </c>
      <c r="P461" s="15">
        <f>-$K461*IFERROR(INDEX('[1]salary allocation'!$E$6:$J$22,MATCH($H461,'[1]salary allocation'!$D$6:$D$22,0),MATCH(P$3,'[1]salary allocation'!$E$3:$J$3,0)),0)</f>
        <v>23780222</v>
      </c>
      <c r="Q461" s="15">
        <f>-$K461*IFERROR(INDEX('[1]salary allocation'!$E$6:$J$22,MATCH($H461,'[1]salary allocation'!$D$6:$D$22,0),MATCH(Q$3,'[1]salary allocation'!$E$3:$J$3,0)),0)</f>
        <v>0</v>
      </c>
      <c r="R461" s="15">
        <f>-$K461*IFERROR(INDEX('[1]salary allocation'!$E$6:$J$22,MATCH($H461,'[1]salary allocation'!$D$6:$D$22,0),MATCH(R$3,'[1]salary allocation'!$E$3:$J$3,0)),0)</f>
        <v>0</v>
      </c>
      <c r="S461" s="15">
        <f>-$K461*IFERROR(INDEX('[1]salary allocation'!$E$6:$J$22,MATCH($H461,'[1]salary allocation'!$D$6:$D$22,0),MATCH(S$3,'[1]salary allocation'!$E$3:$J$3,0)),0)</f>
        <v>4756044.4000000004</v>
      </c>
      <c r="T461" s="15">
        <f>-$K461*IFERROR(INDEX('[1]salary allocation'!$E$6:$J$22,MATCH($H461,'[1]salary allocation'!$D$6:$D$22,0),MATCH(T$3,'[1]salary allocation'!$E$3:$J$3,0)),0)</f>
        <v>4756044.4000000004</v>
      </c>
      <c r="U461" s="15">
        <f>-$K461*IFERROR(INDEX('[1]salary allocation'!$E$6:$J$22,MATCH($H461,'[1]salary allocation'!$D$6:$D$22,0),MATCH(U$3,'[1]salary allocation'!$E$3:$J$3,0)),0)</f>
        <v>4756044.4000000004</v>
      </c>
      <c r="V461" s="15">
        <f>-$K461*IFERROR(INDEX('[1]salary allocation'!$E$6:$J$22,MATCH($H461,'[1]salary allocation'!$D$6:$D$22,0),MATCH(V$3,'[1]salary allocation'!$E$3:$J$3,0)),0)</f>
        <v>0</v>
      </c>
      <c r="W461" s="15">
        <f>-$K461*IFERROR(INDEX('[1]salary allocation'!$E$6:$J$22,MATCH($H461,'[1]salary allocation'!$D$6:$D$22,0),MATCH(W$3,'[1]salary allocation'!$E$3:$J$3,0)),0)</f>
        <v>9512088.8000000007</v>
      </c>
      <c r="X461" s="15">
        <f>-$K461*IFERROR(INDEX('[1]salary allocation'!$E$6:$J$22,MATCH($H461,'[1]salary allocation'!$D$6:$D$22,0),MATCH(X$3,'[1]salary allocation'!$E$3:$J$3,0)),0)</f>
        <v>0</v>
      </c>
      <c r="Y461" s="15">
        <f>-$K461*IFERROR(INDEX('[1]salary allocation'!$E$6:$J$22,MATCH($H461,'[1]salary allocation'!$D$6:$D$22,0),MATCH(Y$3,'[1]salary allocation'!$E$3:$J$3,0)),0)</f>
        <v>0</v>
      </c>
      <c r="Z461" s="15">
        <f>-$K461*IFERROR(INDEX('[1]salary allocation'!$E$6:$J$22,MATCH($H461,'[1]salary allocation'!$D$6:$D$22,0),MATCH(Z$3,'[1]salary allocation'!$E$3:$J$3,0)),0)</f>
        <v>0</v>
      </c>
      <c r="AA461" s="15">
        <f>-$K461*IFERROR(INDEX('[1]salary allocation'!$E$6:$J$22,MATCH($H461,'[1]salary allocation'!$D$6:$D$22,0),MATCH(AA$3,'[1]salary allocation'!$E$3:$J$3,0)),0)</f>
        <v>0</v>
      </c>
      <c r="AB461" s="15">
        <f>-$K461*IFERROR(INDEX('[1]salary allocation'!$E$6:$J$22,MATCH($H461,'[1]salary allocation'!$D$6:$D$22,0),MATCH(AB$3,'[1]salary allocation'!$E$3:$J$3,0)),0)</f>
        <v>0</v>
      </c>
      <c r="AC461" s="18">
        <f>-$K461*IFERROR(INDEX('[1]salary allocation'!$E$6:$J$22,MATCH($H461,'[1]salary allocation'!$D$6:$D$22,0),MATCH(AC$3,'[1]salary allocation'!$E$3:$J$3,0)),0)</f>
        <v>0</v>
      </c>
      <c r="AD461" s="17"/>
      <c r="AE461" s="16"/>
      <c r="AF461" s="15">
        <f>-$K461</f>
        <v>47560444</v>
      </c>
      <c r="AG461" s="15"/>
      <c r="AH461" s="2">
        <f>K461+SUM(O461:AC461)</f>
        <v>0</v>
      </c>
      <c r="AI461" s="2">
        <f>K461+SUM(AF461:AG461)</f>
        <v>0</v>
      </c>
    </row>
    <row r="462" spans="1:35" x14ac:dyDescent="0.2">
      <c r="A462" s="11" t="s">
        <v>61</v>
      </c>
      <c r="B462" s="22" t="s">
        <v>393</v>
      </c>
      <c r="H462" s="11" t="s">
        <v>57</v>
      </c>
      <c r="I462" s="11" t="s">
        <v>423</v>
      </c>
      <c r="K462" s="13">
        <v>-6732711</v>
      </c>
      <c r="L462" s="12">
        <v>62025</v>
      </c>
      <c r="M462" s="2" t="str">
        <f>LEFT(I462,(LEN(LEFT(I462,FIND(";",I462)))-8))</f>
        <v>VNOther</v>
      </c>
      <c r="N462" s="11"/>
      <c r="O462" s="15">
        <f>-$K462*IFERROR(INDEX('[1]salary allocation'!$E$6:$J$22,MATCH($H462,'[1]salary allocation'!$D$6:$D$22,0),MATCH(O$3,'[1]salary allocation'!$E$3:$J$3,0)),0)</f>
        <v>0</v>
      </c>
      <c r="P462" s="15">
        <f>-$K462*IFERROR(INDEX('[1]salary allocation'!$E$6:$J$22,MATCH($H462,'[1]salary allocation'!$D$6:$D$22,0),MATCH(P$3,'[1]salary allocation'!$E$3:$J$3,0)),0)</f>
        <v>3366355.5</v>
      </c>
      <c r="Q462" s="15">
        <f>-$K462*IFERROR(INDEX('[1]salary allocation'!$E$6:$J$22,MATCH($H462,'[1]salary allocation'!$D$6:$D$22,0),MATCH(Q$3,'[1]salary allocation'!$E$3:$J$3,0)),0)</f>
        <v>0</v>
      </c>
      <c r="R462" s="15">
        <f>-$K462*IFERROR(INDEX('[1]salary allocation'!$E$6:$J$22,MATCH($H462,'[1]salary allocation'!$D$6:$D$22,0),MATCH(R$3,'[1]salary allocation'!$E$3:$J$3,0)),0)</f>
        <v>0</v>
      </c>
      <c r="S462" s="15">
        <f>-$K462*IFERROR(INDEX('[1]salary allocation'!$E$6:$J$22,MATCH($H462,'[1]salary allocation'!$D$6:$D$22,0),MATCH(S$3,'[1]salary allocation'!$E$3:$J$3,0)),0)</f>
        <v>673271.10000000009</v>
      </c>
      <c r="T462" s="15">
        <f>-$K462*IFERROR(INDEX('[1]salary allocation'!$E$6:$J$22,MATCH($H462,'[1]salary allocation'!$D$6:$D$22,0),MATCH(T$3,'[1]salary allocation'!$E$3:$J$3,0)),0)</f>
        <v>673271.10000000009</v>
      </c>
      <c r="U462" s="15">
        <f>-$K462*IFERROR(INDEX('[1]salary allocation'!$E$6:$J$22,MATCH($H462,'[1]salary allocation'!$D$6:$D$22,0),MATCH(U$3,'[1]salary allocation'!$E$3:$J$3,0)),0)</f>
        <v>673271.10000000009</v>
      </c>
      <c r="V462" s="15">
        <f>-$K462*IFERROR(INDEX('[1]salary allocation'!$E$6:$J$22,MATCH($H462,'[1]salary allocation'!$D$6:$D$22,0),MATCH(V$3,'[1]salary allocation'!$E$3:$J$3,0)),0)</f>
        <v>0</v>
      </c>
      <c r="W462" s="15">
        <f>-$K462*IFERROR(INDEX('[1]salary allocation'!$E$6:$J$22,MATCH($H462,'[1]salary allocation'!$D$6:$D$22,0),MATCH(W$3,'[1]salary allocation'!$E$3:$J$3,0)),0)</f>
        <v>1346542.2000000002</v>
      </c>
      <c r="X462" s="15">
        <f>-$K462*IFERROR(INDEX('[1]salary allocation'!$E$6:$J$22,MATCH($H462,'[1]salary allocation'!$D$6:$D$22,0),MATCH(X$3,'[1]salary allocation'!$E$3:$J$3,0)),0)</f>
        <v>0</v>
      </c>
      <c r="Y462" s="15">
        <f>-$K462*IFERROR(INDEX('[1]salary allocation'!$E$6:$J$22,MATCH($H462,'[1]salary allocation'!$D$6:$D$22,0),MATCH(Y$3,'[1]salary allocation'!$E$3:$J$3,0)),0)</f>
        <v>0</v>
      </c>
      <c r="Z462" s="15">
        <f>-$K462*IFERROR(INDEX('[1]salary allocation'!$E$6:$J$22,MATCH($H462,'[1]salary allocation'!$D$6:$D$22,0),MATCH(Z$3,'[1]salary allocation'!$E$3:$J$3,0)),0)</f>
        <v>0</v>
      </c>
      <c r="AA462" s="15">
        <f>-$K462*IFERROR(INDEX('[1]salary allocation'!$E$6:$J$22,MATCH($H462,'[1]salary allocation'!$D$6:$D$22,0),MATCH(AA$3,'[1]salary allocation'!$E$3:$J$3,0)),0)</f>
        <v>0</v>
      </c>
      <c r="AB462" s="15">
        <f>-$K462*IFERROR(INDEX('[1]salary allocation'!$E$6:$J$22,MATCH($H462,'[1]salary allocation'!$D$6:$D$22,0),MATCH(AB$3,'[1]salary allocation'!$E$3:$J$3,0)),0)</f>
        <v>0</v>
      </c>
      <c r="AC462" s="18">
        <f>-$K462*IFERROR(INDEX('[1]salary allocation'!$E$6:$J$22,MATCH($H462,'[1]salary allocation'!$D$6:$D$22,0),MATCH(AC$3,'[1]salary allocation'!$E$3:$J$3,0)),0)</f>
        <v>0</v>
      </c>
      <c r="AD462" s="17"/>
      <c r="AE462" s="16"/>
      <c r="AF462" s="15">
        <f>-$K462</f>
        <v>6732711</v>
      </c>
      <c r="AG462" s="15"/>
      <c r="AH462" s="2">
        <f>K462+SUM(O462:AC462)</f>
        <v>0</v>
      </c>
      <c r="AI462" s="2">
        <f>K462+SUM(AF462:AG462)</f>
        <v>0</v>
      </c>
    </row>
    <row r="463" spans="1:35" x14ac:dyDescent="0.2">
      <c r="A463" s="11" t="s">
        <v>61</v>
      </c>
      <c r="B463" s="22" t="s">
        <v>393</v>
      </c>
      <c r="H463" s="11" t="s">
        <v>55</v>
      </c>
      <c r="I463" s="11" t="s">
        <v>422</v>
      </c>
      <c r="K463" s="13">
        <v>-8583225</v>
      </c>
      <c r="L463" s="12">
        <v>62025</v>
      </c>
      <c r="M463" s="2" t="str">
        <f>LEFT(I463,(LEN(LEFT(I463,FIND(";",I463)))-8))</f>
        <v>VNHBC</v>
      </c>
      <c r="N463" s="11"/>
      <c r="O463" s="15">
        <f>-$K463*IFERROR(INDEX('[1]salary allocation'!$E$6:$J$22,MATCH($H463,'[1]salary allocation'!$D$6:$D$22,0),MATCH(O$3,'[1]salary allocation'!$E$3:$J$3,0)),0)</f>
        <v>0</v>
      </c>
      <c r="P463" s="15">
        <f>-$K463*IFERROR(INDEX('[1]salary allocation'!$E$6:$J$22,MATCH($H463,'[1]salary allocation'!$D$6:$D$22,0),MATCH(P$3,'[1]salary allocation'!$E$3:$J$3,0)),0)</f>
        <v>0</v>
      </c>
      <c r="Q463" s="15">
        <f>-$K463*IFERROR(INDEX('[1]salary allocation'!$E$6:$J$22,MATCH($H463,'[1]salary allocation'!$D$6:$D$22,0),MATCH(Q$3,'[1]salary allocation'!$E$3:$J$3,0)),0)</f>
        <v>0</v>
      </c>
      <c r="R463" s="15">
        <f>-$K463*IFERROR(INDEX('[1]salary allocation'!$E$6:$J$22,MATCH($H463,'[1]salary allocation'!$D$6:$D$22,0),MATCH(R$3,'[1]salary allocation'!$E$3:$J$3,0)),0)</f>
        <v>0</v>
      </c>
      <c r="S463" s="15">
        <f>-$K463*IFERROR(INDEX('[1]salary allocation'!$E$6:$J$22,MATCH($H463,'[1]salary allocation'!$D$6:$D$22,0),MATCH(S$3,'[1]salary allocation'!$E$3:$J$3,0)),0)</f>
        <v>1716645</v>
      </c>
      <c r="T463" s="15">
        <f>-$K463*IFERROR(INDEX('[1]salary allocation'!$E$6:$J$22,MATCH($H463,'[1]salary allocation'!$D$6:$D$22,0),MATCH(T$3,'[1]salary allocation'!$E$3:$J$3,0)),0)</f>
        <v>1716645</v>
      </c>
      <c r="U463" s="15">
        <f>-$K463*IFERROR(INDEX('[1]salary allocation'!$E$6:$J$22,MATCH($H463,'[1]salary allocation'!$D$6:$D$22,0),MATCH(U$3,'[1]salary allocation'!$E$3:$J$3,0)),0)</f>
        <v>1716645</v>
      </c>
      <c r="V463" s="15">
        <f>-$K463*IFERROR(INDEX('[1]salary allocation'!$E$6:$J$22,MATCH($H463,'[1]salary allocation'!$D$6:$D$22,0),MATCH(V$3,'[1]salary allocation'!$E$3:$J$3,0)),0)</f>
        <v>0</v>
      </c>
      <c r="W463" s="15">
        <f>-$K463*IFERROR(INDEX('[1]salary allocation'!$E$6:$J$22,MATCH($H463,'[1]salary allocation'!$D$6:$D$22,0),MATCH(W$3,'[1]salary allocation'!$E$3:$J$3,0)),0)</f>
        <v>3433290</v>
      </c>
      <c r="X463" s="15">
        <f>-$K463*IFERROR(INDEX('[1]salary allocation'!$E$6:$J$22,MATCH($H463,'[1]salary allocation'!$D$6:$D$22,0),MATCH(X$3,'[1]salary allocation'!$E$3:$J$3,0)),0)</f>
        <v>0</v>
      </c>
      <c r="Y463" s="15">
        <f>-$K463*IFERROR(INDEX('[1]salary allocation'!$E$6:$J$22,MATCH($H463,'[1]salary allocation'!$D$6:$D$22,0),MATCH(Y$3,'[1]salary allocation'!$E$3:$J$3,0)),0)</f>
        <v>0</v>
      </c>
      <c r="Z463" s="15">
        <f>-$K463*IFERROR(INDEX('[1]salary allocation'!$E$6:$J$22,MATCH($H463,'[1]salary allocation'!$D$6:$D$22,0),MATCH(Z$3,'[1]salary allocation'!$E$3:$J$3,0)),0)</f>
        <v>0</v>
      </c>
      <c r="AA463" s="15">
        <f>-$K463*IFERROR(INDEX('[1]salary allocation'!$E$6:$J$22,MATCH($H463,'[1]salary allocation'!$D$6:$D$22,0),MATCH(AA$3,'[1]salary allocation'!$E$3:$J$3,0)),0)</f>
        <v>0</v>
      </c>
      <c r="AB463" s="15">
        <f>-$K463*IFERROR(INDEX('[1]salary allocation'!$E$6:$J$22,MATCH($H463,'[1]salary allocation'!$D$6:$D$22,0),MATCH(AB$3,'[1]salary allocation'!$E$3:$J$3,0)),0)</f>
        <v>0</v>
      </c>
      <c r="AC463" s="18">
        <f>-$K463*IFERROR(INDEX('[1]salary allocation'!$E$6:$J$22,MATCH($H463,'[1]salary allocation'!$D$6:$D$22,0),MATCH(AC$3,'[1]salary allocation'!$E$3:$J$3,0)),0)</f>
        <v>0</v>
      </c>
      <c r="AD463" s="17"/>
      <c r="AE463" s="16"/>
      <c r="AF463" s="15"/>
      <c r="AG463" s="15">
        <f>-$K463</f>
        <v>8583225</v>
      </c>
      <c r="AH463" s="2">
        <f>K463+SUM(O463:AC463)</f>
        <v>0</v>
      </c>
      <c r="AI463" s="2">
        <f>K463+SUM(AF463:AG463)</f>
        <v>0</v>
      </c>
    </row>
    <row r="464" spans="1:35" x14ac:dyDescent="0.2">
      <c r="A464" s="11" t="s">
        <v>61</v>
      </c>
      <c r="B464" s="22" t="s">
        <v>393</v>
      </c>
      <c r="H464" s="11" t="s">
        <v>53</v>
      </c>
      <c r="I464" s="11" t="s">
        <v>421</v>
      </c>
      <c r="K464" s="13">
        <v>-5145639</v>
      </c>
      <c r="L464" s="12">
        <v>62025</v>
      </c>
      <c r="M464" s="2" t="str">
        <f>LEFT(I464,(LEN(LEFT(I464,FIND(";",I464)))-8))</f>
        <v>VNOther</v>
      </c>
      <c r="N464" s="11"/>
      <c r="O464" s="15">
        <f>-$K464*IFERROR(INDEX('[1]salary allocation'!$E$6:$J$22,MATCH($H464,'[1]salary allocation'!$D$6:$D$22,0),MATCH(O$3,'[1]salary allocation'!$E$3:$J$3,0)),0)</f>
        <v>0</v>
      </c>
      <c r="P464" s="15">
        <f>-$K464*IFERROR(INDEX('[1]salary allocation'!$E$6:$J$22,MATCH($H464,'[1]salary allocation'!$D$6:$D$22,0),MATCH(P$3,'[1]salary allocation'!$E$3:$J$3,0)),0)</f>
        <v>771845.85</v>
      </c>
      <c r="Q464" s="15">
        <f>-$K464*IFERROR(INDEX('[1]salary allocation'!$E$6:$J$22,MATCH($H464,'[1]salary allocation'!$D$6:$D$22,0),MATCH(Q$3,'[1]salary allocation'!$E$3:$J$3,0)),0)</f>
        <v>0</v>
      </c>
      <c r="R464" s="15">
        <f>-$K464*IFERROR(INDEX('[1]salary allocation'!$E$6:$J$22,MATCH($H464,'[1]salary allocation'!$D$6:$D$22,0),MATCH(R$3,'[1]salary allocation'!$E$3:$J$3,0)),0)</f>
        <v>0</v>
      </c>
      <c r="S464" s="15">
        <f>-$K464*IFERROR(INDEX('[1]salary allocation'!$E$6:$J$22,MATCH($H464,'[1]salary allocation'!$D$6:$D$22,0),MATCH(S$3,'[1]salary allocation'!$E$3:$J$3,0)),0)</f>
        <v>874758.62999999989</v>
      </c>
      <c r="T464" s="15">
        <f>-$K464*IFERROR(INDEX('[1]salary allocation'!$E$6:$J$22,MATCH($H464,'[1]salary allocation'!$D$6:$D$22,0),MATCH(T$3,'[1]salary allocation'!$E$3:$J$3,0)),0)</f>
        <v>874758.62999999989</v>
      </c>
      <c r="U464" s="15">
        <f>-$K464*IFERROR(INDEX('[1]salary allocation'!$E$6:$J$22,MATCH($H464,'[1]salary allocation'!$D$6:$D$22,0),MATCH(U$3,'[1]salary allocation'!$E$3:$J$3,0)),0)</f>
        <v>874758.62999999989</v>
      </c>
      <c r="V464" s="15">
        <f>-$K464*IFERROR(INDEX('[1]salary allocation'!$E$6:$J$22,MATCH($H464,'[1]salary allocation'!$D$6:$D$22,0),MATCH(V$3,'[1]salary allocation'!$E$3:$J$3,0)),0)</f>
        <v>0</v>
      </c>
      <c r="W464" s="15">
        <f>-$K464*IFERROR(INDEX('[1]salary allocation'!$E$6:$J$22,MATCH($H464,'[1]salary allocation'!$D$6:$D$22,0),MATCH(W$3,'[1]salary allocation'!$E$3:$J$3,0)),0)</f>
        <v>1749517.2599999998</v>
      </c>
      <c r="X464" s="15">
        <f>-$K464*IFERROR(INDEX('[1]salary allocation'!$E$6:$J$22,MATCH($H464,'[1]salary allocation'!$D$6:$D$22,0),MATCH(X$3,'[1]salary allocation'!$E$3:$J$3,0)),0)</f>
        <v>0</v>
      </c>
      <c r="Y464" s="15">
        <f>-$K464*IFERROR(INDEX('[1]salary allocation'!$E$6:$J$22,MATCH($H464,'[1]salary allocation'!$D$6:$D$22,0),MATCH(Y$3,'[1]salary allocation'!$E$3:$J$3,0)),0)</f>
        <v>0</v>
      </c>
      <c r="Z464" s="15">
        <f>-$K464*IFERROR(INDEX('[1]salary allocation'!$E$6:$J$22,MATCH($H464,'[1]salary allocation'!$D$6:$D$22,0),MATCH(Z$3,'[1]salary allocation'!$E$3:$J$3,0)),0)</f>
        <v>0</v>
      </c>
      <c r="AA464" s="15">
        <f>-$K464*IFERROR(INDEX('[1]salary allocation'!$E$6:$J$22,MATCH($H464,'[1]salary allocation'!$D$6:$D$22,0),MATCH(AA$3,'[1]salary allocation'!$E$3:$J$3,0)),0)</f>
        <v>0</v>
      </c>
      <c r="AB464" s="15">
        <f>-$K464*IFERROR(INDEX('[1]salary allocation'!$E$6:$J$22,MATCH($H464,'[1]salary allocation'!$D$6:$D$22,0),MATCH(AB$3,'[1]salary allocation'!$E$3:$J$3,0)),0)</f>
        <v>0</v>
      </c>
      <c r="AC464" s="18">
        <f>-$K464*IFERROR(INDEX('[1]salary allocation'!$E$6:$J$22,MATCH($H464,'[1]salary allocation'!$D$6:$D$22,0),MATCH(AC$3,'[1]salary allocation'!$E$3:$J$3,0)),0)</f>
        <v>0</v>
      </c>
      <c r="AD464" s="17"/>
      <c r="AE464" s="16"/>
      <c r="AF464" s="15">
        <f>-$K464</f>
        <v>5145639</v>
      </c>
      <c r="AG464" s="15"/>
      <c r="AH464" s="2">
        <f>K464+SUM(O464:AC464)</f>
        <v>0</v>
      </c>
      <c r="AI464" s="2">
        <f>K464+SUM(AF464:AG464)</f>
        <v>0</v>
      </c>
    </row>
    <row r="465" spans="1:35" x14ac:dyDescent="0.2">
      <c r="A465" s="11" t="s">
        <v>61</v>
      </c>
      <c r="B465" s="22" t="s">
        <v>393</v>
      </c>
      <c r="H465" s="11" t="s">
        <v>51</v>
      </c>
      <c r="I465" s="11" t="s">
        <v>420</v>
      </c>
      <c r="K465" s="13">
        <v>-2272123</v>
      </c>
      <c r="L465" s="12">
        <v>62025</v>
      </c>
      <c r="M465" s="2" t="str">
        <f>LEFT(I465,(LEN(LEFT(I465,FIND(";",I465)))-8))</f>
        <v>VNOther</v>
      </c>
      <c r="N465" s="11"/>
      <c r="O465" s="15">
        <f>-$K465*IFERROR(INDEX('[1]salary allocation'!$E$6:$J$22,MATCH($H465,'[1]salary allocation'!$D$6:$D$22,0),MATCH(O$3,'[1]salary allocation'!$E$3:$J$3,0)),0)</f>
        <v>0</v>
      </c>
      <c r="P465" s="15">
        <f>-$K465*IFERROR(INDEX('[1]salary allocation'!$E$6:$J$22,MATCH($H465,'[1]salary allocation'!$D$6:$D$22,0),MATCH(P$3,'[1]salary allocation'!$E$3:$J$3,0)),0)</f>
        <v>1136061.5</v>
      </c>
      <c r="Q465" s="15">
        <f>-$K465*IFERROR(INDEX('[1]salary allocation'!$E$6:$J$22,MATCH($H465,'[1]salary allocation'!$D$6:$D$22,0),MATCH(Q$3,'[1]salary allocation'!$E$3:$J$3,0)),0)</f>
        <v>0</v>
      </c>
      <c r="R465" s="15">
        <f>-$K465*IFERROR(INDEX('[1]salary allocation'!$E$6:$J$22,MATCH($H465,'[1]salary allocation'!$D$6:$D$22,0),MATCH(R$3,'[1]salary allocation'!$E$3:$J$3,0)),0)</f>
        <v>0</v>
      </c>
      <c r="S465" s="15">
        <f>-$K465*IFERROR(INDEX('[1]salary allocation'!$E$6:$J$22,MATCH($H465,'[1]salary allocation'!$D$6:$D$22,0),MATCH(S$3,'[1]salary allocation'!$E$3:$J$3,0)),0)</f>
        <v>227212.30000000002</v>
      </c>
      <c r="T465" s="15">
        <f>-$K465*IFERROR(INDEX('[1]salary allocation'!$E$6:$J$22,MATCH($H465,'[1]salary allocation'!$D$6:$D$22,0),MATCH(T$3,'[1]salary allocation'!$E$3:$J$3,0)),0)</f>
        <v>227212.30000000002</v>
      </c>
      <c r="U465" s="15">
        <f>-$K465*IFERROR(INDEX('[1]salary allocation'!$E$6:$J$22,MATCH($H465,'[1]salary allocation'!$D$6:$D$22,0),MATCH(U$3,'[1]salary allocation'!$E$3:$J$3,0)),0)</f>
        <v>227212.30000000002</v>
      </c>
      <c r="V465" s="15">
        <f>-$K465*IFERROR(INDEX('[1]salary allocation'!$E$6:$J$22,MATCH($H465,'[1]salary allocation'!$D$6:$D$22,0),MATCH(V$3,'[1]salary allocation'!$E$3:$J$3,0)),0)</f>
        <v>0</v>
      </c>
      <c r="W465" s="15">
        <f>-$K465*IFERROR(INDEX('[1]salary allocation'!$E$6:$J$22,MATCH($H465,'[1]salary allocation'!$D$6:$D$22,0),MATCH(W$3,'[1]salary allocation'!$E$3:$J$3,0)),0)</f>
        <v>454424.60000000003</v>
      </c>
      <c r="X465" s="15">
        <f>-$K465*IFERROR(INDEX('[1]salary allocation'!$E$6:$J$22,MATCH($H465,'[1]salary allocation'!$D$6:$D$22,0),MATCH(X$3,'[1]salary allocation'!$E$3:$J$3,0)),0)</f>
        <v>0</v>
      </c>
      <c r="Y465" s="15">
        <f>-$K465*IFERROR(INDEX('[1]salary allocation'!$E$6:$J$22,MATCH($H465,'[1]salary allocation'!$D$6:$D$22,0),MATCH(Y$3,'[1]salary allocation'!$E$3:$J$3,0)),0)</f>
        <v>0</v>
      </c>
      <c r="Z465" s="15">
        <f>-$K465*IFERROR(INDEX('[1]salary allocation'!$E$6:$J$22,MATCH($H465,'[1]salary allocation'!$D$6:$D$22,0),MATCH(Z$3,'[1]salary allocation'!$E$3:$J$3,0)),0)</f>
        <v>0</v>
      </c>
      <c r="AA465" s="15">
        <f>-$K465*IFERROR(INDEX('[1]salary allocation'!$E$6:$J$22,MATCH($H465,'[1]salary allocation'!$D$6:$D$22,0),MATCH(AA$3,'[1]salary allocation'!$E$3:$J$3,0)),0)</f>
        <v>0</v>
      </c>
      <c r="AB465" s="15">
        <f>-$K465*IFERROR(INDEX('[1]salary allocation'!$E$6:$J$22,MATCH($H465,'[1]salary allocation'!$D$6:$D$22,0),MATCH(AB$3,'[1]salary allocation'!$E$3:$J$3,0)),0)</f>
        <v>0</v>
      </c>
      <c r="AC465" s="18">
        <f>-$K465*IFERROR(INDEX('[1]salary allocation'!$E$6:$J$22,MATCH($H465,'[1]salary allocation'!$D$6:$D$22,0),MATCH(AC$3,'[1]salary allocation'!$E$3:$J$3,0)),0)</f>
        <v>0</v>
      </c>
      <c r="AD465" s="17"/>
      <c r="AE465" s="16"/>
      <c r="AF465" s="15">
        <f>-$K465</f>
        <v>2272123</v>
      </c>
      <c r="AG465" s="15"/>
      <c r="AH465" s="2">
        <f>K465+SUM(O465:AC465)</f>
        <v>0</v>
      </c>
      <c r="AI465" s="2">
        <f>K465+SUM(AF465:AG465)</f>
        <v>0</v>
      </c>
    </row>
    <row r="466" spans="1:35" x14ac:dyDescent="0.2">
      <c r="A466" s="11" t="s">
        <v>61</v>
      </c>
      <c r="B466" s="22" t="s">
        <v>393</v>
      </c>
      <c r="H466" s="11" t="s">
        <v>49</v>
      </c>
      <c r="I466" s="11" t="s">
        <v>419</v>
      </c>
      <c r="K466" s="13">
        <v>-1357457</v>
      </c>
      <c r="L466" s="12">
        <v>62025</v>
      </c>
      <c r="M466" s="2" t="str">
        <f>LEFT(I466,(LEN(LEFT(I466,FIND(";",I466)))-8))</f>
        <v>VNMOET</v>
      </c>
      <c r="N466" s="11"/>
      <c r="O466" s="15">
        <f>-$K466*IFERROR(INDEX('[1]salary allocation'!$E$6:$J$22,MATCH($H466,'[1]salary allocation'!$D$6:$D$22,0),MATCH(O$3,'[1]salary allocation'!$E$3:$J$3,0)),0)</f>
        <v>0</v>
      </c>
      <c r="P466" s="15">
        <f>-$K466*IFERROR(INDEX('[1]salary allocation'!$E$6:$J$22,MATCH($H466,'[1]salary allocation'!$D$6:$D$22,0),MATCH(P$3,'[1]salary allocation'!$E$3:$J$3,0)),0)</f>
        <v>0</v>
      </c>
      <c r="Q466" s="15">
        <f>-$K466*IFERROR(INDEX('[1]salary allocation'!$E$6:$J$22,MATCH($H466,'[1]salary allocation'!$D$6:$D$22,0),MATCH(Q$3,'[1]salary allocation'!$E$3:$J$3,0)),0)</f>
        <v>0</v>
      </c>
      <c r="R466" s="15">
        <f>-$K466*IFERROR(INDEX('[1]salary allocation'!$E$6:$J$22,MATCH($H466,'[1]salary allocation'!$D$6:$D$22,0),MATCH(R$3,'[1]salary allocation'!$E$3:$J$3,0)),0)</f>
        <v>0</v>
      </c>
      <c r="S466" s="15">
        <f>-$K466*IFERROR(INDEX('[1]salary allocation'!$E$6:$J$22,MATCH($H466,'[1]salary allocation'!$D$6:$D$22,0),MATCH(S$3,'[1]salary allocation'!$E$3:$J$3,0)),0)</f>
        <v>271491.40000000002</v>
      </c>
      <c r="T466" s="15">
        <f>-$K466*IFERROR(INDEX('[1]salary allocation'!$E$6:$J$22,MATCH($H466,'[1]salary allocation'!$D$6:$D$22,0),MATCH(T$3,'[1]salary allocation'!$E$3:$J$3,0)),0)</f>
        <v>271491.40000000002</v>
      </c>
      <c r="U466" s="15">
        <f>-$K466*IFERROR(INDEX('[1]salary allocation'!$E$6:$J$22,MATCH($H466,'[1]salary allocation'!$D$6:$D$22,0),MATCH(U$3,'[1]salary allocation'!$E$3:$J$3,0)),0)</f>
        <v>271491.40000000002</v>
      </c>
      <c r="V466" s="15">
        <f>-$K466*IFERROR(INDEX('[1]salary allocation'!$E$6:$J$22,MATCH($H466,'[1]salary allocation'!$D$6:$D$22,0),MATCH(V$3,'[1]salary allocation'!$E$3:$J$3,0)),0)</f>
        <v>0</v>
      </c>
      <c r="W466" s="15">
        <f>-$K466*IFERROR(INDEX('[1]salary allocation'!$E$6:$J$22,MATCH($H466,'[1]salary allocation'!$D$6:$D$22,0),MATCH(W$3,'[1]salary allocation'!$E$3:$J$3,0)),0)</f>
        <v>542982.80000000005</v>
      </c>
      <c r="X466" s="15">
        <f>-$K466*IFERROR(INDEX('[1]salary allocation'!$E$6:$J$22,MATCH($H466,'[1]salary allocation'!$D$6:$D$22,0),MATCH(X$3,'[1]salary allocation'!$E$3:$J$3,0)),0)</f>
        <v>0</v>
      </c>
      <c r="Y466" s="15">
        <f>-$K466*IFERROR(INDEX('[1]salary allocation'!$E$6:$J$22,MATCH($H466,'[1]salary allocation'!$D$6:$D$22,0),MATCH(Y$3,'[1]salary allocation'!$E$3:$J$3,0)),0)</f>
        <v>0</v>
      </c>
      <c r="Z466" s="15">
        <f>-$K466*IFERROR(INDEX('[1]salary allocation'!$E$6:$J$22,MATCH($H466,'[1]salary allocation'!$D$6:$D$22,0),MATCH(Z$3,'[1]salary allocation'!$E$3:$J$3,0)),0)</f>
        <v>0</v>
      </c>
      <c r="AA466" s="15">
        <f>-$K466*IFERROR(INDEX('[1]salary allocation'!$E$6:$J$22,MATCH($H466,'[1]salary allocation'!$D$6:$D$22,0),MATCH(AA$3,'[1]salary allocation'!$E$3:$J$3,0)),0)</f>
        <v>0</v>
      </c>
      <c r="AB466" s="15">
        <f>-$K466*IFERROR(INDEX('[1]salary allocation'!$E$6:$J$22,MATCH($H466,'[1]salary allocation'!$D$6:$D$22,0),MATCH(AB$3,'[1]salary allocation'!$E$3:$J$3,0)),0)</f>
        <v>0</v>
      </c>
      <c r="AC466" s="18">
        <f>-$K466*IFERROR(INDEX('[1]salary allocation'!$E$6:$J$22,MATCH($H466,'[1]salary allocation'!$D$6:$D$22,0),MATCH(AC$3,'[1]salary allocation'!$E$3:$J$3,0)),0)</f>
        <v>0</v>
      </c>
      <c r="AD466" s="17"/>
      <c r="AE466" s="16"/>
      <c r="AF466" s="15"/>
      <c r="AG466" s="15">
        <f>-K466</f>
        <v>1357457</v>
      </c>
      <c r="AH466" s="2">
        <f>K466+SUM(O466:AC466)</f>
        <v>0</v>
      </c>
      <c r="AI466" s="2">
        <f>K466+SUM(AF466:AG466)</f>
        <v>0</v>
      </c>
    </row>
    <row r="467" spans="1:35" x14ac:dyDescent="0.2">
      <c r="A467" s="11" t="s">
        <v>61</v>
      </c>
      <c r="B467" s="22" t="s">
        <v>393</v>
      </c>
      <c r="H467" s="11" t="s">
        <v>47</v>
      </c>
      <c r="I467" s="11" t="s">
        <v>418</v>
      </c>
      <c r="K467" s="13">
        <v>-4406539</v>
      </c>
      <c r="L467" s="12">
        <v>62025</v>
      </c>
      <c r="M467" s="2" t="str">
        <f>LEFT(I467,(LEN(LEFT(I467,FIND(";",I467)))-8))</f>
        <v>VNHBC</v>
      </c>
      <c r="N467" s="11"/>
      <c r="O467" s="15">
        <f>-$K467*IFERROR(INDEX('[1]salary allocation'!$E$6:$J$22,MATCH($H467,'[1]salary allocation'!$D$6:$D$22,0),MATCH(O$3,'[1]salary allocation'!$E$3:$J$3,0)),0)</f>
        <v>0</v>
      </c>
      <c r="P467" s="15">
        <f>-$K467*IFERROR(INDEX('[1]salary allocation'!$E$6:$J$22,MATCH($H467,'[1]salary allocation'!$D$6:$D$22,0),MATCH(P$3,'[1]salary allocation'!$E$3:$J$3,0)),0)</f>
        <v>0</v>
      </c>
      <c r="Q467" s="15">
        <f>-$K467*IFERROR(INDEX('[1]salary allocation'!$E$6:$J$22,MATCH($H467,'[1]salary allocation'!$D$6:$D$22,0),MATCH(Q$3,'[1]salary allocation'!$E$3:$J$3,0)),0)</f>
        <v>0</v>
      </c>
      <c r="R467" s="15">
        <f>-$K467*IFERROR(INDEX('[1]salary allocation'!$E$6:$J$22,MATCH($H467,'[1]salary allocation'!$D$6:$D$22,0),MATCH(R$3,'[1]salary allocation'!$E$3:$J$3,0)),0)</f>
        <v>0</v>
      </c>
      <c r="S467" s="15">
        <f>-$K467*IFERROR(INDEX('[1]salary allocation'!$E$6:$J$22,MATCH($H467,'[1]salary allocation'!$D$6:$D$22,0),MATCH(S$3,'[1]salary allocation'!$E$3:$J$3,0)),0)</f>
        <v>881307.8</v>
      </c>
      <c r="T467" s="15">
        <f>-$K467*IFERROR(INDEX('[1]salary allocation'!$E$6:$J$22,MATCH($H467,'[1]salary allocation'!$D$6:$D$22,0),MATCH(T$3,'[1]salary allocation'!$E$3:$J$3,0)),0)</f>
        <v>881307.8</v>
      </c>
      <c r="U467" s="15">
        <f>-$K467*IFERROR(INDEX('[1]salary allocation'!$E$6:$J$22,MATCH($H467,'[1]salary allocation'!$D$6:$D$22,0),MATCH(U$3,'[1]salary allocation'!$E$3:$J$3,0)),0)</f>
        <v>881307.8</v>
      </c>
      <c r="V467" s="15">
        <f>-$K467*IFERROR(INDEX('[1]salary allocation'!$E$6:$J$22,MATCH($H467,'[1]salary allocation'!$D$6:$D$22,0),MATCH(V$3,'[1]salary allocation'!$E$3:$J$3,0)),0)</f>
        <v>0</v>
      </c>
      <c r="W467" s="15">
        <f>-$K467*IFERROR(INDEX('[1]salary allocation'!$E$6:$J$22,MATCH($H467,'[1]salary allocation'!$D$6:$D$22,0),MATCH(W$3,'[1]salary allocation'!$E$3:$J$3,0)),0)</f>
        <v>1762615.6</v>
      </c>
      <c r="X467" s="15">
        <f>-$K467*IFERROR(INDEX('[1]salary allocation'!$E$6:$J$22,MATCH($H467,'[1]salary allocation'!$D$6:$D$22,0),MATCH(X$3,'[1]salary allocation'!$E$3:$J$3,0)),0)</f>
        <v>0</v>
      </c>
      <c r="Y467" s="15">
        <f>-$K467*IFERROR(INDEX('[1]salary allocation'!$E$6:$J$22,MATCH($H467,'[1]salary allocation'!$D$6:$D$22,0),MATCH(Y$3,'[1]salary allocation'!$E$3:$J$3,0)),0)</f>
        <v>0</v>
      </c>
      <c r="Z467" s="15">
        <f>-$K467*IFERROR(INDEX('[1]salary allocation'!$E$6:$J$22,MATCH($H467,'[1]salary allocation'!$D$6:$D$22,0),MATCH(Z$3,'[1]salary allocation'!$E$3:$J$3,0)),0)</f>
        <v>0</v>
      </c>
      <c r="AA467" s="15">
        <f>-$K467*IFERROR(INDEX('[1]salary allocation'!$E$6:$J$22,MATCH($H467,'[1]salary allocation'!$D$6:$D$22,0),MATCH(AA$3,'[1]salary allocation'!$E$3:$J$3,0)),0)</f>
        <v>0</v>
      </c>
      <c r="AB467" s="15">
        <f>-$K467*IFERROR(INDEX('[1]salary allocation'!$E$6:$J$22,MATCH($H467,'[1]salary allocation'!$D$6:$D$22,0),MATCH(AB$3,'[1]salary allocation'!$E$3:$J$3,0)),0)</f>
        <v>0</v>
      </c>
      <c r="AC467" s="18">
        <f>-$K467*IFERROR(INDEX('[1]salary allocation'!$E$6:$J$22,MATCH($H467,'[1]salary allocation'!$D$6:$D$22,0),MATCH(AC$3,'[1]salary allocation'!$E$3:$J$3,0)),0)</f>
        <v>0</v>
      </c>
      <c r="AD467" s="17"/>
      <c r="AE467" s="16"/>
      <c r="AF467" s="15">
        <f>-$K467</f>
        <v>4406539</v>
      </c>
      <c r="AG467" s="15"/>
      <c r="AH467" s="2">
        <f>K467+SUM(O467:AC467)</f>
        <v>0</v>
      </c>
      <c r="AI467" s="2">
        <f>K467+SUM(AF467:AG467)</f>
        <v>0</v>
      </c>
    </row>
    <row r="468" spans="1:35" x14ac:dyDescent="0.2">
      <c r="A468" s="11" t="s">
        <v>61</v>
      </c>
      <c r="B468" s="22" t="s">
        <v>393</v>
      </c>
      <c r="H468" s="11" t="s">
        <v>45</v>
      </c>
      <c r="I468" s="11" t="s">
        <v>417</v>
      </c>
      <c r="K468" s="13">
        <v>-132819</v>
      </c>
      <c r="L468" s="12">
        <v>62025</v>
      </c>
      <c r="M468" s="2" t="str">
        <f>LEFT(I468,(LEN(LEFT(I468,FIND(";",I468)))-8))</f>
        <v>VNHBC7</v>
      </c>
      <c r="N468" s="11"/>
      <c r="O468" s="15">
        <f>-$K468*IFERROR(INDEX('[1]salary allocation'!$E$6:$J$22,MATCH($H468,'[1]salary allocation'!$D$6:$D$22,0),MATCH(O$3,'[1]salary allocation'!$E$3:$J$3,0)),0)</f>
        <v>0</v>
      </c>
      <c r="P468" s="15">
        <f>-$K468*IFERROR(INDEX('[1]salary allocation'!$E$6:$J$22,MATCH($H468,'[1]salary allocation'!$D$6:$D$22,0),MATCH(P$3,'[1]salary allocation'!$E$3:$J$3,0)),0)</f>
        <v>0</v>
      </c>
      <c r="Q468" s="15">
        <f>-$K468*IFERROR(INDEX('[1]salary allocation'!$E$6:$J$22,MATCH($H468,'[1]salary allocation'!$D$6:$D$22,0),MATCH(Q$3,'[1]salary allocation'!$E$3:$J$3,0)),0)</f>
        <v>0</v>
      </c>
      <c r="R468" s="15">
        <f>-$K468*IFERROR(INDEX('[1]salary allocation'!$E$6:$J$22,MATCH($H468,'[1]salary allocation'!$D$6:$D$22,0),MATCH(R$3,'[1]salary allocation'!$E$3:$J$3,0)),0)</f>
        <v>0</v>
      </c>
      <c r="S468" s="15">
        <f>-$K468*IFERROR(INDEX('[1]salary allocation'!$E$6:$J$22,MATCH($H468,'[1]salary allocation'!$D$6:$D$22,0),MATCH(S$3,'[1]salary allocation'!$E$3:$J$3,0)),0)</f>
        <v>26563.800000000003</v>
      </c>
      <c r="T468" s="15">
        <f>-$K468*IFERROR(INDEX('[1]salary allocation'!$E$6:$J$22,MATCH($H468,'[1]salary allocation'!$D$6:$D$22,0),MATCH(T$3,'[1]salary allocation'!$E$3:$J$3,0)),0)</f>
        <v>26563.800000000003</v>
      </c>
      <c r="U468" s="15">
        <f>-$K468*IFERROR(INDEX('[1]salary allocation'!$E$6:$J$22,MATCH($H468,'[1]salary allocation'!$D$6:$D$22,0),MATCH(U$3,'[1]salary allocation'!$E$3:$J$3,0)),0)</f>
        <v>26563.800000000003</v>
      </c>
      <c r="V468" s="15">
        <f>-$K468*IFERROR(INDEX('[1]salary allocation'!$E$6:$J$22,MATCH($H468,'[1]salary allocation'!$D$6:$D$22,0),MATCH(V$3,'[1]salary allocation'!$E$3:$J$3,0)),0)</f>
        <v>0</v>
      </c>
      <c r="W468" s="15">
        <f>-$K468*IFERROR(INDEX('[1]salary allocation'!$E$6:$J$22,MATCH($H468,'[1]salary allocation'!$D$6:$D$22,0),MATCH(W$3,'[1]salary allocation'!$E$3:$J$3,0)),0)</f>
        <v>53127.600000000006</v>
      </c>
      <c r="X468" s="15">
        <f>-$K468*IFERROR(INDEX('[1]salary allocation'!$E$6:$J$22,MATCH($H468,'[1]salary allocation'!$D$6:$D$22,0),MATCH(X$3,'[1]salary allocation'!$E$3:$J$3,0)),0)</f>
        <v>0</v>
      </c>
      <c r="Y468" s="15">
        <f>-$K468*IFERROR(INDEX('[1]salary allocation'!$E$6:$J$22,MATCH($H468,'[1]salary allocation'!$D$6:$D$22,0),MATCH(Y$3,'[1]salary allocation'!$E$3:$J$3,0)),0)</f>
        <v>0</v>
      </c>
      <c r="Z468" s="15">
        <f>-$K468*IFERROR(INDEX('[1]salary allocation'!$E$6:$J$22,MATCH($H468,'[1]salary allocation'!$D$6:$D$22,0),MATCH(Z$3,'[1]salary allocation'!$E$3:$J$3,0)),0)</f>
        <v>0</v>
      </c>
      <c r="AA468" s="15">
        <f>-$K468*IFERROR(INDEX('[1]salary allocation'!$E$6:$J$22,MATCH($H468,'[1]salary allocation'!$D$6:$D$22,0),MATCH(AA$3,'[1]salary allocation'!$E$3:$J$3,0)),0)</f>
        <v>0</v>
      </c>
      <c r="AB468" s="15">
        <f>-$K468*IFERROR(INDEX('[1]salary allocation'!$E$6:$J$22,MATCH($H468,'[1]salary allocation'!$D$6:$D$22,0),MATCH(AB$3,'[1]salary allocation'!$E$3:$J$3,0)),0)</f>
        <v>0</v>
      </c>
      <c r="AC468" s="18">
        <f>-$K468*IFERROR(INDEX('[1]salary allocation'!$E$6:$J$22,MATCH($H468,'[1]salary allocation'!$D$6:$D$22,0),MATCH(AC$3,'[1]salary allocation'!$E$3:$J$3,0)),0)</f>
        <v>0</v>
      </c>
      <c r="AD468" s="17"/>
      <c r="AE468" s="16"/>
      <c r="AF468" s="15"/>
      <c r="AG468" s="15">
        <f>-K468</f>
        <v>132819</v>
      </c>
      <c r="AH468" s="2">
        <f>K468+SUM(O468:AC468)</f>
        <v>0</v>
      </c>
      <c r="AI468" s="2">
        <f>K468+SUM(AF468:AG468)</f>
        <v>0</v>
      </c>
    </row>
    <row r="469" spans="1:35" x14ac:dyDescent="0.2">
      <c r="A469" s="11" t="s">
        <v>61</v>
      </c>
      <c r="B469" s="22" t="s">
        <v>393</v>
      </c>
      <c r="H469" s="11" t="s">
        <v>43</v>
      </c>
      <c r="I469" s="11" t="s">
        <v>416</v>
      </c>
      <c r="K469" s="13">
        <v>-5153322</v>
      </c>
      <c r="L469" s="12">
        <v>62025</v>
      </c>
      <c r="M469" s="2" t="str">
        <f>LEFT(I469,(LEN(LEFT(I469,FIND(";",I469)))-8))</f>
        <v>VNMOET</v>
      </c>
      <c r="N469" s="11"/>
      <c r="O469" s="15">
        <f>-$K469*IFERROR(INDEX('[1]salary allocation'!$E$6:$J$22,MATCH($H469,'[1]salary allocation'!$D$6:$D$22,0),MATCH(O$3,'[1]salary allocation'!$E$3:$J$3,0)),0)</f>
        <v>0</v>
      </c>
      <c r="P469" s="15">
        <f>-$K469*IFERROR(INDEX('[1]salary allocation'!$E$6:$J$22,MATCH($H469,'[1]salary allocation'!$D$6:$D$22,0),MATCH(P$3,'[1]salary allocation'!$E$3:$J$3,0)),0)</f>
        <v>0</v>
      </c>
      <c r="Q469" s="15">
        <f>-$K469*IFERROR(INDEX('[1]salary allocation'!$E$6:$J$22,MATCH($H469,'[1]salary allocation'!$D$6:$D$22,0),MATCH(Q$3,'[1]salary allocation'!$E$3:$J$3,0)),0)</f>
        <v>0</v>
      </c>
      <c r="R469" s="15">
        <f>-$K469*IFERROR(INDEX('[1]salary allocation'!$E$6:$J$22,MATCH($H469,'[1]salary allocation'!$D$6:$D$22,0),MATCH(R$3,'[1]salary allocation'!$E$3:$J$3,0)),0)</f>
        <v>0</v>
      </c>
      <c r="S469" s="15">
        <f>-$K469*IFERROR(INDEX('[1]salary allocation'!$E$6:$J$22,MATCH($H469,'[1]salary allocation'!$D$6:$D$22,0),MATCH(S$3,'[1]salary allocation'!$E$3:$J$3,0)),0)</f>
        <v>1030664.4</v>
      </c>
      <c r="T469" s="15">
        <f>-$K469*IFERROR(INDEX('[1]salary allocation'!$E$6:$J$22,MATCH($H469,'[1]salary allocation'!$D$6:$D$22,0),MATCH(T$3,'[1]salary allocation'!$E$3:$J$3,0)),0)</f>
        <v>1030664.4</v>
      </c>
      <c r="U469" s="15">
        <f>-$K469*IFERROR(INDEX('[1]salary allocation'!$E$6:$J$22,MATCH($H469,'[1]salary allocation'!$D$6:$D$22,0),MATCH(U$3,'[1]salary allocation'!$E$3:$J$3,0)),0)</f>
        <v>1030664.4</v>
      </c>
      <c r="V469" s="15">
        <f>-$K469*IFERROR(INDEX('[1]salary allocation'!$E$6:$J$22,MATCH($H469,'[1]salary allocation'!$D$6:$D$22,0),MATCH(V$3,'[1]salary allocation'!$E$3:$J$3,0)),0)</f>
        <v>0</v>
      </c>
      <c r="W469" s="15">
        <f>-$K469*IFERROR(INDEX('[1]salary allocation'!$E$6:$J$22,MATCH($H469,'[1]salary allocation'!$D$6:$D$22,0),MATCH(W$3,'[1]salary allocation'!$E$3:$J$3,0)),0)</f>
        <v>2061328.8</v>
      </c>
      <c r="X469" s="15">
        <f>-$K469*IFERROR(INDEX('[1]salary allocation'!$E$6:$J$22,MATCH($H469,'[1]salary allocation'!$D$6:$D$22,0),MATCH(X$3,'[1]salary allocation'!$E$3:$J$3,0)),0)</f>
        <v>0</v>
      </c>
      <c r="Y469" s="15">
        <f>-$K469*IFERROR(INDEX('[1]salary allocation'!$E$6:$J$22,MATCH($H469,'[1]salary allocation'!$D$6:$D$22,0),MATCH(Y$3,'[1]salary allocation'!$E$3:$J$3,0)),0)</f>
        <v>0</v>
      </c>
      <c r="Z469" s="15">
        <f>-$K469*IFERROR(INDEX('[1]salary allocation'!$E$6:$J$22,MATCH($H469,'[1]salary allocation'!$D$6:$D$22,0),MATCH(Z$3,'[1]salary allocation'!$E$3:$J$3,0)),0)</f>
        <v>0</v>
      </c>
      <c r="AA469" s="15">
        <f>-$K469*IFERROR(INDEX('[1]salary allocation'!$E$6:$J$22,MATCH($H469,'[1]salary allocation'!$D$6:$D$22,0),MATCH(AA$3,'[1]salary allocation'!$E$3:$J$3,0)),0)</f>
        <v>0</v>
      </c>
      <c r="AB469" s="15">
        <f>-$K469*IFERROR(INDEX('[1]salary allocation'!$E$6:$J$22,MATCH($H469,'[1]salary allocation'!$D$6:$D$22,0),MATCH(AB$3,'[1]salary allocation'!$E$3:$J$3,0)),0)</f>
        <v>0</v>
      </c>
      <c r="AC469" s="18">
        <f>-$K469*IFERROR(INDEX('[1]salary allocation'!$E$6:$J$22,MATCH($H469,'[1]salary allocation'!$D$6:$D$22,0),MATCH(AC$3,'[1]salary allocation'!$E$3:$J$3,0)),0)</f>
        <v>0</v>
      </c>
      <c r="AD469" s="17"/>
      <c r="AE469" s="16"/>
      <c r="AF469" s="15">
        <f>-$K469</f>
        <v>5153322</v>
      </c>
      <c r="AG469" s="15"/>
      <c r="AH469" s="2">
        <f>K469+SUM(O469:AC469)</f>
        <v>0</v>
      </c>
      <c r="AI469" s="2">
        <f>K469+SUM(AF469:AG469)</f>
        <v>0</v>
      </c>
    </row>
    <row r="470" spans="1:35" x14ac:dyDescent="0.2">
      <c r="A470" s="11" t="s">
        <v>61</v>
      </c>
      <c r="B470" s="22" t="s">
        <v>393</v>
      </c>
      <c r="H470" s="11" t="s">
        <v>41</v>
      </c>
      <c r="I470" s="11" t="s">
        <v>415</v>
      </c>
      <c r="K470" s="13">
        <v>-4538064</v>
      </c>
      <c r="L470" s="12">
        <v>62025</v>
      </c>
      <c r="M470" s="2" t="str">
        <f>LEFT(I470,(LEN(LEFT(I470,FIND(";",I470)))-8))</f>
        <v>VNMOET</v>
      </c>
      <c r="N470" s="11"/>
      <c r="O470" s="15">
        <f>-$K470*IFERROR(INDEX('[1]salary allocation'!$E$6:$J$22,MATCH($H470,'[1]salary allocation'!$D$6:$D$22,0),MATCH(O$3,'[1]salary allocation'!$E$3:$J$3,0)),0)</f>
        <v>0</v>
      </c>
      <c r="P470" s="15">
        <f>-$K470*IFERROR(INDEX('[1]salary allocation'!$E$6:$J$22,MATCH($H470,'[1]salary allocation'!$D$6:$D$22,0),MATCH(P$3,'[1]salary allocation'!$E$3:$J$3,0)),0)</f>
        <v>0</v>
      </c>
      <c r="Q470" s="15">
        <f>-$K470*IFERROR(INDEX('[1]salary allocation'!$E$6:$J$22,MATCH($H470,'[1]salary allocation'!$D$6:$D$22,0),MATCH(Q$3,'[1]salary allocation'!$E$3:$J$3,0)),0)</f>
        <v>0</v>
      </c>
      <c r="R470" s="15">
        <f>-$K470*IFERROR(INDEX('[1]salary allocation'!$E$6:$J$22,MATCH($H470,'[1]salary allocation'!$D$6:$D$22,0),MATCH(R$3,'[1]salary allocation'!$E$3:$J$3,0)),0)</f>
        <v>0</v>
      </c>
      <c r="S470" s="15">
        <f>-$K470*IFERROR(INDEX('[1]salary allocation'!$E$6:$J$22,MATCH($H470,'[1]salary allocation'!$D$6:$D$22,0),MATCH(S$3,'[1]salary allocation'!$E$3:$J$3,0)),0)</f>
        <v>0</v>
      </c>
      <c r="T470" s="15">
        <f>-$K470*IFERROR(INDEX('[1]salary allocation'!$E$6:$J$22,MATCH($H470,'[1]salary allocation'!$D$6:$D$22,0),MATCH(T$3,'[1]salary allocation'!$E$3:$J$3,0)),0)</f>
        <v>0</v>
      </c>
      <c r="U470" s="15">
        <f>-$K470*IFERROR(INDEX('[1]salary allocation'!$E$6:$J$22,MATCH($H470,'[1]salary allocation'!$D$6:$D$22,0),MATCH(U$3,'[1]salary allocation'!$E$3:$J$3,0)),0)</f>
        <v>0</v>
      </c>
      <c r="V470" s="15">
        <f>-$K470*IFERROR(INDEX('[1]salary allocation'!$E$6:$J$22,MATCH($H470,'[1]salary allocation'!$D$6:$D$22,0),MATCH(V$3,'[1]salary allocation'!$E$3:$J$3,0)),0)</f>
        <v>0</v>
      </c>
      <c r="W470" s="15">
        <f>-$K470*IFERROR(INDEX('[1]salary allocation'!$E$6:$J$22,MATCH($H470,'[1]salary allocation'!$D$6:$D$22,0),MATCH(W$3,'[1]salary allocation'!$E$3:$J$3,0)),0)</f>
        <v>4538064</v>
      </c>
      <c r="X470" s="15">
        <f>-$K470*IFERROR(INDEX('[1]salary allocation'!$E$6:$J$22,MATCH($H470,'[1]salary allocation'!$D$6:$D$22,0),MATCH(X$3,'[1]salary allocation'!$E$3:$J$3,0)),0)</f>
        <v>0</v>
      </c>
      <c r="Y470" s="15">
        <f>-$K470*IFERROR(INDEX('[1]salary allocation'!$E$6:$J$22,MATCH($H470,'[1]salary allocation'!$D$6:$D$22,0),MATCH(Y$3,'[1]salary allocation'!$E$3:$J$3,0)),0)</f>
        <v>0</v>
      </c>
      <c r="Z470" s="15">
        <f>-$K470*IFERROR(INDEX('[1]salary allocation'!$E$6:$J$22,MATCH($H470,'[1]salary allocation'!$D$6:$D$22,0),MATCH(Z$3,'[1]salary allocation'!$E$3:$J$3,0)),0)</f>
        <v>0</v>
      </c>
      <c r="AA470" s="15">
        <f>-$K470*IFERROR(INDEX('[1]salary allocation'!$E$6:$J$22,MATCH($H470,'[1]salary allocation'!$D$6:$D$22,0),MATCH(AA$3,'[1]salary allocation'!$E$3:$J$3,0)),0)</f>
        <v>0</v>
      </c>
      <c r="AB470" s="15">
        <f>-$K470*IFERROR(INDEX('[1]salary allocation'!$E$6:$J$22,MATCH($H470,'[1]salary allocation'!$D$6:$D$22,0),MATCH(AB$3,'[1]salary allocation'!$E$3:$J$3,0)),0)</f>
        <v>0</v>
      </c>
      <c r="AC470" s="18">
        <f>-$K470*IFERROR(INDEX('[1]salary allocation'!$E$6:$J$22,MATCH($H470,'[1]salary allocation'!$D$6:$D$22,0),MATCH(AC$3,'[1]salary allocation'!$E$3:$J$3,0)),0)</f>
        <v>0</v>
      </c>
      <c r="AD470" s="17"/>
      <c r="AE470" s="16"/>
      <c r="AF470" s="15">
        <f>-$K470</f>
        <v>4538064</v>
      </c>
      <c r="AG470" s="15"/>
      <c r="AH470" s="2">
        <f>K470+SUM(O470:AC470)</f>
        <v>0</v>
      </c>
      <c r="AI470" s="2">
        <f>K470+SUM(AF470:AG470)</f>
        <v>0</v>
      </c>
    </row>
    <row r="471" spans="1:35" x14ac:dyDescent="0.2">
      <c r="A471" s="11" t="s">
        <v>61</v>
      </c>
      <c r="B471" s="22" t="s">
        <v>393</v>
      </c>
      <c r="H471" s="11" t="s">
        <v>39</v>
      </c>
      <c r="I471" s="11" t="s">
        <v>414</v>
      </c>
      <c r="K471" s="13">
        <v>-5153322</v>
      </c>
      <c r="L471" s="12">
        <v>62025</v>
      </c>
      <c r="M471" s="2" t="str">
        <f>LEFT(I471,(LEN(LEFT(I471,FIND(";",I471)))-8))</f>
        <v>VNMOET</v>
      </c>
      <c r="N471" s="11"/>
      <c r="O471" s="15">
        <f>-$K471*IFERROR(INDEX('[1]salary allocation'!$E$6:$J$22,MATCH($H471,'[1]salary allocation'!$D$6:$D$22,0),MATCH(O$3,'[1]salary allocation'!$E$3:$J$3,0)),0)</f>
        <v>0</v>
      </c>
      <c r="P471" s="15">
        <f>-$K471*IFERROR(INDEX('[1]salary allocation'!$E$6:$J$22,MATCH($H471,'[1]salary allocation'!$D$6:$D$22,0),MATCH(P$3,'[1]salary allocation'!$E$3:$J$3,0)),0)</f>
        <v>0</v>
      </c>
      <c r="Q471" s="15">
        <f>-$K471*IFERROR(INDEX('[1]salary allocation'!$E$6:$J$22,MATCH($H471,'[1]salary allocation'!$D$6:$D$22,0),MATCH(Q$3,'[1]salary allocation'!$E$3:$J$3,0)),0)</f>
        <v>0</v>
      </c>
      <c r="R471" s="15">
        <f>-$K471*IFERROR(INDEX('[1]salary allocation'!$E$6:$J$22,MATCH($H471,'[1]salary allocation'!$D$6:$D$22,0),MATCH(R$3,'[1]salary allocation'!$E$3:$J$3,0)),0)</f>
        <v>0</v>
      </c>
      <c r="S471" s="15">
        <f>-$K471*IFERROR(INDEX('[1]salary allocation'!$E$6:$J$22,MATCH($H471,'[1]salary allocation'!$D$6:$D$22,0),MATCH(S$3,'[1]salary allocation'!$E$3:$J$3,0)),0)</f>
        <v>0</v>
      </c>
      <c r="T471" s="15">
        <f>-$K471*IFERROR(INDEX('[1]salary allocation'!$E$6:$J$22,MATCH($H471,'[1]salary allocation'!$D$6:$D$22,0),MATCH(T$3,'[1]salary allocation'!$E$3:$J$3,0)),0)</f>
        <v>0</v>
      </c>
      <c r="U471" s="15">
        <f>-$K471*IFERROR(INDEX('[1]salary allocation'!$E$6:$J$22,MATCH($H471,'[1]salary allocation'!$D$6:$D$22,0),MATCH(U$3,'[1]salary allocation'!$E$3:$J$3,0)),0)</f>
        <v>0</v>
      </c>
      <c r="V471" s="15">
        <f>-$K471*IFERROR(INDEX('[1]salary allocation'!$E$6:$J$22,MATCH($H471,'[1]salary allocation'!$D$6:$D$22,0),MATCH(V$3,'[1]salary allocation'!$E$3:$J$3,0)),0)</f>
        <v>0</v>
      </c>
      <c r="W471" s="15">
        <f>-$K471*IFERROR(INDEX('[1]salary allocation'!$E$6:$J$22,MATCH($H471,'[1]salary allocation'!$D$6:$D$22,0),MATCH(W$3,'[1]salary allocation'!$E$3:$J$3,0)),0)</f>
        <v>5153322</v>
      </c>
      <c r="X471" s="15">
        <f>-$K471*IFERROR(INDEX('[1]salary allocation'!$E$6:$J$22,MATCH($H471,'[1]salary allocation'!$D$6:$D$22,0),MATCH(X$3,'[1]salary allocation'!$E$3:$J$3,0)),0)</f>
        <v>0</v>
      </c>
      <c r="Y471" s="15">
        <f>-$K471*IFERROR(INDEX('[1]salary allocation'!$E$6:$J$22,MATCH($H471,'[1]salary allocation'!$D$6:$D$22,0),MATCH(Y$3,'[1]salary allocation'!$E$3:$J$3,0)),0)</f>
        <v>0</v>
      </c>
      <c r="Z471" s="15">
        <f>-$K471*IFERROR(INDEX('[1]salary allocation'!$E$6:$J$22,MATCH($H471,'[1]salary allocation'!$D$6:$D$22,0),MATCH(Z$3,'[1]salary allocation'!$E$3:$J$3,0)),0)</f>
        <v>0</v>
      </c>
      <c r="AA471" s="15">
        <f>-$K471*IFERROR(INDEX('[1]salary allocation'!$E$6:$J$22,MATCH($H471,'[1]salary allocation'!$D$6:$D$22,0),MATCH(AA$3,'[1]salary allocation'!$E$3:$J$3,0)),0)</f>
        <v>0</v>
      </c>
      <c r="AB471" s="15">
        <f>-$K471*IFERROR(INDEX('[1]salary allocation'!$E$6:$J$22,MATCH($H471,'[1]salary allocation'!$D$6:$D$22,0),MATCH(AB$3,'[1]salary allocation'!$E$3:$J$3,0)),0)</f>
        <v>0</v>
      </c>
      <c r="AC471" s="18">
        <f>-$K471*IFERROR(INDEX('[1]salary allocation'!$E$6:$J$22,MATCH($H471,'[1]salary allocation'!$D$6:$D$22,0),MATCH(AC$3,'[1]salary allocation'!$E$3:$J$3,0)),0)</f>
        <v>0</v>
      </c>
      <c r="AD471" s="17"/>
      <c r="AE471" s="16"/>
      <c r="AF471" s="15">
        <f>-$K471</f>
        <v>5153322</v>
      </c>
      <c r="AG471" s="15"/>
      <c r="AH471" s="2">
        <f>K471+SUM(O471:AC471)</f>
        <v>0</v>
      </c>
      <c r="AI471" s="2">
        <f>K471+SUM(AF471:AG471)</f>
        <v>0</v>
      </c>
    </row>
    <row r="472" spans="1:35" ht="17" x14ac:dyDescent="0.2">
      <c r="A472" s="11" t="s">
        <v>61</v>
      </c>
      <c r="B472" s="22" t="s">
        <v>393</v>
      </c>
      <c r="H472" s="40" t="s">
        <v>37</v>
      </c>
      <c r="I472" s="11" t="s">
        <v>413</v>
      </c>
      <c r="K472" s="13">
        <v>-4102291</v>
      </c>
      <c r="L472" s="12">
        <v>62025</v>
      </c>
      <c r="M472" s="2" t="str">
        <f>LEFT(I472,(LEN(LEFT(I472,FIND(";",I472)))-8))</f>
        <v>VNOther</v>
      </c>
      <c r="N472" s="11"/>
      <c r="O472" s="15">
        <f>-$K472*IFERROR(INDEX('[1]salary allocation'!$E$6:$J$22,MATCH($H472,'[1]salary allocation'!$D$6:$D$22,0),MATCH(O$3,'[1]salary allocation'!$E$3:$J$3,0)),0)</f>
        <v>0</v>
      </c>
      <c r="P472" s="15">
        <f>-$K472*IFERROR(INDEX('[1]salary allocation'!$E$6:$J$22,MATCH($H472,'[1]salary allocation'!$D$6:$D$22,0),MATCH(P$3,'[1]salary allocation'!$E$3:$J$3,0)),0)</f>
        <v>615343.65</v>
      </c>
      <c r="Q472" s="15">
        <f>-$K472*IFERROR(INDEX('[1]salary allocation'!$E$6:$J$22,MATCH($H472,'[1]salary allocation'!$D$6:$D$22,0),MATCH(Q$3,'[1]salary allocation'!$E$3:$J$3,0)),0)</f>
        <v>0</v>
      </c>
      <c r="R472" s="15">
        <f>-$K472*IFERROR(INDEX('[1]salary allocation'!$E$6:$J$22,MATCH($H472,'[1]salary allocation'!$D$6:$D$22,0),MATCH(R$3,'[1]salary allocation'!$E$3:$J$3,0)),0)</f>
        <v>0</v>
      </c>
      <c r="S472" s="15">
        <f>-$K472*IFERROR(INDEX('[1]salary allocation'!$E$6:$J$22,MATCH($H472,'[1]salary allocation'!$D$6:$D$22,0),MATCH(S$3,'[1]salary allocation'!$E$3:$J$3,0)),0)</f>
        <v>697389.47</v>
      </c>
      <c r="T472" s="15">
        <f>-$K472*IFERROR(INDEX('[1]salary allocation'!$E$6:$J$22,MATCH($H472,'[1]salary allocation'!$D$6:$D$22,0),MATCH(T$3,'[1]salary allocation'!$E$3:$J$3,0)),0)</f>
        <v>697389.47</v>
      </c>
      <c r="U472" s="15">
        <f>-$K472*IFERROR(INDEX('[1]salary allocation'!$E$6:$J$22,MATCH($H472,'[1]salary allocation'!$D$6:$D$22,0),MATCH(U$3,'[1]salary allocation'!$E$3:$J$3,0)),0)</f>
        <v>697389.47</v>
      </c>
      <c r="V472" s="15">
        <f>-$K472*IFERROR(INDEX('[1]salary allocation'!$E$6:$J$22,MATCH($H472,'[1]salary allocation'!$D$6:$D$22,0),MATCH(V$3,'[1]salary allocation'!$E$3:$J$3,0)),0)</f>
        <v>0</v>
      </c>
      <c r="W472" s="15">
        <f>-$K472*IFERROR(INDEX('[1]salary allocation'!$E$6:$J$22,MATCH($H472,'[1]salary allocation'!$D$6:$D$22,0),MATCH(W$3,'[1]salary allocation'!$E$3:$J$3,0)),0)</f>
        <v>1394778.94</v>
      </c>
      <c r="X472" s="15">
        <f>-$K472*IFERROR(INDEX('[1]salary allocation'!$E$6:$J$22,MATCH($H472,'[1]salary allocation'!$D$6:$D$22,0),MATCH(X$3,'[1]salary allocation'!$E$3:$J$3,0)),0)</f>
        <v>0</v>
      </c>
      <c r="Y472" s="15">
        <f>-$K472*IFERROR(INDEX('[1]salary allocation'!$E$6:$J$22,MATCH($H472,'[1]salary allocation'!$D$6:$D$22,0),MATCH(Y$3,'[1]salary allocation'!$E$3:$J$3,0)),0)</f>
        <v>0</v>
      </c>
      <c r="Z472" s="15">
        <f>-$K472*IFERROR(INDEX('[1]salary allocation'!$E$6:$J$22,MATCH($H472,'[1]salary allocation'!$D$6:$D$22,0),MATCH(Z$3,'[1]salary allocation'!$E$3:$J$3,0)),0)</f>
        <v>0</v>
      </c>
      <c r="AA472" s="15">
        <f>-$K472*IFERROR(INDEX('[1]salary allocation'!$E$6:$J$22,MATCH($H472,'[1]salary allocation'!$D$6:$D$22,0),MATCH(AA$3,'[1]salary allocation'!$E$3:$J$3,0)),0)</f>
        <v>0</v>
      </c>
      <c r="AB472" s="15">
        <f>-$K472*IFERROR(INDEX('[1]salary allocation'!$E$6:$J$22,MATCH($H472,'[1]salary allocation'!$D$6:$D$22,0),MATCH(AB$3,'[1]salary allocation'!$E$3:$J$3,0)),0)</f>
        <v>0</v>
      </c>
      <c r="AC472" s="18">
        <f>-$K472*IFERROR(INDEX('[1]salary allocation'!$E$6:$J$22,MATCH($H472,'[1]salary allocation'!$D$6:$D$22,0),MATCH(AC$3,'[1]salary allocation'!$E$3:$J$3,0)),0)</f>
        <v>0</v>
      </c>
      <c r="AD472" s="17"/>
      <c r="AE472" s="16"/>
      <c r="AF472" s="15">
        <f>-K472</f>
        <v>4102291</v>
      </c>
      <c r="AG472" s="15"/>
      <c r="AH472" s="2">
        <f>K472+SUM(O472:AC472)</f>
        <v>0</v>
      </c>
      <c r="AI472" s="2">
        <f>K472+SUM(AF472:AG472)</f>
        <v>0</v>
      </c>
    </row>
    <row r="473" spans="1:35" x14ac:dyDescent="0.2">
      <c r="A473" s="11" t="s">
        <v>61</v>
      </c>
      <c r="B473" s="22" t="s">
        <v>393</v>
      </c>
      <c r="H473" s="11" t="s">
        <v>35</v>
      </c>
      <c r="I473" s="11" t="s">
        <v>412</v>
      </c>
      <c r="K473" s="13">
        <v>-9225765</v>
      </c>
      <c r="L473" s="12">
        <v>62025</v>
      </c>
      <c r="M473" s="2" t="str">
        <f>LEFT(I473,(LEN(LEFT(I473,FIND(";",I473)))-8))</f>
        <v>VNOther</v>
      </c>
      <c r="N473" s="11"/>
      <c r="O473" s="15">
        <f>-$K473*IFERROR(INDEX('[1]salary allocation'!$E$6:$J$22,MATCH($H473,'[1]salary allocation'!$D$6:$D$22,0),MATCH(O$3,'[1]salary allocation'!$E$3:$J$3,0)),0)</f>
        <v>0</v>
      </c>
      <c r="P473" s="15">
        <f>-$K473*IFERROR(INDEX('[1]salary allocation'!$E$6:$J$22,MATCH($H473,'[1]salary allocation'!$D$6:$D$22,0),MATCH(P$3,'[1]salary allocation'!$E$3:$J$3,0)),0)</f>
        <v>1383864.75</v>
      </c>
      <c r="Q473" s="15">
        <f>-$K473*IFERROR(INDEX('[1]salary allocation'!$E$6:$J$22,MATCH($H473,'[1]salary allocation'!$D$6:$D$22,0),MATCH(Q$3,'[1]salary allocation'!$E$3:$J$3,0)),0)</f>
        <v>0</v>
      </c>
      <c r="R473" s="15">
        <f>-$K473*IFERROR(INDEX('[1]salary allocation'!$E$6:$J$22,MATCH($H473,'[1]salary allocation'!$D$6:$D$22,0),MATCH(R$3,'[1]salary allocation'!$E$3:$J$3,0)),0)</f>
        <v>0</v>
      </c>
      <c r="S473" s="15">
        <f>-$K473*IFERROR(INDEX('[1]salary allocation'!$E$6:$J$22,MATCH($H473,'[1]salary allocation'!$D$6:$D$22,0),MATCH(S$3,'[1]salary allocation'!$E$3:$J$3,0)),0)</f>
        <v>1568380.0499999998</v>
      </c>
      <c r="T473" s="15">
        <f>-$K473*IFERROR(INDEX('[1]salary allocation'!$E$6:$J$22,MATCH($H473,'[1]salary allocation'!$D$6:$D$22,0),MATCH(T$3,'[1]salary allocation'!$E$3:$J$3,0)),0)</f>
        <v>1568380.0499999998</v>
      </c>
      <c r="U473" s="15">
        <f>-$K473*IFERROR(INDEX('[1]salary allocation'!$E$6:$J$22,MATCH($H473,'[1]salary allocation'!$D$6:$D$22,0),MATCH(U$3,'[1]salary allocation'!$E$3:$J$3,0)),0)</f>
        <v>1568380.0499999998</v>
      </c>
      <c r="V473" s="15">
        <f>-$K473*IFERROR(INDEX('[1]salary allocation'!$E$6:$J$22,MATCH($H473,'[1]salary allocation'!$D$6:$D$22,0),MATCH(V$3,'[1]salary allocation'!$E$3:$J$3,0)),0)</f>
        <v>0</v>
      </c>
      <c r="W473" s="15">
        <f>-$K473*IFERROR(INDEX('[1]salary allocation'!$E$6:$J$22,MATCH($H473,'[1]salary allocation'!$D$6:$D$22,0),MATCH(W$3,'[1]salary allocation'!$E$3:$J$3,0)),0)</f>
        <v>3136760.0999999996</v>
      </c>
      <c r="X473" s="15">
        <f>-$K473*IFERROR(INDEX('[1]salary allocation'!$E$6:$J$22,MATCH($H473,'[1]salary allocation'!$D$6:$D$22,0),MATCH(X$3,'[1]salary allocation'!$E$3:$J$3,0)),0)</f>
        <v>0</v>
      </c>
      <c r="Y473" s="15">
        <f>-$K473*IFERROR(INDEX('[1]salary allocation'!$E$6:$J$22,MATCH($H473,'[1]salary allocation'!$D$6:$D$22,0),MATCH(Y$3,'[1]salary allocation'!$E$3:$J$3,0)),0)</f>
        <v>0</v>
      </c>
      <c r="Z473" s="15">
        <f>-$K473*IFERROR(INDEX('[1]salary allocation'!$E$6:$J$22,MATCH($H473,'[1]salary allocation'!$D$6:$D$22,0),MATCH(Z$3,'[1]salary allocation'!$E$3:$J$3,0)),0)</f>
        <v>0</v>
      </c>
      <c r="AA473" s="15">
        <f>-$K473*IFERROR(INDEX('[1]salary allocation'!$E$6:$J$22,MATCH($H473,'[1]salary allocation'!$D$6:$D$22,0),MATCH(AA$3,'[1]salary allocation'!$E$3:$J$3,0)),0)</f>
        <v>0</v>
      </c>
      <c r="AB473" s="15">
        <f>-$K473*IFERROR(INDEX('[1]salary allocation'!$E$6:$J$22,MATCH($H473,'[1]salary allocation'!$D$6:$D$22,0),MATCH(AB$3,'[1]salary allocation'!$E$3:$J$3,0)),0)</f>
        <v>0</v>
      </c>
      <c r="AC473" s="18">
        <f>-$K473*IFERROR(INDEX('[1]salary allocation'!$E$6:$J$22,MATCH($H473,'[1]salary allocation'!$D$6:$D$22,0),MATCH(AC$3,'[1]salary allocation'!$E$3:$J$3,0)),0)</f>
        <v>0</v>
      </c>
      <c r="AD473" s="17"/>
      <c r="AE473" s="16"/>
      <c r="AF473" s="15">
        <f>-$K473</f>
        <v>9225765</v>
      </c>
      <c r="AG473" s="15"/>
      <c r="AH473" s="2">
        <f>K473+SUM(O473:AC473)</f>
        <v>0</v>
      </c>
      <c r="AI473" s="2">
        <f>K473+SUM(AF473:AG473)</f>
        <v>0</v>
      </c>
    </row>
    <row r="474" spans="1:35" x14ac:dyDescent="0.2">
      <c r="A474" s="11" t="s">
        <v>61</v>
      </c>
      <c r="B474" s="22" t="s">
        <v>393</v>
      </c>
      <c r="H474" s="11" t="s">
        <v>121</v>
      </c>
      <c r="I474" s="11" t="s">
        <v>411</v>
      </c>
      <c r="K474" s="13">
        <v>-152496</v>
      </c>
      <c r="L474" s="12">
        <v>62025</v>
      </c>
      <c r="M474" s="2" t="str">
        <f>LEFT(I474,(LEN(LEFT(I474,FIND(";",I474)))-8))</f>
        <v>VNLA</v>
      </c>
      <c r="N474" s="11"/>
      <c r="O474" s="2">
        <f>IF($M474=O$3,-$K474,0)</f>
        <v>0</v>
      </c>
      <c r="P474" s="2">
        <f>IF($M474=P$3,-$K474,0)</f>
        <v>0</v>
      </c>
      <c r="Q474" s="2">
        <f>IF($M474=Q$3,-$K474,0)</f>
        <v>0</v>
      </c>
      <c r="R474" s="2">
        <f>IF($M474=R$3,-$K474,0)</f>
        <v>0</v>
      </c>
      <c r="S474" s="2">
        <f>IF($M474=S$3,-$K474,0)</f>
        <v>0</v>
      </c>
      <c r="T474" s="2">
        <f>IF($M474=T$3,-$K474,0)</f>
        <v>0</v>
      </c>
      <c r="U474" s="2">
        <f>IF($M474=U$3,-$K474,0)</f>
        <v>0</v>
      </c>
      <c r="V474" s="2">
        <f>IF($M474=V$3,-$K474,0)</f>
        <v>0</v>
      </c>
      <c r="W474" s="2">
        <f>IF($M474=W$3,-$K474,0)</f>
        <v>0</v>
      </c>
      <c r="X474" s="2">
        <f>IF($M474=X$3,-$K474,0)</f>
        <v>152496</v>
      </c>
      <c r="Y474" s="2">
        <f>IF($M474=Y$3,-$K474,0)</f>
        <v>0</v>
      </c>
      <c r="Z474" s="2">
        <f>IF($M474=Z$3,-$K474,0)</f>
        <v>0</v>
      </c>
      <c r="AA474" s="2">
        <f>IF($M474=AA$3,-$K474,0)</f>
        <v>0</v>
      </c>
      <c r="AB474" s="2">
        <f>IF($M474=AB$3,-$K474,0)</f>
        <v>0</v>
      </c>
      <c r="AC474" s="21">
        <f>IF($M474=AC$3,-$K474,0)</f>
        <v>0</v>
      </c>
      <c r="AD474" s="20"/>
      <c r="AE474" s="19"/>
      <c r="AF474" s="2"/>
      <c r="AG474" s="2">
        <f>-$K474</f>
        <v>152496</v>
      </c>
      <c r="AH474" s="2">
        <f>K474+SUM(O474:AC474)</f>
        <v>0</v>
      </c>
      <c r="AI474" s="2">
        <f>K474+SUM(AF474:AG474)</f>
        <v>0</v>
      </c>
    </row>
    <row r="475" spans="1:35" x14ac:dyDescent="0.2">
      <c r="A475" s="11" t="s">
        <v>61</v>
      </c>
      <c r="B475" s="22" t="s">
        <v>393</v>
      </c>
      <c r="H475" s="11" t="s">
        <v>33</v>
      </c>
      <c r="I475" s="11" t="s">
        <v>410</v>
      </c>
      <c r="K475" s="13">
        <v>-150754</v>
      </c>
      <c r="L475" s="12">
        <v>62025</v>
      </c>
      <c r="M475" s="2" t="str">
        <f>LEFT(I475,(LEN(LEFT(I475,FIND(";",I475)))-8))</f>
        <v>VNDN</v>
      </c>
      <c r="N475" s="11"/>
      <c r="O475" s="2">
        <f>IF($M475=O$3,-$K475,0)</f>
        <v>0</v>
      </c>
      <c r="P475" s="2">
        <f>IF($M475=P$3,-$K475,0)</f>
        <v>0</v>
      </c>
      <c r="Q475" s="2">
        <f>IF($M475=Q$3,-$K475,0)</f>
        <v>0</v>
      </c>
      <c r="R475" s="2">
        <f>IF($M475=R$3,-$K475,0)</f>
        <v>0</v>
      </c>
      <c r="S475" s="2">
        <f>IF($M475=S$3,-$K475,0)</f>
        <v>150754</v>
      </c>
      <c r="T475" s="2">
        <f>IF($M475=T$3,-$K475,0)</f>
        <v>0</v>
      </c>
      <c r="U475" s="2">
        <f>IF($M475=U$3,-$K475,0)</f>
        <v>0</v>
      </c>
      <c r="V475" s="2">
        <f>IF($M475=V$3,-$K475,0)</f>
        <v>0</v>
      </c>
      <c r="W475" s="2">
        <f>IF($M475=W$3,-$K475,0)</f>
        <v>0</v>
      </c>
      <c r="X475" s="2">
        <f>IF($M475=X$3,-$K475,0)</f>
        <v>0</v>
      </c>
      <c r="Y475" s="2">
        <f>IF($M475=Y$3,-$K475,0)</f>
        <v>0</v>
      </c>
      <c r="Z475" s="2">
        <f>IF($M475=Z$3,-$K475,0)</f>
        <v>0</v>
      </c>
      <c r="AA475" s="2">
        <f>IF($M475=AA$3,-$K475,0)</f>
        <v>0</v>
      </c>
      <c r="AB475" s="2">
        <f>IF($M475=AB$3,-$K475,0)</f>
        <v>0</v>
      </c>
      <c r="AC475" s="21">
        <f>IF($M475=AC$3,-$K475,0)</f>
        <v>0</v>
      </c>
      <c r="AD475" s="20"/>
      <c r="AE475" s="19"/>
      <c r="AF475" s="2"/>
      <c r="AG475" s="2">
        <f>-$K475</f>
        <v>150754</v>
      </c>
      <c r="AH475" s="2">
        <f>K475+SUM(O475:AC475)</f>
        <v>0</v>
      </c>
      <c r="AI475" s="2">
        <f>K475+SUM(AF475:AG475)</f>
        <v>0</v>
      </c>
    </row>
    <row r="476" spans="1:35" x14ac:dyDescent="0.2">
      <c r="A476" s="11" t="s">
        <v>61</v>
      </c>
      <c r="B476" s="22" t="s">
        <v>393</v>
      </c>
      <c r="H476" s="11" t="s">
        <v>31</v>
      </c>
      <c r="I476" s="11" t="s">
        <v>409</v>
      </c>
      <c r="K476" s="13">
        <v>0</v>
      </c>
      <c r="L476" s="12">
        <v>62025</v>
      </c>
      <c r="M476" s="2" t="str">
        <f>LEFT(I476,(LEN(LEFT(I476,FIND(";",I476)))-8))</f>
        <v>VNDN</v>
      </c>
      <c r="N476" s="11"/>
      <c r="O476" s="2">
        <f>IF($M476=O$3,-$K476,0)</f>
        <v>0</v>
      </c>
      <c r="P476" s="2">
        <f>IF($M476=P$3,-$K476,0)</f>
        <v>0</v>
      </c>
      <c r="Q476" s="2">
        <f>IF($M476=Q$3,-$K476,0)</f>
        <v>0</v>
      </c>
      <c r="R476" s="2">
        <f>IF($M476=R$3,-$K476,0)</f>
        <v>0</v>
      </c>
      <c r="S476" s="2">
        <f>IF($M476=S$3,-$K476,0)</f>
        <v>0</v>
      </c>
      <c r="T476" s="2">
        <f>IF($M476=T$3,-$K476,0)</f>
        <v>0</v>
      </c>
      <c r="U476" s="2">
        <f>IF($M476=U$3,-$K476,0)</f>
        <v>0</v>
      </c>
      <c r="V476" s="2">
        <f>IF($M476=V$3,-$K476,0)</f>
        <v>0</v>
      </c>
      <c r="W476" s="2">
        <f>IF($M476=W$3,-$K476,0)</f>
        <v>0</v>
      </c>
      <c r="X476" s="2">
        <f>IF($M476=X$3,-$K476,0)</f>
        <v>0</v>
      </c>
      <c r="Y476" s="2">
        <f>IF($M476=Y$3,-$K476,0)</f>
        <v>0</v>
      </c>
      <c r="Z476" s="2">
        <f>IF($M476=Z$3,-$K476,0)</f>
        <v>0</v>
      </c>
      <c r="AA476" s="2">
        <f>IF($M476=AA$3,-$K476,0)</f>
        <v>0</v>
      </c>
      <c r="AB476" s="2">
        <f>IF($M476=AB$3,-$K476,0)</f>
        <v>0</v>
      </c>
      <c r="AC476" s="21">
        <f>IF($M476=AC$3,-$K476,0)</f>
        <v>0</v>
      </c>
      <c r="AD476" s="20"/>
      <c r="AE476" s="19"/>
      <c r="AF476" s="2"/>
      <c r="AG476" s="2">
        <f>-$K476</f>
        <v>0</v>
      </c>
      <c r="AH476" s="2">
        <f>K476+SUM(O476:AC476)</f>
        <v>0</v>
      </c>
      <c r="AI476" s="2">
        <f>K476+SUM(AF476:AG476)</f>
        <v>0</v>
      </c>
    </row>
    <row r="477" spans="1:35" x14ac:dyDescent="0.2">
      <c r="A477" s="11" t="s">
        <v>61</v>
      </c>
      <c r="B477" s="22" t="s">
        <v>393</v>
      </c>
      <c r="H477" s="11" t="s">
        <v>29</v>
      </c>
      <c r="I477" s="11" t="s">
        <v>408</v>
      </c>
      <c r="K477" s="13">
        <v>-113271</v>
      </c>
      <c r="L477" s="12">
        <v>62025</v>
      </c>
      <c r="M477" s="2" t="str">
        <f>LEFT(I477,(LEN(LEFT(I477,FIND(";",I477)))-8))</f>
        <v>VNDN</v>
      </c>
      <c r="N477" s="11"/>
      <c r="O477" s="2">
        <f>IF($M477=O$3,-$K477,0)</f>
        <v>0</v>
      </c>
      <c r="P477" s="2">
        <f>IF($M477=P$3,-$K477,0)</f>
        <v>0</v>
      </c>
      <c r="Q477" s="2">
        <f>IF($M477=Q$3,-$K477,0)</f>
        <v>0</v>
      </c>
      <c r="R477" s="2">
        <f>IF($M477=R$3,-$K477,0)</f>
        <v>0</v>
      </c>
      <c r="S477" s="2">
        <f>IF($M477=S$3,-$K477,0)</f>
        <v>113271</v>
      </c>
      <c r="T477" s="2">
        <f>IF($M477=T$3,-$K477,0)</f>
        <v>0</v>
      </c>
      <c r="U477" s="2">
        <f>IF($M477=U$3,-$K477,0)</f>
        <v>0</v>
      </c>
      <c r="V477" s="2">
        <f>IF($M477=V$3,-$K477,0)</f>
        <v>0</v>
      </c>
      <c r="W477" s="2">
        <f>IF($M477=W$3,-$K477,0)</f>
        <v>0</v>
      </c>
      <c r="X477" s="2">
        <f>IF($M477=X$3,-$K477,0)</f>
        <v>0</v>
      </c>
      <c r="Y477" s="2">
        <f>IF($M477=Y$3,-$K477,0)</f>
        <v>0</v>
      </c>
      <c r="Z477" s="2">
        <f>IF($M477=Z$3,-$K477,0)</f>
        <v>0</v>
      </c>
      <c r="AA477" s="2">
        <f>IF($M477=AA$3,-$K477,0)</f>
        <v>0</v>
      </c>
      <c r="AB477" s="2">
        <f>IF($M477=AB$3,-$K477,0)</f>
        <v>0</v>
      </c>
      <c r="AC477" s="21">
        <f>IF($M477=AC$3,-$K477,0)</f>
        <v>0</v>
      </c>
      <c r="AD477" s="20"/>
      <c r="AE477" s="19"/>
      <c r="AF477" s="2"/>
      <c r="AG477" s="2">
        <f>-$K477</f>
        <v>113271</v>
      </c>
      <c r="AH477" s="2">
        <f>K477+SUM(O477:AC477)</f>
        <v>0</v>
      </c>
      <c r="AI477" s="2">
        <f>K477+SUM(AF477:AG477)</f>
        <v>0</v>
      </c>
    </row>
    <row r="478" spans="1:35" x14ac:dyDescent="0.2">
      <c r="A478" s="11" t="s">
        <v>61</v>
      </c>
      <c r="B478" s="22" t="s">
        <v>393</v>
      </c>
      <c r="H478" s="11" t="s">
        <v>27</v>
      </c>
      <c r="I478" s="11" t="s">
        <v>407</v>
      </c>
      <c r="K478" s="13">
        <v>0</v>
      </c>
      <c r="L478" s="12">
        <v>62025</v>
      </c>
      <c r="M478" s="2" t="str">
        <f>LEFT(I478,(LEN(LEFT(I478,FIND(";",I478)))-8))</f>
        <v>VNDN</v>
      </c>
      <c r="N478" s="11"/>
      <c r="O478" s="2">
        <f>IF($M478=O$3,-$K478,0)</f>
        <v>0</v>
      </c>
      <c r="P478" s="2">
        <f>IF($M478=P$3,-$K478,0)</f>
        <v>0</v>
      </c>
      <c r="Q478" s="2">
        <f>IF($M478=Q$3,-$K478,0)</f>
        <v>0</v>
      </c>
      <c r="R478" s="2">
        <f>IF($M478=R$3,-$K478,0)</f>
        <v>0</v>
      </c>
      <c r="S478" s="2">
        <f>IF($M478=S$3,-$K478,0)</f>
        <v>0</v>
      </c>
      <c r="T478" s="2">
        <f>IF($M478=T$3,-$K478,0)</f>
        <v>0</v>
      </c>
      <c r="U478" s="2">
        <f>IF($M478=U$3,-$K478,0)</f>
        <v>0</v>
      </c>
      <c r="V478" s="2">
        <f>IF($M478=V$3,-$K478,0)</f>
        <v>0</v>
      </c>
      <c r="W478" s="2">
        <f>IF($M478=W$3,-$K478,0)</f>
        <v>0</v>
      </c>
      <c r="X478" s="2">
        <f>IF($M478=X$3,-$K478,0)</f>
        <v>0</v>
      </c>
      <c r="Y478" s="2">
        <f>IF($M478=Y$3,-$K478,0)</f>
        <v>0</v>
      </c>
      <c r="Z478" s="2">
        <f>IF($M478=Z$3,-$K478,0)</f>
        <v>0</v>
      </c>
      <c r="AA478" s="2">
        <f>IF($M478=AA$3,-$K478,0)</f>
        <v>0</v>
      </c>
      <c r="AB478" s="2">
        <f>IF($M478=AB$3,-$K478,0)</f>
        <v>0</v>
      </c>
      <c r="AC478" s="21">
        <f>IF($M478=AC$3,-$K478,0)</f>
        <v>0</v>
      </c>
      <c r="AD478" s="20"/>
      <c r="AE478" s="19"/>
      <c r="AF478" s="2"/>
      <c r="AG478" s="2">
        <f>-$K478</f>
        <v>0</v>
      </c>
      <c r="AH478" s="2">
        <f>K478+SUM(O478:AC478)</f>
        <v>0</v>
      </c>
      <c r="AI478" s="2">
        <f>K478+SUM(AF478:AG478)</f>
        <v>0</v>
      </c>
    </row>
    <row r="479" spans="1:35" x14ac:dyDescent="0.2">
      <c r="A479" s="11" t="s">
        <v>61</v>
      </c>
      <c r="B479" s="22" t="s">
        <v>393</v>
      </c>
      <c r="H479" s="11" t="s">
        <v>25</v>
      </c>
      <c r="I479" s="11" t="s">
        <v>406</v>
      </c>
      <c r="K479" s="13">
        <v>0</v>
      </c>
      <c r="L479" s="12">
        <v>62025</v>
      </c>
      <c r="M479" s="2" t="str">
        <f>LEFT(I479,(LEN(LEFT(I479,FIND(";",I479)))-8))</f>
        <v>VNQN</v>
      </c>
      <c r="N479" s="11"/>
      <c r="O479" s="2">
        <f>IF($M479=O$3,-$K479,0)</f>
        <v>0</v>
      </c>
      <c r="P479" s="2">
        <f>IF($M479=P$3,-$K479,0)</f>
        <v>0</v>
      </c>
      <c r="Q479" s="2">
        <f>IF($M479=Q$3,-$K479,0)</f>
        <v>0</v>
      </c>
      <c r="R479" s="2">
        <f>IF($M479=R$3,-$K479,0)</f>
        <v>0</v>
      </c>
      <c r="S479" s="2">
        <f>IF($M479=S$3,-$K479,0)</f>
        <v>0</v>
      </c>
      <c r="T479" s="2">
        <f>IF($M479=T$3,-$K479,0)</f>
        <v>0</v>
      </c>
      <c r="U479" s="2">
        <f>IF($M479=U$3,-$K479,0)</f>
        <v>0</v>
      </c>
      <c r="V479" s="2">
        <f>IF($M479=V$3,-$K479,0)</f>
        <v>0</v>
      </c>
      <c r="W479" s="2">
        <f>IF($M479=W$3,-$K479,0)</f>
        <v>0</v>
      </c>
      <c r="X479" s="2">
        <f>IF($M479=X$3,-$K479,0)</f>
        <v>0</v>
      </c>
      <c r="Y479" s="2">
        <f>IF($M479=Y$3,-$K479,0)</f>
        <v>0</v>
      </c>
      <c r="Z479" s="2">
        <f>IF($M479=Z$3,-$K479,0)</f>
        <v>0</v>
      </c>
      <c r="AA479" s="2">
        <f>IF($M479=AA$3,-$K479,0)</f>
        <v>0</v>
      </c>
      <c r="AB479" s="2">
        <f>IF($M479=AB$3,-$K479,0)</f>
        <v>0</v>
      </c>
      <c r="AC479" s="21">
        <f>IF($M479=AC$3,-$K479,0)</f>
        <v>0</v>
      </c>
      <c r="AD479" s="20"/>
      <c r="AE479" s="19"/>
      <c r="AF479" s="2"/>
      <c r="AG479" s="2">
        <f>-$K479</f>
        <v>0</v>
      </c>
      <c r="AH479" s="2">
        <f>K479+SUM(O479:AC479)</f>
        <v>0</v>
      </c>
      <c r="AI479" s="2">
        <f>K479+SUM(AF479:AG479)</f>
        <v>0</v>
      </c>
    </row>
    <row r="480" spans="1:35" x14ac:dyDescent="0.2">
      <c r="A480" s="11" t="s">
        <v>61</v>
      </c>
      <c r="B480" s="22" t="s">
        <v>393</v>
      </c>
      <c r="H480" s="11" t="s">
        <v>81</v>
      </c>
      <c r="I480" s="11" t="s">
        <v>405</v>
      </c>
      <c r="K480" s="13">
        <v>-194657</v>
      </c>
      <c r="L480" s="12">
        <v>62025</v>
      </c>
      <c r="M480" s="2" t="str">
        <f>LEFT(I480,(LEN(LEFT(I480,FIND(";",I480)))-8))</f>
        <v>VNQN</v>
      </c>
      <c r="N480" s="11"/>
      <c r="O480" s="2">
        <f>IF($M480=O$3,-$K480,0)</f>
        <v>0</v>
      </c>
      <c r="P480" s="2">
        <f>IF($M480=P$3,-$K480,0)</f>
        <v>0</v>
      </c>
      <c r="Q480" s="2">
        <f>IF($M480=Q$3,-$K480,0)</f>
        <v>0</v>
      </c>
      <c r="R480" s="2">
        <f>IF($M480=R$3,-$K480,0)</f>
        <v>0</v>
      </c>
      <c r="S480" s="2">
        <f>IF($M480=S$3,-$K480,0)</f>
        <v>0</v>
      </c>
      <c r="T480" s="2">
        <f>IF($M480=T$3,-$K480,0)</f>
        <v>194657</v>
      </c>
      <c r="U480" s="2">
        <f>IF($M480=U$3,-$K480,0)</f>
        <v>0</v>
      </c>
      <c r="V480" s="2">
        <f>IF($M480=V$3,-$K480,0)</f>
        <v>0</v>
      </c>
      <c r="W480" s="2">
        <f>IF($M480=W$3,-$K480,0)</f>
        <v>0</v>
      </c>
      <c r="X480" s="2">
        <f>IF($M480=X$3,-$K480,0)</f>
        <v>0</v>
      </c>
      <c r="Y480" s="2">
        <f>IF($M480=Y$3,-$K480,0)</f>
        <v>0</v>
      </c>
      <c r="Z480" s="2">
        <f>IF($M480=Z$3,-$K480,0)</f>
        <v>0</v>
      </c>
      <c r="AA480" s="2">
        <f>IF($M480=AA$3,-$K480,0)</f>
        <v>0</v>
      </c>
      <c r="AB480" s="2">
        <f>IF($M480=AB$3,-$K480,0)</f>
        <v>0</v>
      </c>
      <c r="AC480" s="21">
        <f>IF($M480=AC$3,-$K480,0)</f>
        <v>0</v>
      </c>
      <c r="AD480" s="20"/>
      <c r="AE480" s="19"/>
      <c r="AF480" s="2"/>
      <c r="AG480" s="2">
        <f>-$K480</f>
        <v>194657</v>
      </c>
      <c r="AH480" s="2">
        <f>K480+SUM(O480:AC480)</f>
        <v>0</v>
      </c>
      <c r="AI480" s="2">
        <f>K480+SUM(AF480:AG480)</f>
        <v>0</v>
      </c>
    </row>
    <row r="481" spans="1:35" x14ac:dyDescent="0.2">
      <c r="A481" s="11" t="s">
        <v>61</v>
      </c>
      <c r="B481" s="22" t="s">
        <v>393</v>
      </c>
      <c r="H481" s="11" t="s">
        <v>23</v>
      </c>
      <c r="I481" s="11" t="s">
        <v>404</v>
      </c>
      <c r="K481" s="13">
        <v>0</v>
      </c>
      <c r="L481" s="12">
        <v>62025</v>
      </c>
      <c r="M481" s="2" t="str">
        <f>LEFT(I481,(LEN(LEFT(I481,FIND(";",I481)))-8))</f>
        <v>VNHD</v>
      </c>
      <c r="N481" s="11"/>
      <c r="O481" s="2">
        <f>IF($M481=O$3,-$K481,0)</f>
        <v>0</v>
      </c>
      <c r="P481" s="2">
        <f>IF($M481=P$3,-$K481,0)</f>
        <v>0</v>
      </c>
      <c r="Q481" s="2">
        <f>IF($M481=Q$3,-$K481,0)</f>
        <v>0</v>
      </c>
      <c r="R481" s="2">
        <f>IF($M481=R$3,-$K481,0)</f>
        <v>0</v>
      </c>
      <c r="S481" s="2">
        <f>IF($M481=S$3,-$K481,0)</f>
        <v>0</v>
      </c>
      <c r="T481" s="2">
        <f>IF($M481=T$3,-$K481,0)</f>
        <v>0</v>
      </c>
      <c r="U481" s="2">
        <f>IF($M481=U$3,-$K481,0)</f>
        <v>0</v>
      </c>
      <c r="V481" s="2">
        <f>IF($M481=V$3,-$K481,0)</f>
        <v>0</v>
      </c>
      <c r="W481" s="2">
        <f>IF($M481=W$3,-$K481,0)</f>
        <v>0</v>
      </c>
      <c r="X481" s="2">
        <f>IF($M481=X$3,-$K481,0)</f>
        <v>0</v>
      </c>
      <c r="Y481" s="2">
        <f>IF($M481=Y$3,-$K481,0)</f>
        <v>0</v>
      </c>
      <c r="Z481" s="2">
        <f>IF($M481=Z$3,-$K481,0)</f>
        <v>0</v>
      </c>
      <c r="AA481" s="2">
        <f>IF($M481=AA$3,-$K481,0)</f>
        <v>0</v>
      </c>
      <c r="AB481" s="2">
        <f>IF($M481=AB$3,-$K481,0)</f>
        <v>0</v>
      </c>
      <c r="AC481" s="21">
        <f>IF($M481=AC$3,-$K481,0)</f>
        <v>0</v>
      </c>
      <c r="AD481" s="20"/>
      <c r="AE481" s="19"/>
      <c r="AF481" s="2"/>
      <c r="AG481" s="2">
        <f>-$K481</f>
        <v>0</v>
      </c>
      <c r="AH481" s="2">
        <f>K481+SUM(O481:AC481)</f>
        <v>0</v>
      </c>
      <c r="AI481" s="2">
        <f>K481+SUM(AF481:AG481)</f>
        <v>0</v>
      </c>
    </row>
    <row r="482" spans="1:35" x14ac:dyDescent="0.2">
      <c r="A482" s="11" t="s">
        <v>61</v>
      </c>
      <c r="B482" s="22" t="s">
        <v>393</v>
      </c>
      <c r="H482" s="11" t="s">
        <v>21</v>
      </c>
      <c r="I482" s="11" t="s">
        <v>403</v>
      </c>
      <c r="K482" s="13">
        <v>-188296</v>
      </c>
      <c r="L482" s="12">
        <v>62025</v>
      </c>
      <c r="M482" s="2" t="str">
        <f>LEFT(I482,(LEN(LEFT(I482,FIND(";",I482)))-8))</f>
        <v>VNHCM</v>
      </c>
      <c r="N482" s="11"/>
      <c r="O482" s="2">
        <f>IF($M482=O$3,-$K482,0)</f>
        <v>0</v>
      </c>
      <c r="P482" s="2">
        <f>IF($M482=P$3,-$K482,0)</f>
        <v>0</v>
      </c>
      <c r="Q482" s="2">
        <f>IF($M482=Q$3,-$K482,0)</f>
        <v>0</v>
      </c>
      <c r="R482" s="2">
        <f>IF($M482=R$3,-$K482,0)</f>
        <v>0</v>
      </c>
      <c r="S482" s="2">
        <f>IF($M482=S$3,-$K482,0)</f>
        <v>0</v>
      </c>
      <c r="T482" s="2">
        <f>IF($M482=T$3,-$K482,0)</f>
        <v>0</v>
      </c>
      <c r="U482" s="2">
        <f>IF($M482=U$3,-$K482,0)</f>
        <v>0</v>
      </c>
      <c r="V482" s="2">
        <f>IF($M482=V$3,-$K482,0)</f>
        <v>0</v>
      </c>
      <c r="W482" s="2">
        <f>IF($M482=W$3,-$K482,0)</f>
        <v>0</v>
      </c>
      <c r="X482" s="2">
        <f>IF($M482=X$3,-$K482,0)</f>
        <v>0</v>
      </c>
      <c r="Y482" s="2">
        <f>IF($M482=Y$3,-$K482,0)</f>
        <v>188296</v>
      </c>
      <c r="Z482" s="2">
        <f>IF($M482=Z$3,-$K482,0)</f>
        <v>0</v>
      </c>
      <c r="AA482" s="2">
        <f>IF($M482=AA$3,-$K482,0)</f>
        <v>0</v>
      </c>
      <c r="AB482" s="2">
        <f>IF($M482=AB$3,-$K482,0)</f>
        <v>0</v>
      </c>
      <c r="AC482" s="21">
        <f>IF($M482=AC$3,-$K482,0)</f>
        <v>0</v>
      </c>
      <c r="AD482" s="20"/>
      <c r="AE482" s="19"/>
      <c r="AF482" s="2"/>
      <c r="AG482" s="2">
        <f>-$K482</f>
        <v>188296</v>
      </c>
      <c r="AH482" s="2">
        <f>K482+SUM(O482:AC482)</f>
        <v>0</v>
      </c>
      <c r="AI482" s="2">
        <f>K482+SUM(AF482:AG482)</f>
        <v>0</v>
      </c>
    </row>
    <row r="483" spans="1:35" x14ac:dyDescent="0.2">
      <c r="A483" s="11" t="s">
        <v>61</v>
      </c>
      <c r="B483" s="22" t="s">
        <v>393</v>
      </c>
      <c r="H483" s="11" t="s">
        <v>156</v>
      </c>
      <c r="I483" s="11" t="s">
        <v>402</v>
      </c>
      <c r="K483" s="13">
        <v>0</v>
      </c>
      <c r="L483" s="12">
        <v>62025</v>
      </c>
      <c r="M483" s="2" t="str">
        <f>LEFT(I483,(LEN(LEFT(I483,FIND(";",I483)))-8))</f>
        <v>VNBG</v>
      </c>
      <c r="N483" s="11"/>
      <c r="O483" s="2">
        <f>IF($M483=O$3,-$K483,0)</f>
        <v>0</v>
      </c>
      <c r="P483" s="2">
        <f>IF($M483=P$3,-$K483,0)</f>
        <v>0</v>
      </c>
      <c r="Q483" s="2">
        <f>IF($M483=Q$3,-$K483,0)</f>
        <v>0</v>
      </c>
      <c r="R483" s="2">
        <f>IF($M483=R$3,-$K483,0)</f>
        <v>0</v>
      </c>
      <c r="S483" s="2">
        <f>IF($M483=S$3,-$K483,0)</f>
        <v>0</v>
      </c>
      <c r="T483" s="2">
        <f>IF($M483=T$3,-$K483,0)</f>
        <v>0</v>
      </c>
      <c r="U483" s="2">
        <f>IF($M483=U$3,-$K483,0)</f>
        <v>0</v>
      </c>
      <c r="V483" s="2">
        <f>IF($M483=V$3,-$K483,0)</f>
        <v>0</v>
      </c>
      <c r="W483" s="2">
        <f>IF($M483=W$3,-$K483,0)</f>
        <v>0</v>
      </c>
      <c r="X483" s="2">
        <f>IF($M483=X$3,-$K483,0)</f>
        <v>0</v>
      </c>
      <c r="Y483" s="2">
        <f>IF($M483=Y$3,-$K483,0)</f>
        <v>0</v>
      </c>
      <c r="Z483" s="2">
        <f>IF($M483=Z$3,-$K483,0)</f>
        <v>0</v>
      </c>
      <c r="AA483" s="2">
        <f>IF($M483=AA$3,-$K483,0)</f>
        <v>0</v>
      </c>
      <c r="AB483" s="2">
        <f>IF($M483=AB$3,-$K483,0)</f>
        <v>0</v>
      </c>
      <c r="AC483" s="21">
        <f>IF($M483=AC$3,-$K483,0)</f>
        <v>0</v>
      </c>
      <c r="AD483" s="20"/>
      <c r="AE483" s="19"/>
      <c r="AF483" s="2"/>
      <c r="AG483" s="2"/>
      <c r="AH483" s="2">
        <f>K483+SUM(O483:AC483)</f>
        <v>0</v>
      </c>
      <c r="AI483" s="2">
        <f>K483+SUM(AF483:AG483)</f>
        <v>0</v>
      </c>
    </row>
    <row r="484" spans="1:35" x14ac:dyDescent="0.2">
      <c r="A484" s="11" t="s">
        <v>61</v>
      </c>
      <c r="B484" s="22" t="s">
        <v>393</v>
      </c>
      <c r="H484" s="11" t="s">
        <v>19</v>
      </c>
      <c r="I484" s="11" t="s">
        <v>401</v>
      </c>
      <c r="K484" s="13">
        <v>-831391</v>
      </c>
      <c r="L484" s="12">
        <v>62025</v>
      </c>
      <c r="M484" s="2" t="str">
        <f>LEFT(I484,(LEN(LEFT(I484,FIND(";",I484)))-8))</f>
        <v>VNQN</v>
      </c>
      <c r="N484" s="11"/>
      <c r="O484" s="2">
        <f>IF($M484=O$3,-$K484,0)</f>
        <v>0</v>
      </c>
      <c r="P484" s="2">
        <f>IF($M484=P$3,-$K484,0)</f>
        <v>0</v>
      </c>
      <c r="Q484" s="2">
        <f>IF($M484=Q$3,-$K484,0)</f>
        <v>0</v>
      </c>
      <c r="R484" s="2">
        <f>IF($M484=R$3,-$K484,0)</f>
        <v>0</v>
      </c>
      <c r="S484" s="2">
        <f>IF($M484=S$3,-$K484,0)</f>
        <v>0</v>
      </c>
      <c r="T484" s="2">
        <f>IF($M484=T$3,-$K484,0)</f>
        <v>831391</v>
      </c>
      <c r="U484" s="2">
        <f>IF($M484=U$3,-$K484,0)</f>
        <v>0</v>
      </c>
      <c r="V484" s="2">
        <f>IF($M484=V$3,-$K484,0)</f>
        <v>0</v>
      </c>
      <c r="W484" s="2">
        <f>IF($M484=W$3,-$K484,0)</f>
        <v>0</v>
      </c>
      <c r="X484" s="2">
        <f>IF($M484=X$3,-$K484,0)</f>
        <v>0</v>
      </c>
      <c r="Y484" s="2">
        <f>IF($M484=Y$3,-$K484,0)</f>
        <v>0</v>
      </c>
      <c r="Z484" s="2">
        <f>IF($M484=Z$3,-$K484,0)</f>
        <v>0</v>
      </c>
      <c r="AA484" s="2">
        <f>IF($M484=AA$3,-$K484,0)</f>
        <v>0</v>
      </c>
      <c r="AB484" s="2">
        <f>IF($M484=AB$3,-$K484,0)</f>
        <v>0</v>
      </c>
      <c r="AC484" s="21">
        <f>IF($M484=AC$3,-$K484,0)</f>
        <v>0</v>
      </c>
      <c r="AD484" s="20"/>
      <c r="AE484" s="19"/>
      <c r="AF484" s="2"/>
      <c r="AG484" s="2">
        <f>-$K484</f>
        <v>831391</v>
      </c>
      <c r="AH484" s="2">
        <f>K484+SUM(O484:AC484)</f>
        <v>0</v>
      </c>
      <c r="AI484" s="2">
        <f>K484+SUM(AF484:AG484)</f>
        <v>0</v>
      </c>
    </row>
    <row r="485" spans="1:35" x14ac:dyDescent="0.2">
      <c r="A485" s="11" t="s">
        <v>61</v>
      </c>
      <c r="B485" s="22" t="s">
        <v>393</v>
      </c>
      <c r="H485" s="11" t="s">
        <v>110</v>
      </c>
      <c r="I485" s="11" t="s">
        <v>400</v>
      </c>
      <c r="K485" s="13">
        <v>-801701</v>
      </c>
      <c r="L485" s="12">
        <v>62025</v>
      </c>
      <c r="M485" s="2" t="str">
        <f>LEFT(I485,(LEN(LEFT(I485,FIND(";",I485)))-8))</f>
        <v>VNOther</v>
      </c>
      <c r="N485" s="11"/>
      <c r="O485" s="15">
        <f>-$K485*IFERROR(INDEX('[1]salary allocation'!$E$6:$J$22,MATCH($H485,'[1]salary allocation'!$D$6:$D$22,0),MATCH(O$3,'[1]salary allocation'!$E$3:$J$3,0)),0)</f>
        <v>0</v>
      </c>
      <c r="P485" s="15">
        <f>-$K485*IFERROR(INDEX('[1]salary allocation'!$E$6:$J$22,MATCH($H485,'[1]salary allocation'!$D$6:$D$22,0),MATCH(P$3,'[1]salary allocation'!$E$3:$J$3,0)),0)</f>
        <v>120255.15</v>
      </c>
      <c r="Q485" s="15">
        <f>-$K485*IFERROR(INDEX('[1]salary allocation'!$E$6:$J$22,MATCH($H485,'[1]salary allocation'!$D$6:$D$22,0),MATCH(Q$3,'[1]salary allocation'!$E$3:$J$3,0)),0)</f>
        <v>0</v>
      </c>
      <c r="R485" s="15">
        <f>-$K485*IFERROR(INDEX('[1]salary allocation'!$E$6:$J$22,MATCH($H485,'[1]salary allocation'!$D$6:$D$22,0),MATCH(R$3,'[1]salary allocation'!$E$3:$J$3,0)),0)</f>
        <v>0</v>
      </c>
      <c r="S485" s="15">
        <f>-$K485*IFERROR(INDEX('[1]salary allocation'!$E$6:$J$22,MATCH($H485,'[1]salary allocation'!$D$6:$D$22,0),MATCH(S$3,'[1]salary allocation'!$E$3:$J$3,0)),0)</f>
        <v>136289.16999999998</v>
      </c>
      <c r="T485" s="15">
        <f>-$K485*IFERROR(INDEX('[1]salary allocation'!$E$6:$J$22,MATCH($H485,'[1]salary allocation'!$D$6:$D$22,0),MATCH(T$3,'[1]salary allocation'!$E$3:$J$3,0)),0)</f>
        <v>136289.16999999998</v>
      </c>
      <c r="U485" s="15">
        <f>-$K485*IFERROR(INDEX('[1]salary allocation'!$E$6:$J$22,MATCH($H485,'[1]salary allocation'!$D$6:$D$22,0),MATCH(U$3,'[1]salary allocation'!$E$3:$J$3,0)),0)</f>
        <v>136289.16999999998</v>
      </c>
      <c r="V485" s="15">
        <f>-$K485*IFERROR(INDEX('[1]salary allocation'!$E$6:$J$22,MATCH($H485,'[1]salary allocation'!$D$6:$D$22,0),MATCH(V$3,'[1]salary allocation'!$E$3:$J$3,0)),0)</f>
        <v>0</v>
      </c>
      <c r="W485" s="15">
        <f>-$K485*IFERROR(INDEX('[1]salary allocation'!$E$6:$J$22,MATCH($H485,'[1]salary allocation'!$D$6:$D$22,0),MATCH(W$3,'[1]salary allocation'!$E$3:$J$3,0)),0)</f>
        <v>272578.33999999997</v>
      </c>
      <c r="X485" s="15">
        <f>-$K485*IFERROR(INDEX('[1]salary allocation'!$E$6:$J$22,MATCH($H485,'[1]salary allocation'!$D$6:$D$22,0),MATCH(X$3,'[1]salary allocation'!$E$3:$J$3,0)),0)</f>
        <v>0</v>
      </c>
      <c r="Y485" s="15">
        <f>-$K485*IFERROR(INDEX('[1]salary allocation'!$E$6:$J$22,MATCH($H485,'[1]salary allocation'!$D$6:$D$22,0),MATCH(Y$3,'[1]salary allocation'!$E$3:$J$3,0)),0)</f>
        <v>0</v>
      </c>
      <c r="Z485" s="15">
        <f>-$K485*IFERROR(INDEX('[1]salary allocation'!$E$6:$J$22,MATCH($H485,'[1]salary allocation'!$D$6:$D$22,0),MATCH(Z$3,'[1]salary allocation'!$E$3:$J$3,0)),0)</f>
        <v>0</v>
      </c>
      <c r="AA485" s="15">
        <f>-$K485*IFERROR(INDEX('[1]salary allocation'!$E$6:$J$22,MATCH($H485,'[1]salary allocation'!$D$6:$D$22,0),MATCH(AA$3,'[1]salary allocation'!$E$3:$J$3,0)),0)</f>
        <v>0</v>
      </c>
      <c r="AB485" s="15">
        <f>-$K485*IFERROR(INDEX('[1]salary allocation'!$E$6:$J$22,MATCH($H485,'[1]salary allocation'!$D$6:$D$22,0),MATCH(AB$3,'[1]salary allocation'!$E$3:$J$3,0)),0)</f>
        <v>0</v>
      </c>
      <c r="AC485" s="18">
        <f>-$K485*IFERROR(INDEX('[1]salary allocation'!$E$6:$J$22,MATCH($H485,'[1]salary allocation'!$D$6:$D$22,0),MATCH(AC$3,'[1]salary allocation'!$E$3:$J$3,0)),0)</f>
        <v>0</v>
      </c>
      <c r="AD485" s="17"/>
      <c r="AE485" s="16"/>
      <c r="AF485" s="15">
        <f>-$K485</f>
        <v>801701</v>
      </c>
      <c r="AG485" s="15"/>
      <c r="AH485" s="2">
        <f>K485+SUM(O485:AC485)</f>
        <v>0</v>
      </c>
      <c r="AI485" s="2">
        <f>K485+SUM(AF485:AG485)</f>
        <v>0</v>
      </c>
    </row>
    <row r="486" spans="1:35" x14ac:dyDescent="0.2">
      <c r="A486" s="11" t="s">
        <v>61</v>
      </c>
      <c r="B486" s="22" t="s">
        <v>393</v>
      </c>
      <c r="H486" s="11" t="s">
        <v>153</v>
      </c>
      <c r="I486" s="11" t="s">
        <v>399</v>
      </c>
      <c r="K486" s="13">
        <v>-114546</v>
      </c>
      <c r="L486" s="12">
        <v>62025</v>
      </c>
      <c r="M486" s="2" t="str">
        <f>LEFT(I486,(LEN(LEFT(I486,FIND(";",I486)))-8))</f>
        <v>VNBN</v>
      </c>
      <c r="N486" s="11"/>
      <c r="O486" s="2">
        <f>IF($M486=O$3,-$K486,0)</f>
        <v>0</v>
      </c>
      <c r="P486" s="2">
        <f>IF($M486=P$3,-$K486,0)</f>
        <v>0</v>
      </c>
      <c r="Q486" s="2">
        <f>IF($M486=Q$3,-$K486,0)</f>
        <v>0</v>
      </c>
      <c r="R486" s="2">
        <f>IF($M486=R$3,-$K486,0)</f>
        <v>0</v>
      </c>
      <c r="S486" s="2">
        <f>IF($M486=S$3,-$K486,0)</f>
        <v>0</v>
      </c>
      <c r="T486" s="2">
        <f>IF($M486=T$3,-$K486,0)</f>
        <v>0</v>
      </c>
      <c r="U486" s="2">
        <f>IF($M486=U$3,-$K486,0)</f>
        <v>0</v>
      </c>
      <c r="V486" s="2">
        <f>IF($M486=V$3,-$K486,0)</f>
        <v>0</v>
      </c>
      <c r="W486" s="2">
        <f>IF($M486=W$3,-$K486,0)</f>
        <v>0</v>
      </c>
      <c r="X486" s="2">
        <f>IF($M486=X$3,-$K486,0)</f>
        <v>0</v>
      </c>
      <c r="Y486" s="2">
        <f>IF($M486=Y$3,-$K486,0)</f>
        <v>0</v>
      </c>
      <c r="Z486" s="2">
        <f>IF($M486=Z$3,-$K486,0)</f>
        <v>0</v>
      </c>
      <c r="AA486" s="2">
        <f>IF($M486=AA$3,-$K486,0)</f>
        <v>114546</v>
      </c>
      <c r="AB486" s="2">
        <f>IF($M486=AB$3,-$K486,0)</f>
        <v>0</v>
      </c>
      <c r="AC486" s="21">
        <f>IF($M486=AC$3,-$K486,0)</f>
        <v>0</v>
      </c>
      <c r="AD486" s="20"/>
      <c r="AE486" s="19"/>
      <c r="AF486" s="2"/>
      <c r="AG486" s="2">
        <f>-K486</f>
        <v>114546</v>
      </c>
      <c r="AH486" s="2">
        <f>K486+SUM(O486:AC486)</f>
        <v>0</v>
      </c>
      <c r="AI486" s="2">
        <f>K486+SUM(AF486:AG486)</f>
        <v>0</v>
      </c>
    </row>
    <row r="487" spans="1:35" x14ac:dyDescent="0.2">
      <c r="A487" s="11" t="s">
        <v>61</v>
      </c>
      <c r="B487" s="22" t="s">
        <v>393</v>
      </c>
      <c r="H487" s="11" t="s">
        <v>151</v>
      </c>
      <c r="I487" s="11" t="s">
        <v>398</v>
      </c>
      <c r="K487" s="13">
        <v>0</v>
      </c>
      <c r="L487" s="12">
        <v>62025</v>
      </c>
      <c r="M487" s="2" t="str">
        <f>LEFT(I487,(LEN(LEFT(I487,FIND(";",I487)))-8))</f>
        <v>VNQN</v>
      </c>
      <c r="N487" s="11"/>
      <c r="O487" s="2">
        <f>IF($M487=O$3,-$K487,0)</f>
        <v>0</v>
      </c>
      <c r="P487" s="2">
        <f>IF($M487=P$3,-$K487,0)</f>
        <v>0</v>
      </c>
      <c r="Q487" s="2">
        <f>IF($M487=Q$3,-$K487,0)</f>
        <v>0</v>
      </c>
      <c r="R487" s="2">
        <f>IF($M487=R$3,-$K487,0)</f>
        <v>0</v>
      </c>
      <c r="S487" s="2">
        <f>IF($M487=S$3,-$K487,0)</f>
        <v>0</v>
      </c>
      <c r="T487" s="2">
        <f>IF($M487=T$3,-$K487,0)</f>
        <v>0</v>
      </c>
      <c r="U487" s="2">
        <f>IF($M487=U$3,-$K487,0)</f>
        <v>0</v>
      </c>
      <c r="V487" s="2">
        <f>IF($M487=V$3,-$K487,0)</f>
        <v>0</v>
      </c>
      <c r="W487" s="2">
        <f>IF($M487=W$3,-$K487,0)</f>
        <v>0</v>
      </c>
      <c r="X487" s="2">
        <f>IF($M487=X$3,-$K487,0)</f>
        <v>0</v>
      </c>
      <c r="Y487" s="2">
        <f>IF($M487=Y$3,-$K487,0)</f>
        <v>0</v>
      </c>
      <c r="Z487" s="2">
        <f>IF($M487=Z$3,-$K487,0)</f>
        <v>0</v>
      </c>
      <c r="AA487" s="2">
        <f>IF($M487=AA$3,-$K487,0)</f>
        <v>0</v>
      </c>
      <c r="AB487" s="2">
        <f>IF($M487=AB$3,-$K487,0)</f>
        <v>0</v>
      </c>
      <c r="AC487" s="21">
        <f>IF($M487=AC$3,-$K487,0)</f>
        <v>0</v>
      </c>
      <c r="AD487" s="20"/>
      <c r="AE487" s="19"/>
      <c r="AF487" s="2"/>
      <c r="AG487" s="2">
        <f>-$K487</f>
        <v>0</v>
      </c>
      <c r="AH487" s="2">
        <f>K487+SUM(O487:AC487)</f>
        <v>0</v>
      </c>
      <c r="AI487" s="2">
        <f>K487+SUM(AF487:AG487)</f>
        <v>0</v>
      </c>
    </row>
    <row r="488" spans="1:35" x14ac:dyDescent="0.2">
      <c r="A488" s="11" t="s">
        <v>61</v>
      </c>
      <c r="B488" s="22" t="s">
        <v>393</v>
      </c>
      <c r="H488" s="11" t="s">
        <v>76</v>
      </c>
      <c r="I488" s="11" t="s">
        <v>397</v>
      </c>
      <c r="K488" s="13">
        <v>-17297778</v>
      </c>
      <c r="L488" s="12">
        <v>62025</v>
      </c>
      <c r="M488" s="2" t="str">
        <f>LEFT(I488,(LEN(LEFT(I488,FIND(";",I488)))-8))</f>
        <v>VNMOET</v>
      </c>
      <c r="N488" s="11"/>
      <c r="O488" s="2">
        <f>IF($M488=O$3,-$K488,0)</f>
        <v>0</v>
      </c>
      <c r="P488" s="2">
        <f>IF($M488=P$3,-$K488,0)</f>
        <v>0</v>
      </c>
      <c r="Q488" s="2">
        <f>IF($M488=Q$3,-$K488,0)</f>
        <v>0</v>
      </c>
      <c r="R488" s="2">
        <f>IF($M488=R$3,-$K488,0)</f>
        <v>0</v>
      </c>
      <c r="S488" s="2">
        <f>IF($M488=S$3,-$K488,0)</f>
        <v>0</v>
      </c>
      <c r="T488" s="2">
        <f>IF($M488=T$3,-$K488,0)</f>
        <v>0</v>
      </c>
      <c r="U488" s="2">
        <f>IF($M488=U$3,-$K488,0)</f>
        <v>0</v>
      </c>
      <c r="V488" s="2">
        <f>IF($M488=V$3,-$K488,0)</f>
        <v>0</v>
      </c>
      <c r="W488" s="2">
        <f>IF($M488=W$3,-$K488,0)</f>
        <v>17297778</v>
      </c>
      <c r="X488" s="2">
        <f>IF($M488=X$3,-$K488,0)</f>
        <v>0</v>
      </c>
      <c r="Y488" s="2">
        <f>IF($M488=Y$3,-$K488,0)</f>
        <v>0</v>
      </c>
      <c r="Z488" s="2">
        <f>IF($M488=Z$3,-$K488,0)</f>
        <v>0</v>
      </c>
      <c r="AA488" s="2">
        <f>IF($M488=AA$3,-$K488,0)</f>
        <v>0</v>
      </c>
      <c r="AB488" s="2">
        <f>IF($M488=AB$3,-$K488,0)</f>
        <v>0</v>
      </c>
      <c r="AC488" s="21">
        <f>IF($M488=AC$3,-$K488,0)</f>
        <v>0</v>
      </c>
      <c r="AD488" s="20"/>
      <c r="AE488" s="19"/>
      <c r="AF488" s="2">
        <f>-$K488</f>
        <v>17297778</v>
      </c>
      <c r="AG488" s="2"/>
      <c r="AH488" s="2">
        <f>K488+SUM(O488:AC488)</f>
        <v>0</v>
      </c>
      <c r="AI488" s="2">
        <f>K488+SUM(AF488:AG488)</f>
        <v>0</v>
      </c>
    </row>
    <row r="489" spans="1:35" x14ac:dyDescent="0.2">
      <c r="A489" s="11" t="s">
        <v>61</v>
      </c>
      <c r="B489" s="22" t="s">
        <v>393</v>
      </c>
      <c r="H489" s="11" t="s">
        <v>17</v>
      </c>
      <c r="I489" s="11" t="s">
        <v>396</v>
      </c>
      <c r="K489" s="13">
        <v>-120546</v>
      </c>
      <c r="L489" s="12">
        <v>62025</v>
      </c>
      <c r="M489" s="2" t="str">
        <f>LEFT(I489,(LEN(LEFT(I489,FIND(";",I489)))-8))</f>
        <v>VNQN</v>
      </c>
      <c r="N489" s="11"/>
      <c r="O489" s="2">
        <f>IF($M489=O$3,-$K489,0)</f>
        <v>0</v>
      </c>
      <c r="P489" s="2">
        <f>IF($M489=P$3,-$K489,0)</f>
        <v>0</v>
      </c>
      <c r="Q489" s="2">
        <f>IF($M489=Q$3,-$K489,0)</f>
        <v>0</v>
      </c>
      <c r="R489" s="2">
        <f>IF($M489=R$3,-$K489,0)</f>
        <v>0</v>
      </c>
      <c r="S489" s="2">
        <f>IF($M489=S$3,-$K489,0)</f>
        <v>0</v>
      </c>
      <c r="T489" s="2">
        <f>IF($M489=T$3,-$K489,0)</f>
        <v>120546</v>
      </c>
      <c r="U489" s="2">
        <f>IF($M489=U$3,-$K489,0)</f>
        <v>0</v>
      </c>
      <c r="V489" s="2">
        <f>IF($M489=V$3,-$K489,0)</f>
        <v>0</v>
      </c>
      <c r="W489" s="2">
        <f>IF($M489=W$3,-$K489,0)</f>
        <v>0</v>
      </c>
      <c r="X489" s="2">
        <f>IF($M489=X$3,-$K489,0)</f>
        <v>0</v>
      </c>
      <c r="Y489" s="2">
        <f>IF($M489=Y$3,-$K489,0)</f>
        <v>0</v>
      </c>
      <c r="Z489" s="2">
        <f>IF($M489=Z$3,-$K489,0)</f>
        <v>0</v>
      </c>
      <c r="AA489" s="2">
        <f>IF($M489=AA$3,-$K489,0)</f>
        <v>0</v>
      </c>
      <c r="AB489" s="2">
        <f>IF($M489=AB$3,-$K489,0)</f>
        <v>0</v>
      </c>
      <c r="AC489" s="21">
        <f>IF($M489=AC$3,-$K489,0)</f>
        <v>0</v>
      </c>
      <c r="AD489" s="20"/>
      <c r="AE489" s="19"/>
      <c r="AF489" s="2"/>
      <c r="AG489" s="2">
        <f>-$K489</f>
        <v>120546</v>
      </c>
      <c r="AH489" s="2">
        <f>K489+SUM(O489:AC489)</f>
        <v>0</v>
      </c>
      <c r="AI489" s="2">
        <f>K489+SUM(AF489:AG489)</f>
        <v>0</v>
      </c>
    </row>
    <row r="490" spans="1:35" x14ac:dyDescent="0.2">
      <c r="A490" s="11" t="s">
        <v>61</v>
      </c>
      <c r="B490" s="22" t="s">
        <v>393</v>
      </c>
      <c r="H490" s="11" t="s">
        <v>137</v>
      </c>
      <c r="I490" s="11" t="s">
        <v>182</v>
      </c>
      <c r="K490" s="13">
        <v>-2975000</v>
      </c>
      <c r="L490" s="12">
        <v>62025</v>
      </c>
      <c r="M490" s="2" t="s">
        <v>195</v>
      </c>
      <c r="N490" s="11"/>
      <c r="O490" s="2">
        <f>IF($M490=O$3,-$K490,0)</f>
        <v>0</v>
      </c>
      <c r="P490" s="2">
        <f>IF($M490=P$3,-$K490,0)</f>
        <v>0</v>
      </c>
      <c r="Q490" s="2">
        <f>IF($M490=Q$3,-$K490,0)</f>
        <v>0</v>
      </c>
      <c r="R490" s="2">
        <f>IF($M490=R$3,-$K490,0)</f>
        <v>0</v>
      </c>
      <c r="S490" s="2">
        <f>IF($M490=S$3,-$K490,0)</f>
        <v>0</v>
      </c>
      <c r="T490" s="2">
        <f>IF($M490=T$3,-$K490,0)</f>
        <v>0</v>
      </c>
      <c r="U490" s="2">
        <f>IF($M490=U$3,-$K490,0)</f>
        <v>2975000</v>
      </c>
      <c r="V490" s="2">
        <f>IF($M490=V$3,-$K490,0)</f>
        <v>0</v>
      </c>
      <c r="W490" s="2">
        <f>IF($M490=W$3,-$K490,0)</f>
        <v>0</v>
      </c>
      <c r="X490" s="2">
        <f>IF($M490=X$3,-$K490,0)</f>
        <v>0</v>
      </c>
      <c r="Y490" s="2">
        <f>IF($M490=Y$3,-$K490,0)</f>
        <v>0</v>
      </c>
      <c r="Z490" s="2">
        <f>IF($M490=Z$3,-$K490,0)</f>
        <v>0</v>
      </c>
      <c r="AA490" s="2">
        <f>IF($M490=AA$3,-$K490,0)</f>
        <v>0</v>
      </c>
      <c r="AB490" s="2">
        <f>IF($M490=AB$3,-$K490,0)</f>
        <v>0</v>
      </c>
      <c r="AC490" s="21">
        <f>IF($M490=AC$3,-$K490,0)</f>
        <v>0</v>
      </c>
      <c r="AD490" s="20"/>
      <c r="AE490" s="19"/>
      <c r="AF490" s="2"/>
      <c r="AG490" s="2">
        <f>-$K490</f>
        <v>2975000</v>
      </c>
      <c r="AH490" s="2">
        <f>K490+SUM(O490:AC490)</f>
        <v>0</v>
      </c>
      <c r="AI490" s="2">
        <f>K490+SUM(AF490:AG490)</f>
        <v>0</v>
      </c>
    </row>
    <row r="491" spans="1:35" x14ac:dyDescent="0.2">
      <c r="A491" s="11" t="s">
        <v>61</v>
      </c>
      <c r="B491" s="22" t="s">
        <v>393</v>
      </c>
      <c r="H491" s="11" t="s">
        <v>395</v>
      </c>
      <c r="I491" s="11" t="s">
        <v>182</v>
      </c>
      <c r="K491" s="13">
        <v>-660000</v>
      </c>
      <c r="L491" s="12">
        <v>62025</v>
      </c>
      <c r="M491" s="2" t="s">
        <v>394</v>
      </c>
      <c r="N491" s="11"/>
      <c r="O491" s="2">
        <f>IF($M491=O$3,-$K491,0)</f>
        <v>0</v>
      </c>
      <c r="P491" s="2">
        <f>IF($M491=P$3,-$K491,0)</f>
        <v>0</v>
      </c>
      <c r="Q491" s="2">
        <f>IF($M491=Q$3,-$K491,0)</f>
        <v>0</v>
      </c>
      <c r="R491" s="2">
        <f>IF($M491=R$3,-$K491,0)</f>
        <v>0</v>
      </c>
      <c r="S491" s="2">
        <f>IF($M491=S$3,-$K491,0)</f>
        <v>660000</v>
      </c>
      <c r="T491" s="2">
        <f>IF($M491=T$3,-$K491,0)</f>
        <v>0</v>
      </c>
      <c r="U491" s="2">
        <f>IF($M491=U$3,-$K491,0)</f>
        <v>0</v>
      </c>
      <c r="V491" s="2">
        <f>IF($M491=V$3,-$K491,0)</f>
        <v>0</v>
      </c>
      <c r="W491" s="2">
        <f>IF($M491=W$3,-$K491,0)</f>
        <v>0</v>
      </c>
      <c r="X491" s="2">
        <f>IF($M491=X$3,-$K491,0)</f>
        <v>0</v>
      </c>
      <c r="Y491" s="2">
        <f>IF($M491=Y$3,-$K491,0)</f>
        <v>0</v>
      </c>
      <c r="Z491" s="2">
        <f>IF($M491=Z$3,-$K491,0)</f>
        <v>0</v>
      </c>
      <c r="AA491" s="2">
        <f>IF($M491=AA$3,-$K491,0)</f>
        <v>0</v>
      </c>
      <c r="AB491" s="2">
        <f>IF($M491=AB$3,-$K491,0)</f>
        <v>0</v>
      </c>
      <c r="AC491" s="21">
        <f>IF($M491=AC$3,-$K491,0)</f>
        <v>0</v>
      </c>
      <c r="AD491" s="20"/>
      <c r="AE491" s="19"/>
      <c r="AF491" s="2"/>
      <c r="AG491" s="2">
        <f>-$K491</f>
        <v>660000</v>
      </c>
      <c r="AH491" s="2">
        <f>K491+SUM(O491:AC491)</f>
        <v>0</v>
      </c>
      <c r="AI491" s="2">
        <f>K491+SUM(AF491:AG491)</f>
        <v>0</v>
      </c>
    </row>
    <row r="492" spans="1:35" x14ac:dyDescent="0.2">
      <c r="A492" s="11" t="s">
        <v>61</v>
      </c>
      <c r="B492" s="22" t="s">
        <v>393</v>
      </c>
      <c r="H492" s="11" t="s">
        <v>137</v>
      </c>
      <c r="I492" s="11" t="s">
        <v>182</v>
      </c>
      <c r="K492" s="13">
        <v>-1050000</v>
      </c>
      <c r="L492" s="12">
        <v>62025</v>
      </c>
      <c r="M492" s="2" t="s">
        <v>195</v>
      </c>
      <c r="N492" s="11"/>
      <c r="O492" s="2">
        <f>IF($M492=O$3,-$K492,0)</f>
        <v>0</v>
      </c>
      <c r="P492" s="2">
        <f>IF($M492=P$3,-$K492,0)</f>
        <v>0</v>
      </c>
      <c r="Q492" s="2">
        <f>IF($M492=Q$3,-$K492,0)</f>
        <v>0</v>
      </c>
      <c r="R492" s="2">
        <f>IF($M492=R$3,-$K492,0)</f>
        <v>0</v>
      </c>
      <c r="S492" s="2">
        <f>IF($M492=S$3,-$K492,0)</f>
        <v>0</v>
      </c>
      <c r="T492" s="2">
        <f>IF($M492=T$3,-$K492,0)</f>
        <v>0</v>
      </c>
      <c r="U492" s="2">
        <f>IF($M492=U$3,-$K492,0)</f>
        <v>1050000</v>
      </c>
      <c r="V492" s="2">
        <f>IF($M492=V$3,-$K492,0)</f>
        <v>0</v>
      </c>
      <c r="W492" s="2">
        <f>IF($M492=W$3,-$K492,0)</f>
        <v>0</v>
      </c>
      <c r="X492" s="2">
        <f>IF($M492=X$3,-$K492,0)</f>
        <v>0</v>
      </c>
      <c r="Y492" s="2">
        <f>IF($M492=Y$3,-$K492,0)</f>
        <v>0</v>
      </c>
      <c r="Z492" s="2">
        <f>IF($M492=Z$3,-$K492,0)</f>
        <v>0</v>
      </c>
      <c r="AA492" s="2">
        <f>IF($M492=AA$3,-$K492,0)</f>
        <v>0</v>
      </c>
      <c r="AB492" s="2">
        <f>IF($M492=AB$3,-$K492,0)</f>
        <v>0</v>
      </c>
      <c r="AC492" s="21">
        <f>IF($M492=AC$3,-$K492,0)</f>
        <v>0</v>
      </c>
      <c r="AD492" s="20"/>
      <c r="AE492" s="19"/>
      <c r="AF492" s="2"/>
      <c r="AG492" s="2">
        <f>-$K492</f>
        <v>1050000</v>
      </c>
      <c r="AH492" s="2">
        <f>K492+SUM(O492:AC492)</f>
        <v>0</v>
      </c>
      <c r="AI492" s="2">
        <f>K492+SUM(AF492:AG492)</f>
        <v>0</v>
      </c>
    </row>
    <row r="493" spans="1:35" x14ac:dyDescent="0.2">
      <c r="A493" s="11" t="s">
        <v>61</v>
      </c>
      <c r="B493" s="22">
        <v>45859</v>
      </c>
      <c r="H493" s="11" t="s">
        <v>135</v>
      </c>
      <c r="I493" s="11" t="s">
        <v>392</v>
      </c>
      <c r="K493" s="13">
        <v>-47827110</v>
      </c>
      <c r="L493" s="12">
        <v>72025</v>
      </c>
      <c r="M493" s="11" t="str">
        <f>LEFT(I493,(LEN(LEFT(I493,FIND(";",I493)))-8))</f>
        <v>VNOther</v>
      </c>
      <c r="N493" s="11"/>
      <c r="O493" s="15">
        <f>-$K493*IFERROR(INDEX('[1]salary allocation'!$E$6:$J$22,MATCH($H493,'[1]salary allocation'!$D$6:$D$22,0),MATCH(O$3,'[1]salary allocation'!$E$3:$J$3,0)),0)</f>
        <v>0</v>
      </c>
      <c r="P493" s="15">
        <f>-$K493*IFERROR(INDEX('[1]salary allocation'!$E$6:$J$22,MATCH($H493,'[1]salary allocation'!$D$6:$D$22,0),MATCH(P$3,'[1]salary allocation'!$E$3:$J$3,0)),0)</f>
        <v>23913555</v>
      </c>
      <c r="Q493" s="15">
        <f>-$K493*IFERROR(INDEX('[1]salary allocation'!$E$6:$J$22,MATCH($H493,'[1]salary allocation'!$D$6:$D$22,0),MATCH(Q$3,'[1]salary allocation'!$E$3:$J$3,0)),0)</f>
        <v>0</v>
      </c>
      <c r="R493" s="15">
        <f>-$K493*IFERROR(INDEX('[1]salary allocation'!$E$6:$J$22,MATCH($H493,'[1]salary allocation'!$D$6:$D$22,0),MATCH(R$3,'[1]salary allocation'!$E$3:$J$3,0)),0)</f>
        <v>0</v>
      </c>
      <c r="S493" s="15">
        <f>-$K493*IFERROR(INDEX('[1]salary allocation'!$E$6:$J$22,MATCH($H493,'[1]salary allocation'!$D$6:$D$22,0),MATCH(S$3,'[1]salary allocation'!$E$3:$J$3,0)),0)</f>
        <v>4782711</v>
      </c>
      <c r="T493" s="15">
        <f>-$K493*IFERROR(INDEX('[1]salary allocation'!$E$6:$J$22,MATCH($H493,'[1]salary allocation'!$D$6:$D$22,0),MATCH(T$3,'[1]salary allocation'!$E$3:$J$3,0)),0)</f>
        <v>4782711</v>
      </c>
      <c r="U493" s="15">
        <f>-$K493*IFERROR(INDEX('[1]salary allocation'!$E$6:$J$22,MATCH($H493,'[1]salary allocation'!$D$6:$D$22,0),MATCH(U$3,'[1]salary allocation'!$E$3:$J$3,0)),0)</f>
        <v>4782711</v>
      </c>
      <c r="V493" s="15">
        <f>-$K493*IFERROR(INDEX('[1]salary allocation'!$E$6:$J$22,MATCH($H493,'[1]salary allocation'!$D$6:$D$22,0),MATCH(V$3,'[1]salary allocation'!$E$3:$J$3,0)),0)</f>
        <v>0</v>
      </c>
      <c r="W493" s="15">
        <f>-$K493*IFERROR(INDEX('[1]salary allocation'!$E$6:$J$22,MATCH($H493,'[1]salary allocation'!$D$6:$D$22,0),MATCH(W$3,'[1]salary allocation'!$E$3:$J$3,0)),0)</f>
        <v>9565422</v>
      </c>
      <c r="X493" s="15">
        <f>-$K493*IFERROR(INDEX('[1]salary allocation'!$E$6:$J$22,MATCH($H493,'[1]salary allocation'!$D$6:$D$22,0),MATCH(X$3,'[1]salary allocation'!$E$3:$J$3,0)),0)</f>
        <v>0</v>
      </c>
      <c r="Y493" s="15">
        <f>-$K493*IFERROR(INDEX('[1]salary allocation'!$E$6:$J$22,MATCH($H493,'[1]salary allocation'!$D$6:$D$22,0),MATCH(Y$3,'[1]salary allocation'!$E$3:$J$3,0)),0)</f>
        <v>0</v>
      </c>
      <c r="Z493" s="15">
        <f>-$K493*IFERROR(INDEX('[1]salary allocation'!$E$6:$J$22,MATCH($H493,'[1]salary allocation'!$D$6:$D$22,0),MATCH(Z$3,'[1]salary allocation'!$E$3:$J$3,0)),0)</f>
        <v>0</v>
      </c>
      <c r="AA493" s="15">
        <f>-$K493*IFERROR(INDEX('[1]salary allocation'!$E$6:$J$22,MATCH($H493,'[1]salary allocation'!$D$6:$D$22,0),MATCH(AA$3,'[1]salary allocation'!$E$3:$J$3,0)),0)</f>
        <v>0</v>
      </c>
      <c r="AB493" s="15">
        <f>-$K493*IFERROR(INDEX('[1]salary allocation'!$E$6:$J$22,MATCH($H493,'[1]salary allocation'!$D$6:$D$22,0),MATCH(AB$3,'[1]salary allocation'!$E$3:$J$3,0)),0)</f>
        <v>0</v>
      </c>
      <c r="AC493" s="18">
        <f>-$K493*IFERROR(INDEX('[1]salary allocation'!$E$6:$J$22,MATCH($H493,'[1]salary allocation'!$D$6:$D$22,0),MATCH(AC$3,'[1]salary allocation'!$E$3:$J$3,0)),0)</f>
        <v>0</v>
      </c>
      <c r="AD493" s="17"/>
      <c r="AE493" s="16"/>
      <c r="AF493" s="15">
        <f>-$K493</f>
        <v>47827110</v>
      </c>
      <c r="AG493" s="15"/>
      <c r="AH493" s="2">
        <f>K493+SUM(O493:AC493)</f>
        <v>0</v>
      </c>
      <c r="AI493" s="2">
        <f>K493+SUM(AF493:AG493)</f>
        <v>0</v>
      </c>
    </row>
    <row r="494" spans="1:35" x14ac:dyDescent="0.2">
      <c r="A494" s="11" t="s">
        <v>61</v>
      </c>
      <c r="B494" s="22">
        <v>45859</v>
      </c>
      <c r="H494" s="11" t="s">
        <v>57</v>
      </c>
      <c r="I494" s="11" t="s">
        <v>391</v>
      </c>
      <c r="K494" s="13">
        <v>-6805749</v>
      </c>
      <c r="L494" s="12">
        <v>72025</v>
      </c>
      <c r="M494" s="11" t="str">
        <f>LEFT(I494,(LEN(LEFT(I494,FIND(";",I494)))-8))</f>
        <v>VNOther</v>
      </c>
      <c r="N494" s="11"/>
      <c r="O494" s="15">
        <f>-$K494*IFERROR(INDEX('[1]salary allocation'!$E$6:$J$22,MATCH($H494,'[1]salary allocation'!$D$6:$D$22,0),MATCH(O$3,'[1]salary allocation'!$E$3:$J$3,0)),0)</f>
        <v>0</v>
      </c>
      <c r="P494" s="15">
        <f>-$K494*IFERROR(INDEX('[1]salary allocation'!$E$6:$J$22,MATCH($H494,'[1]salary allocation'!$D$6:$D$22,0),MATCH(P$3,'[1]salary allocation'!$E$3:$J$3,0)),0)</f>
        <v>3402874.5</v>
      </c>
      <c r="Q494" s="15">
        <f>-$K494*IFERROR(INDEX('[1]salary allocation'!$E$6:$J$22,MATCH($H494,'[1]salary allocation'!$D$6:$D$22,0),MATCH(Q$3,'[1]salary allocation'!$E$3:$J$3,0)),0)</f>
        <v>0</v>
      </c>
      <c r="R494" s="15">
        <f>-$K494*IFERROR(INDEX('[1]salary allocation'!$E$6:$J$22,MATCH($H494,'[1]salary allocation'!$D$6:$D$22,0),MATCH(R$3,'[1]salary allocation'!$E$3:$J$3,0)),0)</f>
        <v>0</v>
      </c>
      <c r="S494" s="15">
        <f>-$K494*IFERROR(INDEX('[1]salary allocation'!$E$6:$J$22,MATCH($H494,'[1]salary allocation'!$D$6:$D$22,0),MATCH(S$3,'[1]salary allocation'!$E$3:$J$3,0)),0)</f>
        <v>680574.9</v>
      </c>
      <c r="T494" s="15">
        <f>-$K494*IFERROR(INDEX('[1]salary allocation'!$E$6:$J$22,MATCH($H494,'[1]salary allocation'!$D$6:$D$22,0),MATCH(T$3,'[1]salary allocation'!$E$3:$J$3,0)),0)</f>
        <v>680574.9</v>
      </c>
      <c r="U494" s="15">
        <f>-$K494*IFERROR(INDEX('[1]salary allocation'!$E$6:$J$22,MATCH($H494,'[1]salary allocation'!$D$6:$D$22,0),MATCH(U$3,'[1]salary allocation'!$E$3:$J$3,0)),0)</f>
        <v>680574.9</v>
      </c>
      <c r="V494" s="15">
        <f>-$K494*IFERROR(INDEX('[1]salary allocation'!$E$6:$J$22,MATCH($H494,'[1]salary allocation'!$D$6:$D$22,0),MATCH(V$3,'[1]salary allocation'!$E$3:$J$3,0)),0)</f>
        <v>0</v>
      </c>
      <c r="W494" s="15">
        <f>-$K494*IFERROR(INDEX('[1]salary allocation'!$E$6:$J$22,MATCH($H494,'[1]salary allocation'!$D$6:$D$22,0),MATCH(W$3,'[1]salary allocation'!$E$3:$J$3,0)),0)</f>
        <v>1361149.8</v>
      </c>
      <c r="X494" s="15">
        <f>-$K494*IFERROR(INDEX('[1]salary allocation'!$E$6:$J$22,MATCH($H494,'[1]salary allocation'!$D$6:$D$22,0),MATCH(X$3,'[1]salary allocation'!$E$3:$J$3,0)),0)</f>
        <v>0</v>
      </c>
      <c r="Y494" s="15">
        <f>-$K494*IFERROR(INDEX('[1]salary allocation'!$E$6:$J$22,MATCH($H494,'[1]salary allocation'!$D$6:$D$22,0),MATCH(Y$3,'[1]salary allocation'!$E$3:$J$3,0)),0)</f>
        <v>0</v>
      </c>
      <c r="Z494" s="15">
        <f>-$K494*IFERROR(INDEX('[1]salary allocation'!$E$6:$J$22,MATCH($H494,'[1]salary allocation'!$D$6:$D$22,0),MATCH(Z$3,'[1]salary allocation'!$E$3:$J$3,0)),0)</f>
        <v>0</v>
      </c>
      <c r="AA494" s="15">
        <f>-$K494*IFERROR(INDEX('[1]salary allocation'!$E$6:$J$22,MATCH($H494,'[1]salary allocation'!$D$6:$D$22,0),MATCH(AA$3,'[1]salary allocation'!$E$3:$J$3,0)),0)</f>
        <v>0</v>
      </c>
      <c r="AB494" s="15">
        <f>-$K494*IFERROR(INDEX('[1]salary allocation'!$E$6:$J$22,MATCH($H494,'[1]salary allocation'!$D$6:$D$22,0),MATCH(AB$3,'[1]salary allocation'!$E$3:$J$3,0)),0)</f>
        <v>0</v>
      </c>
      <c r="AC494" s="18">
        <f>-$K494*IFERROR(INDEX('[1]salary allocation'!$E$6:$J$22,MATCH($H494,'[1]salary allocation'!$D$6:$D$22,0),MATCH(AC$3,'[1]salary allocation'!$E$3:$J$3,0)),0)</f>
        <v>0</v>
      </c>
      <c r="AD494" s="17"/>
      <c r="AE494" s="16"/>
      <c r="AF494" s="15">
        <f>-$K494</f>
        <v>6805749</v>
      </c>
      <c r="AG494" s="15"/>
      <c r="AH494" s="2">
        <f>K494+SUM(O494:AC494)</f>
        <v>0</v>
      </c>
      <c r="AI494" s="2">
        <f>K494+SUM(AF494:AG494)</f>
        <v>0</v>
      </c>
    </row>
    <row r="495" spans="1:35" x14ac:dyDescent="0.2">
      <c r="A495" s="11" t="s">
        <v>61</v>
      </c>
      <c r="B495" s="22">
        <v>45859</v>
      </c>
      <c r="H495" s="11" t="s">
        <v>55</v>
      </c>
      <c r="I495" s="11" t="s">
        <v>390</v>
      </c>
      <c r="K495" s="13">
        <v>-8664686</v>
      </c>
      <c r="L495" s="12">
        <v>72025</v>
      </c>
      <c r="M495" s="11" t="str">
        <f>LEFT(I495,(LEN(LEFT(I495,FIND(";",I495)))-8))</f>
        <v>VNHBC</v>
      </c>
      <c r="N495" s="11"/>
      <c r="O495" s="15">
        <f>-$K495*IFERROR(INDEX('[1]salary allocation'!$E$6:$J$22,MATCH($H495,'[1]salary allocation'!$D$6:$D$22,0),MATCH(O$3,'[1]salary allocation'!$E$3:$J$3,0)),0)</f>
        <v>0</v>
      </c>
      <c r="P495" s="15">
        <f>-$K495*IFERROR(INDEX('[1]salary allocation'!$E$6:$J$22,MATCH($H495,'[1]salary allocation'!$D$6:$D$22,0),MATCH(P$3,'[1]salary allocation'!$E$3:$J$3,0)),0)</f>
        <v>0</v>
      </c>
      <c r="Q495" s="15">
        <f>-$K495*IFERROR(INDEX('[1]salary allocation'!$E$6:$J$22,MATCH($H495,'[1]salary allocation'!$D$6:$D$22,0),MATCH(Q$3,'[1]salary allocation'!$E$3:$J$3,0)),0)</f>
        <v>0</v>
      </c>
      <c r="R495" s="15">
        <f>-$K495*IFERROR(INDEX('[1]salary allocation'!$E$6:$J$22,MATCH($H495,'[1]salary allocation'!$D$6:$D$22,0),MATCH(R$3,'[1]salary allocation'!$E$3:$J$3,0)),0)</f>
        <v>0</v>
      </c>
      <c r="S495" s="15">
        <f>-$K495*IFERROR(INDEX('[1]salary allocation'!$E$6:$J$22,MATCH($H495,'[1]salary allocation'!$D$6:$D$22,0),MATCH(S$3,'[1]salary allocation'!$E$3:$J$3,0)),0)</f>
        <v>1732937.2000000002</v>
      </c>
      <c r="T495" s="15">
        <f>-$K495*IFERROR(INDEX('[1]salary allocation'!$E$6:$J$22,MATCH($H495,'[1]salary allocation'!$D$6:$D$22,0),MATCH(T$3,'[1]salary allocation'!$E$3:$J$3,0)),0)</f>
        <v>1732937.2000000002</v>
      </c>
      <c r="U495" s="15">
        <f>-$K495*IFERROR(INDEX('[1]salary allocation'!$E$6:$J$22,MATCH($H495,'[1]salary allocation'!$D$6:$D$22,0),MATCH(U$3,'[1]salary allocation'!$E$3:$J$3,0)),0)</f>
        <v>1732937.2000000002</v>
      </c>
      <c r="V495" s="15">
        <f>-$K495*IFERROR(INDEX('[1]salary allocation'!$E$6:$J$22,MATCH($H495,'[1]salary allocation'!$D$6:$D$22,0),MATCH(V$3,'[1]salary allocation'!$E$3:$J$3,0)),0)</f>
        <v>0</v>
      </c>
      <c r="W495" s="15">
        <f>-$K495*IFERROR(INDEX('[1]salary allocation'!$E$6:$J$22,MATCH($H495,'[1]salary allocation'!$D$6:$D$22,0),MATCH(W$3,'[1]salary allocation'!$E$3:$J$3,0)),0)</f>
        <v>3465874.4000000004</v>
      </c>
      <c r="X495" s="15">
        <f>-$K495*IFERROR(INDEX('[1]salary allocation'!$E$6:$J$22,MATCH($H495,'[1]salary allocation'!$D$6:$D$22,0),MATCH(X$3,'[1]salary allocation'!$E$3:$J$3,0)),0)</f>
        <v>0</v>
      </c>
      <c r="Y495" s="15">
        <f>-$K495*IFERROR(INDEX('[1]salary allocation'!$E$6:$J$22,MATCH($H495,'[1]salary allocation'!$D$6:$D$22,0),MATCH(Y$3,'[1]salary allocation'!$E$3:$J$3,0)),0)</f>
        <v>0</v>
      </c>
      <c r="Z495" s="15">
        <f>-$K495*IFERROR(INDEX('[1]salary allocation'!$E$6:$J$22,MATCH($H495,'[1]salary allocation'!$D$6:$D$22,0),MATCH(Z$3,'[1]salary allocation'!$E$3:$J$3,0)),0)</f>
        <v>0</v>
      </c>
      <c r="AA495" s="15">
        <f>-$K495*IFERROR(INDEX('[1]salary allocation'!$E$6:$J$22,MATCH($H495,'[1]salary allocation'!$D$6:$D$22,0),MATCH(AA$3,'[1]salary allocation'!$E$3:$J$3,0)),0)</f>
        <v>0</v>
      </c>
      <c r="AB495" s="15">
        <f>-$K495*IFERROR(INDEX('[1]salary allocation'!$E$6:$J$22,MATCH($H495,'[1]salary allocation'!$D$6:$D$22,0),MATCH(AB$3,'[1]salary allocation'!$E$3:$J$3,0)),0)</f>
        <v>0</v>
      </c>
      <c r="AC495" s="18">
        <f>-$K495*IFERROR(INDEX('[1]salary allocation'!$E$6:$J$22,MATCH($H495,'[1]salary allocation'!$D$6:$D$22,0),MATCH(AC$3,'[1]salary allocation'!$E$3:$J$3,0)),0)</f>
        <v>0</v>
      </c>
      <c r="AD495" s="17"/>
      <c r="AE495" s="16"/>
      <c r="AF495" s="15"/>
      <c r="AG495" s="15">
        <f>-$K495</f>
        <v>8664686</v>
      </c>
      <c r="AH495" s="2">
        <f>K495+SUM(O495:AC495)</f>
        <v>0</v>
      </c>
      <c r="AI495" s="2">
        <f>K495+SUM(AF495:AG495)</f>
        <v>0</v>
      </c>
    </row>
    <row r="496" spans="1:35" x14ac:dyDescent="0.2">
      <c r="A496" s="11" t="s">
        <v>61</v>
      </c>
      <c r="B496" s="22">
        <v>45859</v>
      </c>
      <c r="H496" s="11" t="s">
        <v>53</v>
      </c>
      <c r="I496" s="11" t="s">
        <v>389</v>
      </c>
      <c r="K496" s="13">
        <v>-5211451</v>
      </c>
      <c r="L496" s="12">
        <v>72025</v>
      </c>
      <c r="M496" s="11" t="str">
        <f>LEFT(I496,(LEN(LEFT(I496,FIND(";",I496)))-8))</f>
        <v>VNOther</v>
      </c>
      <c r="N496" s="11"/>
      <c r="O496" s="15">
        <f>-$K496*IFERROR(INDEX('[1]salary allocation'!$E$6:$J$22,MATCH($H496,'[1]salary allocation'!$D$6:$D$22,0),MATCH(O$3,'[1]salary allocation'!$E$3:$J$3,0)),0)</f>
        <v>0</v>
      </c>
      <c r="P496" s="15">
        <f>-$K496*IFERROR(INDEX('[1]salary allocation'!$E$6:$J$22,MATCH($H496,'[1]salary allocation'!$D$6:$D$22,0),MATCH(P$3,'[1]salary allocation'!$E$3:$J$3,0)),0)</f>
        <v>781717.65</v>
      </c>
      <c r="Q496" s="15">
        <f>-$K496*IFERROR(INDEX('[1]salary allocation'!$E$6:$J$22,MATCH($H496,'[1]salary allocation'!$D$6:$D$22,0),MATCH(Q$3,'[1]salary allocation'!$E$3:$J$3,0)),0)</f>
        <v>0</v>
      </c>
      <c r="R496" s="15">
        <f>-$K496*IFERROR(INDEX('[1]salary allocation'!$E$6:$J$22,MATCH($H496,'[1]salary allocation'!$D$6:$D$22,0),MATCH(R$3,'[1]salary allocation'!$E$3:$J$3,0)),0)</f>
        <v>0</v>
      </c>
      <c r="S496" s="15">
        <f>-$K496*IFERROR(INDEX('[1]salary allocation'!$E$6:$J$22,MATCH($H496,'[1]salary allocation'!$D$6:$D$22,0),MATCH(S$3,'[1]salary allocation'!$E$3:$J$3,0)),0)</f>
        <v>885946.66999999993</v>
      </c>
      <c r="T496" s="15">
        <f>-$K496*IFERROR(INDEX('[1]salary allocation'!$E$6:$J$22,MATCH($H496,'[1]salary allocation'!$D$6:$D$22,0),MATCH(T$3,'[1]salary allocation'!$E$3:$J$3,0)),0)</f>
        <v>885946.66999999993</v>
      </c>
      <c r="U496" s="15">
        <f>-$K496*IFERROR(INDEX('[1]salary allocation'!$E$6:$J$22,MATCH($H496,'[1]salary allocation'!$D$6:$D$22,0),MATCH(U$3,'[1]salary allocation'!$E$3:$J$3,0)),0)</f>
        <v>885946.66999999993</v>
      </c>
      <c r="V496" s="15">
        <f>-$K496*IFERROR(INDEX('[1]salary allocation'!$E$6:$J$22,MATCH($H496,'[1]salary allocation'!$D$6:$D$22,0),MATCH(V$3,'[1]salary allocation'!$E$3:$J$3,0)),0)</f>
        <v>0</v>
      </c>
      <c r="W496" s="15">
        <f>-$K496*IFERROR(INDEX('[1]salary allocation'!$E$6:$J$22,MATCH($H496,'[1]salary allocation'!$D$6:$D$22,0),MATCH(W$3,'[1]salary allocation'!$E$3:$J$3,0)),0)</f>
        <v>1771893.3399999999</v>
      </c>
      <c r="X496" s="15">
        <f>-$K496*IFERROR(INDEX('[1]salary allocation'!$E$6:$J$22,MATCH($H496,'[1]salary allocation'!$D$6:$D$22,0),MATCH(X$3,'[1]salary allocation'!$E$3:$J$3,0)),0)</f>
        <v>0</v>
      </c>
      <c r="Y496" s="15">
        <f>-$K496*IFERROR(INDEX('[1]salary allocation'!$E$6:$J$22,MATCH($H496,'[1]salary allocation'!$D$6:$D$22,0),MATCH(Y$3,'[1]salary allocation'!$E$3:$J$3,0)),0)</f>
        <v>0</v>
      </c>
      <c r="Z496" s="15">
        <f>-$K496*IFERROR(INDEX('[1]salary allocation'!$E$6:$J$22,MATCH($H496,'[1]salary allocation'!$D$6:$D$22,0),MATCH(Z$3,'[1]salary allocation'!$E$3:$J$3,0)),0)</f>
        <v>0</v>
      </c>
      <c r="AA496" s="15">
        <f>-$K496*IFERROR(INDEX('[1]salary allocation'!$E$6:$J$22,MATCH($H496,'[1]salary allocation'!$D$6:$D$22,0),MATCH(AA$3,'[1]salary allocation'!$E$3:$J$3,0)),0)</f>
        <v>0</v>
      </c>
      <c r="AB496" s="15">
        <f>-$K496*IFERROR(INDEX('[1]salary allocation'!$E$6:$J$22,MATCH($H496,'[1]salary allocation'!$D$6:$D$22,0),MATCH(AB$3,'[1]salary allocation'!$E$3:$J$3,0)),0)</f>
        <v>0</v>
      </c>
      <c r="AC496" s="18">
        <f>-$K496*IFERROR(INDEX('[1]salary allocation'!$E$6:$J$22,MATCH($H496,'[1]salary allocation'!$D$6:$D$22,0),MATCH(AC$3,'[1]salary allocation'!$E$3:$J$3,0)),0)</f>
        <v>0</v>
      </c>
      <c r="AD496" s="17"/>
      <c r="AE496" s="16"/>
      <c r="AF496" s="15">
        <f>-$K496</f>
        <v>5211451</v>
      </c>
      <c r="AG496" s="15"/>
      <c r="AH496" s="2">
        <f>K496+SUM(O496:AC496)</f>
        <v>0</v>
      </c>
      <c r="AI496" s="2">
        <f>K496+SUM(AF496:AG496)</f>
        <v>0</v>
      </c>
    </row>
    <row r="497" spans="1:35" x14ac:dyDescent="0.2">
      <c r="A497" s="11" t="s">
        <v>61</v>
      </c>
      <c r="B497" s="22">
        <v>45859</v>
      </c>
      <c r="H497" s="11" t="s">
        <v>51</v>
      </c>
      <c r="I497" s="11" t="s">
        <v>388</v>
      </c>
      <c r="K497" s="13">
        <v>-2311552</v>
      </c>
      <c r="L497" s="12">
        <v>72025</v>
      </c>
      <c r="M497" s="11" t="str">
        <f>LEFT(I497,(LEN(LEFT(I497,FIND(";",I497)))-8))</f>
        <v>VNOther</v>
      </c>
      <c r="N497" s="11"/>
      <c r="O497" s="15">
        <f>-$K497*IFERROR(INDEX('[1]salary allocation'!$E$6:$J$22,MATCH($H497,'[1]salary allocation'!$D$6:$D$22,0),MATCH(O$3,'[1]salary allocation'!$E$3:$J$3,0)),0)</f>
        <v>0</v>
      </c>
      <c r="P497" s="15">
        <f>-$K497*IFERROR(INDEX('[1]salary allocation'!$E$6:$J$22,MATCH($H497,'[1]salary allocation'!$D$6:$D$22,0),MATCH(P$3,'[1]salary allocation'!$E$3:$J$3,0)),0)</f>
        <v>1155776</v>
      </c>
      <c r="Q497" s="15">
        <f>-$K497*IFERROR(INDEX('[1]salary allocation'!$E$6:$J$22,MATCH($H497,'[1]salary allocation'!$D$6:$D$22,0),MATCH(Q$3,'[1]salary allocation'!$E$3:$J$3,0)),0)</f>
        <v>0</v>
      </c>
      <c r="R497" s="15">
        <f>-$K497*IFERROR(INDEX('[1]salary allocation'!$E$6:$J$22,MATCH($H497,'[1]salary allocation'!$D$6:$D$22,0),MATCH(R$3,'[1]salary allocation'!$E$3:$J$3,0)),0)</f>
        <v>0</v>
      </c>
      <c r="S497" s="15">
        <f>-$K497*IFERROR(INDEX('[1]salary allocation'!$E$6:$J$22,MATCH($H497,'[1]salary allocation'!$D$6:$D$22,0),MATCH(S$3,'[1]salary allocation'!$E$3:$J$3,0)),0)</f>
        <v>231155.20000000001</v>
      </c>
      <c r="T497" s="15">
        <f>-$K497*IFERROR(INDEX('[1]salary allocation'!$E$6:$J$22,MATCH($H497,'[1]salary allocation'!$D$6:$D$22,0),MATCH(T$3,'[1]salary allocation'!$E$3:$J$3,0)),0)</f>
        <v>231155.20000000001</v>
      </c>
      <c r="U497" s="15">
        <f>-$K497*IFERROR(INDEX('[1]salary allocation'!$E$6:$J$22,MATCH($H497,'[1]salary allocation'!$D$6:$D$22,0),MATCH(U$3,'[1]salary allocation'!$E$3:$J$3,0)),0)</f>
        <v>231155.20000000001</v>
      </c>
      <c r="V497" s="15">
        <f>-$K497*IFERROR(INDEX('[1]salary allocation'!$E$6:$J$22,MATCH($H497,'[1]salary allocation'!$D$6:$D$22,0),MATCH(V$3,'[1]salary allocation'!$E$3:$J$3,0)),0)</f>
        <v>0</v>
      </c>
      <c r="W497" s="15">
        <f>-$K497*IFERROR(INDEX('[1]salary allocation'!$E$6:$J$22,MATCH($H497,'[1]salary allocation'!$D$6:$D$22,0),MATCH(W$3,'[1]salary allocation'!$E$3:$J$3,0)),0)</f>
        <v>462310.40000000002</v>
      </c>
      <c r="X497" s="15">
        <f>-$K497*IFERROR(INDEX('[1]salary allocation'!$E$6:$J$22,MATCH($H497,'[1]salary allocation'!$D$6:$D$22,0),MATCH(X$3,'[1]salary allocation'!$E$3:$J$3,0)),0)</f>
        <v>0</v>
      </c>
      <c r="Y497" s="15">
        <f>-$K497*IFERROR(INDEX('[1]salary allocation'!$E$6:$J$22,MATCH($H497,'[1]salary allocation'!$D$6:$D$22,0),MATCH(Y$3,'[1]salary allocation'!$E$3:$J$3,0)),0)</f>
        <v>0</v>
      </c>
      <c r="Z497" s="15">
        <f>-$K497*IFERROR(INDEX('[1]salary allocation'!$E$6:$J$22,MATCH($H497,'[1]salary allocation'!$D$6:$D$22,0),MATCH(Z$3,'[1]salary allocation'!$E$3:$J$3,0)),0)</f>
        <v>0</v>
      </c>
      <c r="AA497" s="15">
        <f>-$K497*IFERROR(INDEX('[1]salary allocation'!$E$6:$J$22,MATCH($H497,'[1]salary allocation'!$D$6:$D$22,0),MATCH(AA$3,'[1]salary allocation'!$E$3:$J$3,0)),0)</f>
        <v>0</v>
      </c>
      <c r="AB497" s="15">
        <f>-$K497*IFERROR(INDEX('[1]salary allocation'!$E$6:$J$22,MATCH($H497,'[1]salary allocation'!$D$6:$D$22,0),MATCH(AB$3,'[1]salary allocation'!$E$3:$J$3,0)),0)</f>
        <v>0</v>
      </c>
      <c r="AC497" s="18">
        <f>-$K497*IFERROR(INDEX('[1]salary allocation'!$E$6:$J$22,MATCH($H497,'[1]salary allocation'!$D$6:$D$22,0),MATCH(AC$3,'[1]salary allocation'!$E$3:$J$3,0)),0)</f>
        <v>0</v>
      </c>
      <c r="AD497" s="17"/>
      <c r="AE497" s="16"/>
      <c r="AF497" s="15">
        <f>-$K497</f>
        <v>2311552</v>
      </c>
      <c r="AG497" s="15"/>
      <c r="AH497" s="2">
        <f>K497+SUM(O497:AC497)</f>
        <v>0</v>
      </c>
      <c r="AI497" s="2">
        <f>K497+SUM(AF497:AG497)</f>
        <v>0</v>
      </c>
    </row>
    <row r="498" spans="1:35" x14ac:dyDescent="0.2">
      <c r="A498" s="11" t="s">
        <v>61</v>
      </c>
      <c r="B498" s="22">
        <v>45859</v>
      </c>
      <c r="H498" s="11" t="s">
        <v>49</v>
      </c>
      <c r="I498" s="11" t="s">
        <v>387</v>
      </c>
      <c r="K498" s="13">
        <v>-1376253</v>
      </c>
      <c r="L498" s="12">
        <v>72025</v>
      </c>
      <c r="M498" s="11" t="str">
        <f>LEFT(I498,(LEN(LEFT(I498,FIND(";",I498)))-8))</f>
        <v>VNMOET</v>
      </c>
      <c r="N498" s="11"/>
      <c r="O498" s="15">
        <f>-$K498*IFERROR(INDEX('[1]salary allocation'!$E$6:$J$22,MATCH($H498,'[1]salary allocation'!$D$6:$D$22,0),MATCH(O$3,'[1]salary allocation'!$E$3:$J$3,0)),0)</f>
        <v>0</v>
      </c>
      <c r="P498" s="15">
        <f>-$K498*IFERROR(INDEX('[1]salary allocation'!$E$6:$J$22,MATCH($H498,'[1]salary allocation'!$D$6:$D$22,0),MATCH(P$3,'[1]salary allocation'!$E$3:$J$3,0)),0)</f>
        <v>0</v>
      </c>
      <c r="Q498" s="15">
        <f>-$K498*IFERROR(INDEX('[1]salary allocation'!$E$6:$J$22,MATCH($H498,'[1]salary allocation'!$D$6:$D$22,0),MATCH(Q$3,'[1]salary allocation'!$E$3:$J$3,0)),0)</f>
        <v>0</v>
      </c>
      <c r="R498" s="15">
        <f>-$K498*IFERROR(INDEX('[1]salary allocation'!$E$6:$J$22,MATCH($H498,'[1]salary allocation'!$D$6:$D$22,0),MATCH(R$3,'[1]salary allocation'!$E$3:$J$3,0)),0)</f>
        <v>0</v>
      </c>
      <c r="S498" s="15">
        <f>-$K498*IFERROR(INDEX('[1]salary allocation'!$E$6:$J$22,MATCH($H498,'[1]salary allocation'!$D$6:$D$22,0),MATCH(S$3,'[1]salary allocation'!$E$3:$J$3,0)),0)</f>
        <v>275250.60000000003</v>
      </c>
      <c r="T498" s="15">
        <f>-$K498*IFERROR(INDEX('[1]salary allocation'!$E$6:$J$22,MATCH($H498,'[1]salary allocation'!$D$6:$D$22,0),MATCH(T$3,'[1]salary allocation'!$E$3:$J$3,0)),0)</f>
        <v>275250.60000000003</v>
      </c>
      <c r="U498" s="15">
        <f>-$K498*IFERROR(INDEX('[1]salary allocation'!$E$6:$J$22,MATCH($H498,'[1]salary allocation'!$D$6:$D$22,0),MATCH(U$3,'[1]salary allocation'!$E$3:$J$3,0)),0)</f>
        <v>275250.60000000003</v>
      </c>
      <c r="V498" s="15">
        <f>-$K498*IFERROR(INDEX('[1]salary allocation'!$E$6:$J$22,MATCH($H498,'[1]salary allocation'!$D$6:$D$22,0),MATCH(V$3,'[1]salary allocation'!$E$3:$J$3,0)),0)</f>
        <v>0</v>
      </c>
      <c r="W498" s="15">
        <f>-$K498*IFERROR(INDEX('[1]salary allocation'!$E$6:$J$22,MATCH($H498,'[1]salary allocation'!$D$6:$D$22,0),MATCH(W$3,'[1]salary allocation'!$E$3:$J$3,0)),0)</f>
        <v>550501.20000000007</v>
      </c>
      <c r="X498" s="15">
        <f>-$K498*IFERROR(INDEX('[1]salary allocation'!$E$6:$J$22,MATCH($H498,'[1]salary allocation'!$D$6:$D$22,0),MATCH(X$3,'[1]salary allocation'!$E$3:$J$3,0)),0)</f>
        <v>0</v>
      </c>
      <c r="Y498" s="15">
        <f>-$K498*IFERROR(INDEX('[1]salary allocation'!$E$6:$J$22,MATCH($H498,'[1]salary allocation'!$D$6:$D$22,0),MATCH(Y$3,'[1]salary allocation'!$E$3:$J$3,0)),0)</f>
        <v>0</v>
      </c>
      <c r="Z498" s="15">
        <f>-$K498*IFERROR(INDEX('[1]salary allocation'!$E$6:$J$22,MATCH($H498,'[1]salary allocation'!$D$6:$D$22,0),MATCH(Z$3,'[1]salary allocation'!$E$3:$J$3,0)),0)</f>
        <v>0</v>
      </c>
      <c r="AA498" s="15">
        <f>-$K498*IFERROR(INDEX('[1]salary allocation'!$E$6:$J$22,MATCH($H498,'[1]salary allocation'!$D$6:$D$22,0),MATCH(AA$3,'[1]salary allocation'!$E$3:$J$3,0)),0)</f>
        <v>0</v>
      </c>
      <c r="AB498" s="15">
        <f>-$K498*IFERROR(INDEX('[1]salary allocation'!$E$6:$J$22,MATCH($H498,'[1]salary allocation'!$D$6:$D$22,0),MATCH(AB$3,'[1]salary allocation'!$E$3:$J$3,0)),0)</f>
        <v>0</v>
      </c>
      <c r="AC498" s="18">
        <f>-$K498*IFERROR(INDEX('[1]salary allocation'!$E$6:$J$22,MATCH($H498,'[1]salary allocation'!$D$6:$D$22,0),MATCH(AC$3,'[1]salary allocation'!$E$3:$J$3,0)),0)</f>
        <v>0</v>
      </c>
      <c r="AD498" s="17"/>
      <c r="AE498" s="16"/>
      <c r="AF498" s="15"/>
      <c r="AG498" s="15">
        <f>-K498</f>
        <v>1376253</v>
      </c>
      <c r="AH498" s="2">
        <f>K498+SUM(O498:AC498)</f>
        <v>0</v>
      </c>
      <c r="AI498" s="2">
        <f>K498+SUM(AF498:AG498)</f>
        <v>0</v>
      </c>
    </row>
    <row r="499" spans="1:35" x14ac:dyDescent="0.2">
      <c r="A499" s="11" t="s">
        <v>61</v>
      </c>
      <c r="B499" s="22">
        <v>45859</v>
      </c>
      <c r="H499" s="11" t="s">
        <v>47</v>
      </c>
      <c r="I499" s="11" t="s">
        <v>386</v>
      </c>
      <c r="K499" s="41">
        <v>-4464196</v>
      </c>
      <c r="L499" s="12">
        <v>72025</v>
      </c>
      <c r="M499" s="11" t="str">
        <f>LEFT(I499,(LEN(LEFT(I499,FIND(";",I499)))-8))</f>
        <v>VNHBC</v>
      </c>
      <c r="N499" s="11"/>
      <c r="O499" s="15">
        <f>-$K499*IFERROR(INDEX('[1]salary allocation'!$E$6:$J$22,MATCH($H499,'[1]salary allocation'!$D$6:$D$22,0),MATCH(O$3,'[1]salary allocation'!$E$3:$J$3,0)),0)</f>
        <v>0</v>
      </c>
      <c r="P499" s="15">
        <f>-$K499*IFERROR(INDEX('[1]salary allocation'!$E$6:$J$22,MATCH($H499,'[1]salary allocation'!$D$6:$D$22,0),MATCH(P$3,'[1]salary allocation'!$E$3:$J$3,0)),0)</f>
        <v>0</v>
      </c>
      <c r="Q499" s="15">
        <f>-$K499*IFERROR(INDEX('[1]salary allocation'!$E$6:$J$22,MATCH($H499,'[1]salary allocation'!$D$6:$D$22,0),MATCH(Q$3,'[1]salary allocation'!$E$3:$J$3,0)),0)</f>
        <v>0</v>
      </c>
      <c r="R499" s="15">
        <f>-$K499*IFERROR(INDEX('[1]salary allocation'!$E$6:$J$22,MATCH($H499,'[1]salary allocation'!$D$6:$D$22,0),MATCH(R$3,'[1]salary allocation'!$E$3:$J$3,0)),0)</f>
        <v>0</v>
      </c>
      <c r="S499" s="15">
        <f>-$K499*IFERROR(INDEX('[1]salary allocation'!$E$6:$J$22,MATCH($H499,'[1]salary allocation'!$D$6:$D$22,0),MATCH(S$3,'[1]salary allocation'!$E$3:$J$3,0)),0)</f>
        <v>892839.20000000007</v>
      </c>
      <c r="T499" s="15">
        <f>-$K499*IFERROR(INDEX('[1]salary allocation'!$E$6:$J$22,MATCH($H499,'[1]salary allocation'!$D$6:$D$22,0),MATCH(T$3,'[1]salary allocation'!$E$3:$J$3,0)),0)</f>
        <v>892839.20000000007</v>
      </c>
      <c r="U499" s="15">
        <f>-$K499*IFERROR(INDEX('[1]salary allocation'!$E$6:$J$22,MATCH($H499,'[1]salary allocation'!$D$6:$D$22,0),MATCH(U$3,'[1]salary allocation'!$E$3:$J$3,0)),0)</f>
        <v>892839.20000000007</v>
      </c>
      <c r="V499" s="15">
        <f>-$K499*IFERROR(INDEX('[1]salary allocation'!$E$6:$J$22,MATCH($H499,'[1]salary allocation'!$D$6:$D$22,0),MATCH(V$3,'[1]salary allocation'!$E$3:$J$3,0)),0)</f>
        <v>0</v>
      </c>
      <c r="W499" s="15">
        <f>-$K499*IFERROR(INDEX('[1]salary allocation'!$E$6:$J$22,MATCH($H499,'[1]salary allocation'!$D$6:$D$22,0),MATCH(W$3,'[1]salary allocation'!$E$3:$J$3,0)),0)</f>
        <v>1785678.4000000001</v>
      </c>
      <c r="X499" s="15">
        <f>-$K499*IFERROR(INDEX('[1]salary allocation'!$E$6:$J$22,MATCH($H499,'[1]salary allocation'!$D$6:$D$22,0),MATCH(X$3,'[1]salary allocation'!$E$3:$J$3,0)),0)</f>
        <v>0</v>
      </c>
      <c r="Y499" s="15">
        <f>-$K499*IFERROR(INDEX('[1]salary allocation'!$E$6:$J$22,MATCH($H499,'[1]salary allocation'!$D$6:$D$22,0),MATCH(Y$3,'[1]salary allocation'!$E$3:$J$3,0)),0)</f>
        <v>0</v>
      </c>
      <c r="Z499" s="15">
        <f>-$K499*IFERROR(INDEX('[1]salary allocation'!$E$6:$J$22,MATCH($H499,'[1]salary allocation'!$D$6:$D$22,0),MATCH(Z$3,'[1]salary allocation'!$E$3:$J$3,0)),0)</f>
        <v>0</v>
      </c>
      <c r="AA499" s="15">
        <f>-$K499*IFERROR(INDEX('[1]salary allocation'!$E$6:$J$22,MATCH($H499,'[1]salary allocation'!$D$6:$D$22,0),MATCH(AA$3,'[1]salary allocation'!$E$3:$J$3,0)),0)</f>
        <v>0</v>
      </c>
      <c r="AB499" s="15">
        <f>-$K499*IFERROR(INDEX('[1]salary allocation'!$E$6:$J$22,MATCH($H499,'[1]salary allocation'!$D$6:$D$22,0),MATCH(AB$3,'[1]salary allocation'!$E$3:$J$3,0)),0)</f>
        <v>0</v>
      </c>
      <c r="AC499" s="18">
        <f>-$K499*IFERROR(INDEX('[1]salary allocation'!$E$6:$J$22,MATCH($H499,'[1]salary allocation'!$D$6:$D$22,0),MATCH(AC$3,'[1]salary allocation'!$E$3:$J$3,0)),0)</f>
        <v>0</v>
      </c>
      <c r="AD499" s="17"/>
      <c r="AE499" s="16"/>
      <c r="AF499" s="15">
        <f>-$K499</f>
        <v>4464196</v>
      </c>
      <c r="AG499" s="15"/>
      <c r="AH499" s="2">
        <f>K499+SUM(O499:AC499)</f>
        <v>0</v>
      </c>
      <c r="AI499" s="2">
        <f>K499+SUM(AF499:AG499)</f>
        <v>0</v>
      </c>
    </row>
    <row r="500" spans="1:35" x14ac:dyDescent="0.2">
      <c r="A500" s="11" t="s">
        <v>61</v>
      </c>
      <c r="B500" s="22">
        <v>45859</v>
      </c>
      <c r="H500" s="11" t="s">
        <v>173</v>
      </c>
      <c r="I500" s="11" t="s">
        <v>385</v>
      </c>
      <c r="K500" s="41">
        <f>J500*10%</f>
        <v>0</v>
      </c>
      <c r="L500" s="12">
        <v>72025</v>
      </c>
      <c r="M500" s="11" t="str">
        <f>LEFT(I500,(LEN(LEFT(I500,FIND(";",I500)))-8))</f>
        <v>VNELC</v>
      </c>
      <c r="N500" s="11"/>
      <c r="O500" s="15">
        <f>-$K500*IFERROR(INDEX('[1]salary allocation'!$E$6:$J$22,MATCH($H500,'[1]salary allocation'!$D$6:$D$22,0),MATCH(O$3,'[1]salary allocation'!$E$3:$J$3,0)),0)</f>
        <v>0</v>
      </c>
      <c r="P500" s="15">
        <f>-$K500*IFERROR(INDEX('[1]salary allocation'!$E$6:$J$22,MATCH($H500,'[1]salary allocation'!$D$6:$D$22,0),MATCH(P$3,'[1]salary allocation'!$E$3:$J$3,0)),0)</f>
        <v>0</v>
      </c>
      <c r="Q500" s="15">
        <f>-$K500*IFERROR(INDEX('[1]salary allocation'!$E$6:$J$22,MATCH($H500,'[1]salary allocation'!$D$6:$D$22,0),MATCH(Q$3,'[1]salary allocation'!$E$3:$J$3,0)),0)</f>
        <v>0</v>
      </c>
      <c r="R500" s="15">
        <f>-$K500*IFERROR(INDEX('[1]salary allocation'!$E$6:$J$22,MATCH($H500,'[1]salary allocation'!$D$6:$D$22,0),MATCH(R$3,'[1]salary allocation'!$E$3:$J$3,0)),0)</f>
        <v>0</v>
      </c>
      <c r="S500" s="15">
        <f>-$K500*IFERROR(INDEX('[1]salary allocation'!$E$6:$J$22,MATCH($H500,'[1]salary allocation'!$D$6:$D$22,0),MATCH(S$3,'[1]salary allocation'!$E$3:$J$3,0)),0)</f>
        <v>0</v>
      </c>
      <c r="T500" s="15">
        <f>-$K500*IFERROR(INDEX('[1]salary allocation'!$E$6:$J$22,MATCH($H500,'[1]salary allocation'!$D$6:$D$22,0),MATCH(T$3,'[1]salary allocation'!$E$3:$J$3,0)),0)</f>
        <v>0</v>
      </c>
      <c r="U500" s="15">
        <f>-$K500*IFERROR(INDEX('[1]salary allocation'!$E$6:$J$22,MATCH($H500,'[1]salary allocation'!$D$6:$D$22,0),MATCH(U$3,'[1]salary allocation'!$E$3:$J$3,0)),0)</f>
        <v>0</v>
      </c>
      <c r="V500" s="15">
        <f>-$K500*IFERROR(INDEX('[1]salary allocation'!$E$6:$J$22,MATCH($H500,'[1]salary allocation'!$D$6:$D$22,0),MATCH(V$3,'[1]salary allocation'!$E$3:$J$3,0)),0)</f>
        <v>0</v>
      </c>
      <c r="W500" s="15">
        <f>-$K500*IFERROR(INDEX('[1]salary allocation'!$E$6:$J$22,MATCH($H500,'[1]salary allocation'!$D$6:$D$22,0),MATCH(W$3,'[1]salary allocation'!$E$3:$J$3,0)),0)</f>
        <v>0</v>
      </c>
      <c r="X500" s="15">
        <f>-$K500*IFERROR(INDEX('[1]salary allocation'!$E$6:$J$22,MATCH($H500,'[1]salary allocation'!$D$6:$D$22,0),MATCH(X$3,'[1]salary allocation'!$E$3:$J$3,0)),0)</f>
        <v>0</v>
      </c>
      <c r="Y500" s="15">
        <f>-$K500*IFERROR(INDEX('[1]salary allocation'!$E$6:$J$22,MATCH($H500,'[1]salary allocation'!$D$6:$D$22,0),MATCH(Y$3,'[1]salary allocation'!$E$3:$J$3,0)),0)</f>
        <v>0</v>
      </c>
      <c r="Z500" s="15">
        <f>-$K500*IFERROR(INDEX('[1]salary allocation'!$E$6:$J$22,MATCH($H500,'[1]salary allocation'!$D$6:$D$22,0),MATCH(Z$3,'[1]salary allocation'!$E$3:$J$3,0)),0)</f>
        <v>0</v>
      </c>
      <c r="AA500" s="15">
        <f>-$K500*IFERROR(INDEX('[1]salary allocation'!$E$6:$J$22,MATCH($H500,'[1]salary allocation'!$D$6:$D$22,0),MATCH(AA$3,'[1]salary allocation'!$E$3:$J$3,0)),0)</f>
        <v>0</v>
      </c>
      <c r="AB500" s="15">
        <f>-$K500*IFERROR(INDEX('[1]salary allocation'!$E$6:$J$22,MATCH($H500,'[1]salary allocation'!$D$6:$D$22,0),MATCH(AB$3,'[1]salary allocation'!$E$3:$J$3,0)),0)</f>
        <v>0</v>
      </c>
      <c r="AC500" s="18">
        <f>-$K500*IFERROR(INDEX('[1]salary allocation'!$E$6:$J$22,MATCH($H500,'[1]salary allocation'!$D$6:$D$22,0),MATCH(AC$3,'[1]salary allocation'!$E$3:$J$3,0)),0)</f>
        <v>0</v>
      </c>
      <c r="AD500" s="17"/>
      <c r="AE500" s="16"/>
      <c r="AF500" s="15"/>
      <c r="AG500" s="15">
        <f>-$K500</f>
        <v>0</v>
      </c>
      <c r="AH500" s="2">
        <f>K500+SUM(O500:AC500)</f>
        <v>0</v>
      </c>
      <c r="AI500" s="2">
        <f>K500+SUM(AF500:AG500)</f>
        <v>0</v>
      </c>
    </row>
    <row r="501" spans="1:35" x14ac:dyDescent="0.2">
      <c r="A501" s="11" t="s">
        <v>61</v>
      </c>
      <c r="B501" s="22">
        <v>45859</v>
      </c>
      <c r="H501" s="11" t="s">
        <v>45</v>
      </c>
      <c r="I501" s="11" t="s">
        <v>384</v>
      </c>
      <c r="K501" s="13">
        <v>-137335</v>
      </c>
      <c r="L501" s="12">
        <v>72025</v>
      </c>
      <c r="M501" s="11" t="str">
        <f>LEFT(I501,(LEN(LEFT(I501,FIND(";",I501)))-8))</f>
        <v>VNHBC7</v>
      </c>
      <c r="N501" s="11"/>
      <c r="O501" s="15">
        <f>-$K501*IFERROR(INDEX('[1]salary allocation'!$E$6:$J$22,MATCH($H501,'[1]salary allocation'!$D$6:$D$22,0),MATCH(O$3,'[1]salary allocation'!$E$3:$J$3,0)),0)</f>
        <v>0</v>
      </c>
      <c r="P501" s="15">
        <f>-$K501*IFERROR(INDEX('[1]salary allocation'!$E$6:$J$22,MATCH($H501,'[1]salary allocation'!$D$6:$D$22,0),MATCH(P$3,'[1]salary allocation'!$E$3:$J$3,0)),0)</f>
        <v>0</v>
      </c>
      <c r="Q501" s="15">
        <f>-$K501*IFERROR(INDEX('[1]salary allocation'!$E$6:$J$22,MATCH($H501,'[1]salary allocation'!$D$6:$D$22,0),MATCH(Q$3,'[1]salary allocation'!$E$3:$J$3,0)),0)</f>
        <v>0</v>
      </c>
      <c r="R501" s="15">
        <f>-$K501*IFERROR(INDEX('[1]salary allocation'!$E$6:$J$22,MATCH($H501,'[1]salary allocation'!$D$6:$D$22,0),MATCH(R$3,'[1]salary allocation'!$E$3:$J$3,0)),0)</f>
        <v>0</v>
      </c>
      <c r="S501" s="15">
        <f>-$K501*IFERROR(INDEX('[1]salary allocation'!$E$6:$J$22,MATCH($H501,'[1]salary allocation'!$D$6:$D$22,0),MATCH(S$3,'[1]salary allocation'!$E$3:$J$3,0)),0)</f>
        <v>27467</v>
      </c>
      <c r="T501" s="15">
        <f>-$K501*IFERROR(INDEX('[1]salary allocation'!$E$6:$J$22,MATCH($H501,'[1]salary allocation'!$D$6:$D$22,0),MATCH(T$3,'[1]salary allocation'!$E$3:$J$3,0)),0)</f>
        <v>27467</v>
      </c>
      <c r="U501" s="15">
        <f>-$K501*IFERROR(INDEX('[1]salary allocation'!$E$6:$J$22,MATCH($H501,'[1]salary allocation'!$D$6:$D$22,0),MATCH(U$3,'[1]salary allocation'!$E$3:$J$3,0)),0)</f>
        <v>27467</v>
      </c>
      <c r="V501" s="15">
        <f>-$K501*IFERROR(INDEX('[1]salary allocation'!$E$6:$J$22,MATCH($H501,'[1]salary allocation'!$D$6:$D$22,0),MATCH(V$3,'[1]salary allocation'!$E$3:$J$3,0)),0)</f>
        <v>0</v>
      </c>
      <c r="W501" s="15">
        <f>-$K501*IFERROR(INDEX('[1]salary allocation'!$E$6:$J$22,MATCH($H501,'[1]salary allocation'!$D$6:$D$22,0),MATCH(W$3,'[1]salary allocation'!$E$3:$J$3,0)),0)</f>
        <v>54934</v>
      </c>
      <c r="X501" s="15">
        <f>-$K501*IFERROR(INDEX('[1]salary allocation'!$E$6:$J$22,MATCH($H501,'[1]salary allocation'!$D$6:$D$22,0),MATCH(X$3,'[1]salary allocation'!$E$3:$J$3,0)),0)</f>
        <v>0</v>
      </c>
      <c r="Y501" s="15">
        <f>-$K501*IFERROR(INDEX('[1]salary allocation'!$E$6:$J$22,MATCH($H501,'[1]salary allocation'!$D$6:$D$22,0),MATCH(Y$3,'[1]salary allocation'!$E$3:$J$3,0)),0)</f>
        <v>0</v>
      </c>
      <c r="Z501" s="15">
        <f>-$K501*IFERROR(INDEX('[1]salary allocation'!$E$6:$J$22,MATCH($H501,'[1]salary allocation'!$D$6:$D$22,0),MATCH(Z$3,'[1]salary allocation'!$E$3:$J$3,0)),0)</f>
        <v>0</v>
      </c>
      <c r="AA501" s="15">
        <f>-$K501*IFERROR(INDEX('[1]salary allocation'!$E$6:$J$22,MATCH($H501,'[1]salary allocation'!$D$6:$D$22,0),MATCH(AA$3,'[1]salary allocation'!$E$3:$J$3,0)),0)</f>
        <v>0</v>
      </c>
      <c r="AB501" s="15">
        <f>-$K501*IFERROR(INDEX('[1]salary allocation'!$E$6:$J$22,MATCH($H501,'[1]salary allocation'!$D$6:$D$22,0),MATCH(AB$3,'[1]salary allocation'!$E$3:$J$3,0)),0)</f>
        <v>0</v>
      </c>
      <c r="AC501" s="18">
        <f>-$K501*IFERROR(INDEX('[1]salary allocation'!$E$6:$J$22,MATCH($H501,'[1]salary allocation'!$D$6:$D$22,0),MATCH(AC$3,'[1]salary allocation'!$E$3:$J$3,0)),0)</f>
        <v>0</v>
      </c>
      <c r="AD501" s="17"/>
      <c r="AE501" s="16"/>
      <c r="AF501" s="15"/>
      <c r="AG501" s="15">
        <f>-K501</f>
        <v>137335</v>
      </c>
      <c r="AH501" s="2">
        <f>K501+SUM(O501:AC501)</f>
        <v>0</v>
      </c>
      <c r="AI501" s="2">
        <f>K501+SUM(AF501:AG501)</f>
        <v>0</v>
      </c>
    </row>
    <row r="502" spans="1:35" x14ac:dyDescent="0.2">
      <c r="A502" s="11" t="s">
        <v>61</v>
      </c>
      <c r="B502" s="22">
        <v>45859</v>
      </c>
      <c r="H502" s="11" t="s">
        <v>43</v>
      </c>
      <c r="I502" s="11" t="s">
        <v>383</v>
      </c>
      <c r="K502" s="13">
        <v>-5214162</v>
      </c>
      <c r="L502" s="12">
        <v>72025</v>
      </c>
      <c r="M502" s="11" t="str">
        <f>LEFT(I502,(LEN(LEFT(I502,FIND(";",I502)))-8))</f>
        <v>VNMOET</v>
      </c>
      <c r="N502" s="11"/>
      <c r="O502" s="15">
        <f>-$K502*IFERROR(INDEX('[1]salary allocation'!$E$6:$J$22,MATCH($H502,'[1]salary allocation'!$D$6:$D$22,0),MATCH(O$3,'[1]salary allocation'!$E$3:$J$3,0)),0)</f>
        <v>0</v>
      </c>
      <c r="P502" s="15">
        <f>-$K502*IFERROR(INDEX('[1]salary allocation'!$E$6:$J$22,MATCH($H502,'[1]salary allocation'!$D$6:$D$22,0),MATCH(P$3,'[1]salary allocation'!$E$3:$J$3,0)),0)</f>
        <v>0</v>
      </c>
      <c r="Q502" s="15">
        <f>-$K502*IFERROR(INDEX('[1]salary allocation'!$E$6:$J$22,MATCH($H502,'[1]salary allocation'!$D$6:$D$22,0),MATCH(Q$3,'[1]salary allocation'!$E$3:$J$3,0)),0)</f>
        <v>0</v>
      </c>
      <c r="R502" s="15">
        <f>-$K502*IFERROR(INDEX('[1]salary allocation'!$E$6:$J$22,MATCH($H502,'[1]salary allocation'!$D$6:$D$22,0),MATCH(R$3,'[1]salary allocation'!$E$3:$J$3,0)),0)</f>
        <v>0</v>
      </c>
      <c r="S502" s="15">
        <f>-$K502*IFERROR(INDEX('[1]salary allocation'!$E$6:$J$22,MATCH($H502,'[1]salary allocation'!$D$6:$D$22,0),MATCH(S$3,'[1]salary allocation'!$E$3:$J$3,0)),0)</f>
        <v>1042832.4</v>
      </c>
      <c r="T502" s="15">
        <f>-$K502*IFERROR(INDEX('[1]salary allocation'!$E$6:$J$22,MATCH($H502,'[1]salary allocation'!$D$6:$D$22,0),MATCH(T$3,'[1]salary allocation'!$E$3:$J$3,0)),0)</f>
        <v>1042832.4</v>
      </c>
      <c r="U502" s="15">
        <f>-$K502*IFERROR(INDEX('[1]salary allocation'!$E$6:$J$22,MATCH($H502,'[1]salary allocation'!$D$6:$D$22,0),MATCH(U$3,'[1]salary allocation'!$E$3:$J$3,0)),0)</f>
        <v>1042832.4</v>
      </c>
      <c r="V502" s="15">
        <f>-$K502*IFERROR(INDEX('[1]salary allocation'!$E$6:$J$22,MATCH($H502,'[1]salary allocation'!$D$6:$D$22,0),MATCH(V$3,'[1]salary allocation'!$E$3:$J$3,0)),0)</f>
        <v>0</v>
      </c>
      <c r="W502" s="15">
        <f>-$K502*IFERROR(INDEX('[1]salary allocation'!$E$6:$J$22,MATCH($H502,'[1]salary allocation'!$D$6:$D$22,0),MATCH(W$3,'[1]salary allocation'!$E$3:$J$3,0)),0)</f>
        <v>2085664.8</v>
      </c>
      <c r="X502" s="15">
        <f>-$K502*IFERROR(INDEX('[1]salary allocation'!$E$6:$J$22,MATCH($H502,'[1]salary allocation'!$D$6:$D$22,0),MATCH(X$3,'[1]salary allocation'!$E$3:$J$3,0)),0)</f>
        <v>0</v>
      </c>
      <c r="Y502" s="15">
        <f>-$K502*IFERROR(INDEX('[1]salary allocation'!$E$6:$J$22,MATCH($H502,'[1]salary allocation'!$D$6:$D$22,0),MATCH(Y$3,'[1]salary allocation'!$E$3:$J$3,0)),0)</f>
        <v>0</v>
      </c>
      <c r="Z502" s="15">
        <f>-$K502*IFERROR(INDEX('[1]salary allocation'!$E$6:$J$22,MATCH($H502,'[1]salary allocation'!$D$6:$D$22,0),MATCH(Z$3,'[1]salary allocation'!$E$3:$J$3,0)),0)</f>
        <v>0</v>
      </c>
      <c r="AA502" s="15">
        <f>-$K502*IFERROR(INDEX('[1]salary allocation'!$E$6:$J$22,MATCH($H502,'[1]salary allocation'!$D$6:$D$22,0),MATCH(AA$3,'[1]salary allocation'!$E$3:$J$3,0)),0)</f>
        <v>0</v>
      </c>
      <c r="AB502" s="15">
        <f>-$K502*IFERROR(INDEX('[1]salary allocation'!$E$6:$J$22,MATCH($H502,'[1]salary allocation'!$D$6:$D$22,0),MATCH(AB$3,'[1]salary allocation'!$E$3:$J$3,0)),0)</f>
        <v>0</v>
      </c>
      <c r="AC502" s="18">
        <f>-$K502*IFERROR(INDEX('[1]salary allocation'!$E$6:$J$22,MATCH($H502,'[1]salary allocation'!$D$6:$D$22,0),MATCH(AC$3,'[1]salary allocation'!$E$3:$J$3,0)),0)</f>
        <v>0</v>
      </c>
      <c r="AD502" s="17"/>
      <c r="AE502" s="16"/>
      <c r="AF502" s="15">
        <f>-$K502</f>
        <v>5214162</v>
      </c>
      <c r="AG502" s="15"/>
      <c r="AH502" s="2">
        <f>K502+SUM(O502:AC502)</f>
        <v>0</v>
      </c>
      <c r="AI502" s="2">
        <f>K502+SUM(AF502:AG502)</f>
        <v>0</v>
      </c>
    </row>
    <row r="503" spans="1:35" x14ac:dyDescent="0.2">
      <c r="A503" s="11" t="s">
        <v>61</v>
      </c>
      <c r="B503" s="22">
        <v>45859</v>
      </c>
      <c r="H503" s="11" t="s">
        <v>41</v>
      </c>
      <c r="I503" s="11" t="s">
        <v>382</v>
      </c>
      <c r="K503" s="13">
        <v>-4584303</v>
      </c>
      <c r="L503" s="12">
        <v>72025</v>
      </c>
      <c r="M503" s="11" t="str">
        <f>LEFT(I503,(LEN(LEFT(I503,FIND(";",I503)))-8))</f>
        <v>VNMOET</v>
      </c>
      <c r="N503" s="11"/>
      <c r="O503" s="15">
        <f>-$K503*IFERROR(INDEX('[1]salary allocation'!$E$6:$J$22,MATCH($H503,'[1]salary allocation'!$D$6:$D$22,0),MATCH(O$3,'[1]salary allocation'!$E$3:$J$3,0)),0)</f>
        <v>0</v>
      </c>
      <c r="P503" s="15">
        <f>-$K503*IFERROR(INDEX('[1]salary allocation'!$E$6:$J$22,MATCH($H503,'[1]salary allocation'!$D$6:$D$22,0),MATCH(P$3,'[1]salary allocation'!$E$3:$J$3,0)),0)</f>
        <v>0</v>
      </c>
      <c r="Q503" s="15">
        <f>-$K503*IFERROR(INDEX('[1]salary allocation'!$E$6:$J$22,MATCH($H503,'[1]salary allocation'!$D$6:$D$22,0),MATCH(Q$3,'[1]salary allocation'!$E$3:$J$3,0)),0)</f>
        <v>0</v>
      </c>
      <c r="R503" s="15">
        <f>-$K503*IFERROR(INDEX('[1]salary allocation'!$E$6:$J$22,MATCH($H503,'[1]salary allocation'!$D$6:$D$22,0),MATCH(R$3,'[1]salary allocation'!$E$3:$J$3,0)),0)</f>
        <v>0</v>
      </c>
      <c r="S503" s="15">
        <f>-$K503*IFERROR(INDEX('[1]salary allocation'!$E$6:$J$22,MATCH($H503,'[1]salary allocation'!$D$6:$D$22,0),MATCH(S$3,'[1]salary allocation'!$E$3:$J$3,0)),0)</f>
        <v>0</v>
      </c>
      <c r="T503" s="15">
        <f>-$K503*IFERROR(INDEX('[1]salary allocation'!$E$6:$J$22,MATCH($H503,'[1]salary allocation'!$D$6:$D$22,0),MATCH(T$3,'[1]salary allocation'!$E$3:$J$3,0)),0)</f>
        <v>0</v>
      </c>
      <c r="U503" s="15">
        <f>-$K503*IFERROR(INDEX('[1]salary allocation'!$E$6:$J$22,MATCH($H503,'[1]salary allocation'!$D$6:$D$22,0),MATCH(U$3,'[1]salary allocation'!$E$3:$J$3,0)),0)</f>
        <v>0</v>
      </c>
      <c r="V503" s="15">
        <f>-$K503*IFERROR(INDEX('[1]salary allocation'!$E$6:$J$22,MATCH($H503,'[1]salary allocation'!$D$6:$D$22,0),MATCH(V$3,'[1]salary allocation'!$E$3:$J$3,0)),0)</f>
        <v>0</v>
      </c>
      <c r="W503" s="15">
        <f>-$K503*IFERROR(INDEX('[1]salary allocation'!$E$6:$J$22,MATCH($H503,'[1]salary allocation'!$D$6:$D$22,0),MATCH(W$3,'[1]salary allocation'!$E$3:$J$3,0)),0)</f>
        <v>4584303</v>
      </c>
      <c r="X503" s="15">
        <f>-$K503*IFERROR(INDEX('[1]salary allocation'!$E$6:$J$22,MATCH($H503,'[1]salary allocation'!$D$6:$D$22,0),MATCH(X$3,'[1]salary allocation'!$E$3:$J$3,0)),0)</f>
        <v>0</v>
      </c>
      <c r="Y503" s="15">
        <f>-$K503*IFERROR(INDEX('[1]salary allocation'!$E$6:$J$22,MATCH($H503,'[1]salary allocation'!$D$6:$D$22,0),MATCH(Y$3,'[1]salary allocation'!$E$3:$J$3,0)),0)</f>
        <v>0</v>
      </c>
      <c r="Z503" s="15">
        <f>-$K503*IFERROR(INDEX('[1]salary allocation'!$E$6:$J$22,MATCH($H503,'[1]salary allocation'!$D$6:$D$22,0),MATCH(Z$3,'[1]salary allocation'!$E$3:$J$3,0)),0)</f>
        <v>0</v>
      </c>
      <c r="AA503" s="15">
        <f>-$K503*IFERROR(INDEX('[1]salary allocation'!$E$6:$J$22,MATCH($H503,'[1]salary allocation'!$D$6:$D$22,0),MATCH(AA$3,'[1]salary allocation'!$E$3:$J$3,0)),0)</f>
        <v>0</v>
      </c>
      <c r="AB503" s="15">
        <f>-$K503*IFERROR(INDEX('[1]salary allocation'!$E$6:$J$22,MATCH($H503,'[1]salary allocation'!$D$6:$D$22,0),MATCH(AB$3,'[1]salary allocation'!$E$3:$J$3,0)),0)</f>
        <v>0</v>
      </c>
      <c r="AC503" s="18">
        <f>-$K503*IFERROR(INDEX('[1]salary allocation'!$E$6:$J$22,MATCH($H503,'[1]salary allocation'!$D$6:$D$22,0),MATCH(AC$3,'[1]salary allocation'!$E$3:$J$3,0)),0)</f>
        <v>0</v>
      </c>
      <c r="AD503" s="17"/>
      <c r="AE503" s="16"/>
      <c r="AF503" s="15">
        <f>-$K503</f>
        <v>4584303</v>
      </c>
      <c r="AG503" s="15"/>
      <c r="AH503" s="2">
        <f>K503+SUM(O503:AC503)</f>
        <v>0</v>
      </c>
      <c r="AI503" s="2">
        <f>K503+SUM(AF503:AG503)</f>
        <v>0</v>
      </c>
    </row>
    <row r="504" spans="1:35" x14ac:dyDescent="0.2">
      <c r="A504" s="11" t="s">
        <v>61</v>
      </c>
      <c r="B504" s="22">
        <v>45859</v>
      </c>
      <c r="H504" s="11" t="s">
        <v>39</v>
      </c>
      <c r="I504" s="11" t="s">
        <v>381</v>
      </c>
      <c r="K504" s="13">
        <v>-5214162</v>
      </c>
      <c r="L504" s="12">
        <v>72025</v>
      </c>
      <c r="M504" s="11" t="str">
        <f>LEFT(I504,(LEN(LEFT(I504,FIND(";",I504)))-8))</f>
        <v>VNMOET</v>
      </c>
      <c r="N504" s="11"/>
      <c r="O504" s="15">
        <f>-$K504*IFERROR(INDEX('[1]salary allocation'!$E$6:$J$22,MATCH($H504,'[1]salary allocation'!$D$6:$D$22,0),MATCH(O$3,'[1]salary allocation'!$E$3:$J$3,0)),0)</f>
        <v>0</v>
      </c>
      <c r="P504" s="15">
        <f>-$K504*IFERROR(INDEX('[1]salary allocation'!$E$6:$J$22,MATCH($H504,'[1]salary allocation'!$D$6:$D$22,0),MATCH(P$3,'[1]salary allocation'!$E$3:$J$3,0)),0)</f>
        <v>0</v>
      </c>
      <c r="Q504" s="15">
        <f>-$K504*IFERROR(INDEX('[1]salary allocation'!$E$6:$J$22,MATCH($H504,'[1]salary allocation'!$D$6:$D$22,0),MATCH(Q$3,'[1]salary allocation'!$E$3:$J$3,0)),0)</f>
        <v>0</v>
      </c>
      <c r="R504" s="15">
        <f>-$K504*IFERROR(INDEX('[1]salary allocation'!$E$6:$J$22,MATCH($H504,'[1]salary allocation'!$D$6:$D$22,0),MATCH(R$3,'[1]salary allocation'!$E$3:$J$3,0)),0)</f>
        <v>0</v>
      </c>
      <c r="S504" s="15">
        <f>-$K504*IFERROR(INDEX('[1]salary allocation'!$E$6:$J$22,MATCH($H504,'[1]salary allocation'!$D$6:$D$22,0),MATCH(S$3,'[1]salary allocation'!$E$3:$J$3,0)),0)</f>
        <v>0</v>
      </c>
      <c r="T504" s="15">
        <f>-$K504*IFERROR(INDEX('[1]salary allocation'!$E$6:$J$22,MATCH($H504,'[1]salary allocation'!$D$6:$D$22,0),MATCH(T$3,'[1]salary allocation'!$E$3:$J$3,0)),0)</f>
        <v>0</v>
      </c>
      <c r="U504" s="15">
        <f>-$K504*IFERROR(INDEX('[1]salary allocation'!$E$6:$J$22,MATCH($H504,'[1]salary allocation'!$D$6:$D$22,0),MATCH(U$3,'[1]salary allocation'!$E$3:$J$3,0)),0)</f>
        <v>0</v>
      </c>
      <c r="V504" s="15">
        <f>-$K504*IFERROR(INDEX('[1]salary allocation'!$E$6:$J$22,MATCH($H504,'[1]salary allocation'!$D$6:$D$22,0),MATCH(V$3,'[1]salary allocation'!$E$3:$J$3,0)),0)</f>
        <v>0</v>
      </c>
      <c r="W504" s="15">
        <f>-$K504*IFERROR(INDEX('[1]salary allocation'!$E$6:$J$22,MATCH($H504,'[1]salary allocation'!$D$6:$D$22,0),MATCH(W$3,'[1]salary allocation'!$E$3:$J$3,0)),0)</f>
        <v>5214162</v>
      </c>
      <c r="X504" s="15">
        <f>-$K504*IFERROR(INDEX('[1]salary allocation'!$E$6:$J$22,MATCH($H504,'[1]salary allocation'!$D$6:$D$22,0),MATCH(X$3,'[1]salary allocation'!$E$3:$J$3,0)),0)</f>
        <v>0</v>
      </c>
      <c r="Y504" s="15">
        <f>-$K504*IFERROR(INDEX('[1]salary allocation'!$E$6:$J$22,MATCH($H504,'[1]salary allocation'!$D$6:$D$22,0),MATCH(Y$3,'[1]salary allocation'!$E$3:$J$3,0)),0)</f>
        <v>0</v>
      </c>
      <c r="Z504" s="15">
        <f>-$K504*IFERROR(INDEX('[1]salary allocation'!$E$6:$J$22,MATCH($H504,'[1]salary allocation'!$D$6:$D$22,0),MATCH(Z$3,'[1]salary allocation'!$E$3:$J$3,0)),0)</f>
        <v>0</v>
      </c>
      <c r="AA504" s="15">
        <f>-$K504*IFERROR(INDEX('[1]salary allocation'!$E$6:$J$22,MATCH($H504,'[1]salary allocation'!$D$6:$D$22,0),MATCH(AA$3,'[1]salary allocation'!$E$3:$J$3,0)),0)</f>
        <v>0</v>
      </c>
      <c r="AB504" s="15">
        <f>-$K504*IFERROR(INDEX('[1]salary allocation'!$E$6:$J$22,MATCH($H504,'[1]salary allocation'!$D$6:$D$22,0),MATCH(AB$3,'[1]salary allocation'!$E$3:$J$3,0)),0)</f>
        <v>0</v>
      </c>
      <c r="AC504" s="18">
        <f>-$K504*IFERROR(INDEX('[1]salary allocation'!$E$6:$J$22,MATCH($H504,'[1]salary allocation'!$D$6:$D$22,0),MATCH(AC$3,'[1]salary allocation'!$E$3:$J$3,0)),0)</f>
        <v>0</v>
      </c>
      <c r="AD504" s="17"/>
      <c r="AE504" s="16"/>
      <c r="AF504" s="15">
        <f>-$K504</f>
        <v>5214162</v>
      </c>
      <c r="AG504" s="15"/>
      <c r="AH504" s="2">
        <f>K504+SUM(O504:AC504)</f>
        <v>0</v>
      </c>
      <c r="AI504" s="2">
        <f>K504+SUM(AF504:AG504)</f>
        <v>0</v>
      </c>
    </row>
    <row r="505" spans="1:35" ht="17" x14ac:dyDescent="0.2">
      <c r="A505" s="11" t="s">
        <v>61</v>
      </c>
      <c r="B505" s="22">
        <v>45859</v>
      </c>
      <c r="H505" s="40" t="s">
        <v>37</v>
      </c>
      <c r="I505" s="11" t="s">
        <v>380</v>
      </c>
      <c r="K505" s="13">
        <v>-4142071</v>
      </c>
      <c r="L505" s="12">
        <v>72025</v>
      </c>
      <c r="M505" s="11" t="str">
        <f>LEFT(I505,(LEN(LEFT(I505,FIND(";",I505)))-8))</f>
        <v>VNOther</v>
      </c>
      <c r="N505" s="11"/>
      <c r="O505" s="15">
        <f>-$K505*IFERROR(INDEX('[1]salary allocation'!$E$6:$J$22,MATCH($H505,'[1]salary allocation'!$D$6:$D$22,0),MATCH(O$3,'[1]salary allocation'!$E$3:$J$3,0)),0)</f>
        <v>0</v>
      </c>
      <c r="P505" s="15">
        <f>-$K505*IFERROR(INDEX('[1]salary allocation'!$E$6:$J$22,MATCH($H505,'[1]salary allocation'!$D$6:$D$22,0),MATCH(P$3,'[1]salary allocation'!$E$3:$J$3,0)),0)</f>
        <v>621310.65</v>
      </c>
      <c r="Q505" s="15">
        <f>-$K505*IFERROR(INDEX('[1]salary allocation'!$E$6:$J$22,MATCH($H505,'[1]salary allocation'!$D$6:$D$22,0),MATCH(Q$3,'[1]salary allocation'!$E$3:$J$3,0)),0)</f>
        <v>0</v>
      </c>
      <c r="R505" s="15">
        <f>-$K505*IFERROR(INDEX('[1]salary allocation'!$E$6:$J$22,MATCH($H505,'[1]salary allocation'!$D$6:$D$22,0),MATCH(R$3,'[1]salary allocation'!$E$3:$J$3,0)),0)</f>
        <v>0</v>
      </c>
      <c r="S505" s="15">
        <f>-$K505*IFERROR(INDEX('[1]salary allocation'!$E$6:$J$22,MATCH($H505,'[1]salary allocation'!$D$6:$D$22,0),MATCH(S$3,'[1]salary allocation'!$E$3:$J$3,0)),0)</f>
        <v>704152.07</v>
      </c>
      <c r="T505" s="15">
        <f>-$K505*IFERROR(INDEX('[1]salary allocation'!$E$6:$J$22,MATCH($H505,'[1]salary allocation'!$D$6:$D$22,0),MATCH(T$3,'[1]salary allocation'!$E$3:$J$3,0)),0)</f>
        <v>704152.07</v>
      </c>
      <c r="U505" s="15">
        <f>-$K505*IFERROR(INDEX('[1]salary allocation'!$E$6:$J$22,MATCH($H505,'[1]salary allocation'!$D$6:$D$22,0),MATCH(U$3,'[1]salary allocation'!$E$3:$J$3,0)),0)</f>
        <v>704152.07</v>
      </c>
      <c r="V505" s="15">
        <f>-$K505*IFERROR(INDEX('[1]salary allocation'!$E$6:$J$22,MATCH($H505,'[1]salary allocation'!$D$6:$D$22,0),MATCH(V$3,'[1]salary allocation'!$E$3:$J$3,0)),0)</f>
        <v>0</v>
      </c>
      <c r="W505" s="15">
        <f>-$K505*IFERROR(INDEX('[1]salary allocation'!$E$6:$J$22,MATCH($H505,'[1]salary allocation'!$D$6:$D$22,0),MATCH(W$3,'[1]salary allocation'!$E$3:$J$3,0)),0)</f>
        <v>1408304.14</v>
      </c>
      <c r="X505" s="15">
        <f>-$K505*IFERROR(INDEX('[1]salary allocation'!$E$6:$J$22,MATCH($H505,'[1]salary allocation'!$D$6:$D$22,0),MATCH(X$3,'[1]salary allocation'!$E$3:$J$3,0)),0)</f>
        <v>0</v>
      </c>
      <c r="Y505" s="15">
        <f>-$K505*IFERROR(INDEX('[1]salary allocation'!$E$6:$J$22,MATCH($H505,'[1]salary allocation'!$D$6:$D$22,0),MATCH(Y$3,'[1]salary allocation'!$E$3:$J$3,0)),0)</f>
        <v>0</v>
      </c>
      <c r="Z505" s="15">
        <f>-$K505*IFERROR(INDEX('[1]salary allocation'!$E$6:$J$22,MATCH($H505,'[1]salary allocation'!$D$6:$D$22,0),MATCH(Z$3,'[1]salary allocation'!$E$3:$J$3,0)),0)</f>
        <v>0</v>
      </c>
      <c r="AA505" s="15">
        <f>-$K505*IFERROR(INDEX('[1]salary allocation'!$E$6:$J$22,MATCH($H505,'[1]salary allocation'!$D$6:$D$22,0),MATCH(AA$3,'[1]salary allocation'!$E$3:$J$3,0)),0)</f>
        <v>0</v>
      </c>
      <c r="AB505" s="15">
        <f>-$K505*IFERROR(INDEX('[1]salary allocation'!$E$6:$J$22,MATCH($H505,'[1]salary allocation'!$D$6:$D$22,0),MATCH(AB$3,'[1]salary allocation'!$E$3:$J$3,0)),0)</f>
        <v>0</v>
      </c>
      <c r="AC505" s="18">
        <f>-$K505*IFERROR(INDEX('[1]salary allocation'!$E$6:$J$22,MATCH($H505,'[1]salary allocation'!$D$6:$D$22,0),MATCH(AC$3,'[1]salary allocation'!$E$3:$J$3,0)),0)</f>
        <v>0</v>
      </c>
      <c r="AD505" s="17"/>
      <c r="AE505" s="16"/>
      <c r="AF505" s="15">
        <f>-K505</f>
        <v>4142071</v>
      </c>
      <c r="AG505" s="15"/>
      <c r="AH505" s="2">
        <f>K505+SUM(O505:AC505)</f>
        <v>0</v>
      </c>
      <c r="AI505" s="2">
        <f>K505+SUM(AF505:AG505)</f>
        <v>0</v>
      </c>
    </row>
    <row r="506" spans="1:35" x14ac:dyDescent="0.2">
      <c r="A506" s="11" t="s">
        <v>61</v>
      </c>
      <c r="B506" s="22">
        <v>45859</v>
      </c>
      <c r="H506" s="11" t="s">
        <v>35</v>
      </c>
      <c r="I506" s="11" t="s">
        <v>379</v>
      </c>
      <c r="K506" s="13">
        <v>-9310151</v>
      </c>
      <c r="L506" s="12">
        <v>72025</v>
      </c>
      <c r="M506" s="11" t="str">
        <f>LEFT(I506,(LEN(LEFT(I506,FIND(";",I506)))-8))</f>
        <v>VNOther</v>
      </c>
      <c r="N506" s="11"/>
      <c r="O506" s="15">
        <f>-$K506*IFERROR(INDEX('[1]salary allocation'!$E$6:$J$22,MATCH($H506,'[1]salary allocation'!$D$6:$D$22,0),MATCH(O$3,'[1]salary allocation'!$E$3:$J$3,0)),0)</f>
        <v>0</v>
      </c>
      <c r="P506" s="15">
        <f>-$K506*IFERROR(INDEX('[1]salary allocation'!$E$6:$J$22,MATCH($H506,'[1]salary allocation'!$D$6:$D$22,0),MATCH(P$3,'[1]salary allocation'!$E$3:$J$3,0)),0)</f>
        <v>1396522.65</v>
      </c>
      <c r="Q506" s="15">
        <f>-$K506*IFERROR(INDEX('[1]salary allocation'!$E$6:$J$22,MATCH($H506,'[1]salary allocation'!$D$6:$D$22,0),MATCH(Q$3,'[1]salary allocation'!$E$3:$J$3,0)),0)</f>
        <v>0</v>
      </c>
      <c r="R506" s="15">
        <f>-$K506*IFERROR(INDEX('[1]salary allocation'!$E$6:$J$22,MATCH($H506,'[1]salary allocation'!$D$6:$D$22,0),MATCH(R$3,'[1]salary allocation'!$E$3:$J$3,0)),0)</f>
        <v>0</v>
      </c>
      <c r="S506" s="15">
        <f>-$K506*IFERROR(INDEX('[1]salary allocation'!$E$6:$J$22,MATCH($H506,'[1]salary allocation'!$D$6:$D$22,0),MATCH(S$3,'[1]salary allocation'!$E$3:$J$3,0)),0)</f>
        <v>1582725.67</v>
      </c>
      <c r="T506" s="15">
        <f>-$K506*IFERROR(INDEX('[1]salary allocation'!$E$6:$J$22,MATCH($H506,'[1]salary allocation'!$D$6:$D$22,0),MATCH(T$3,'[1]salary allocation'!$E$3:$J$3,0)),0)</f>
        <v>1582725.67</v>
      </c>
      <c r="U506" s="15">
        <f>-$K506*IFERROR(INDEX('[1]salary allocation'!$E$6:$J$22,MATCH($H506,'[1]salary allocation'!$D$6:$D$22,0),MATCH(U$3,'[1]salary allocation'!$E$3:$J$3,0)),0)</f>
        <v>1582725.67</v>
      </c>
      <c r="V506" s="15">
        <f>-$K506*IFERROR(INDEX('[1]salary allocation'!$E$6:$J$22,MATCH($H506,'[1]salary allocation'!$D$6:$D$22,0),MATCH(V$3,'[1]salary allocation'!$E$3:$J$3,0)),0)</f>
        <v>0</v>
      </c>
      <c r="W506" s="15">
        <f>-$K506*IFERROR(INDEX('[1]salary allocation'!$E$6:$J$22,MATCH($H506,'[1]salary allocation'!$D$6:$D$22,0),MATCH(W$3,'[1]salary allocation'!$E$3:$J$3,0)),0)</f>
        <v>3165451.34</v>
      </c>
      <c r="X506" s="15">
        <f>-$K506*IFERROR(INDEX('[1]salary allocation'!$E$6:$J$22,MATCH($H506,'[1]salary allocation'!$D$6:$D$22,0),MATCH(X$3,'[1]salary allocation'!$E$3:$J$3,0)),0)</f>
        <v>0</v>
      </c>
      <c r="Y506" s="15">
        <f>-$K506*IFERROR(INDEX('[1]salary allocation'!$E$6:$J$22,MATCH($H506,'[1]salary allocation'!$D$6:$D$22,0),MATCH(Y$3,'[1]salary allocation'!$E$3:$J$3,0)),0)</f>
        <v>0</v>
      </c>
      <c r="Z506" s="15">
        <f>-$K506*IFERROR(INDEX('[1]salary allocation'!$E$6:$J$22,MATCH($H506,'[1]salary allocation'!$D$6:$D$22,0),MATCH(Z$3,'[1]salary allocation'!$E$3:$J$3,0)),0)</f>
        <v>0</v>
      </c>
      <c r="AA506" s="15">
        <f>-$K506*IFERROR(INDEX('[1]salary allocation'!$E$6:$J$22,MATCH($H506,'[1]salary allocation'!$D$6:$D$22,0),MATCH(AA$3,'[1]salary allocation'!$E$3:$J$3,0)),0)</f>
        <v>0</v>
      </c>
      <c r="AB506" s="15">
        <f>-$K506*IFERROR(INDEX('[1]salary allocation'!$E$6:$J$22,MATCH($H506,'[1]salary allocation'!$D$6:$D$22,0),MATCH(AB$3,'[1]salary allocation'!$E$3:$J$3,0)),0)</f>
        <v>0</v>
      </c>
      <c r="AC506" s="18">
        <f>-$K506*IFERROR(INDEX('[1]salary allocation'!$E$6:$J$22,MATCH($H506,'[1]salary allocation'!$D$6:$D$22,0),MATCH(AC$3,'[1]salary allocation'!$E$3:$J$3,0)),0)</f>
        <v>0</v>
      </c>
      <c r="AD506" s="17"/>
      <c r="AE506" s="16"/>
      <c r="AF506" s="15">
        <f>-$K506</f>
        <v>9310151</v>
      </c>
      <c r="AG506" s="15"/>
      <c r="AH506" s="2">
        <f>K506+SUM(O506:AC506)</f>
        <v>0</v>
      </c>
      <c r="AI506" s="2">
        <f>K506+SUM(AF506:AG506)</f>
        <v>0</v>
      </c>
    </row>
    <row r="507" spans="1:35" x14ac:dyDescent="0.2">
      <c r="A507" s="11" t="s">
        <v>61</v>
      </c>
      <c r="B507" s="22">
        <v>45859</v>
      </c>
      <c r="H507" s="11" t="s">
        <v>121</v>
      </c>
      <c r="I507" s="11" t="s">
        <v>378</v>
      </c>
      <c r="K507" s="13">
        <v>-152496</v>
      </c>
      <c r="L507" s="12">
        <v>72025</v>
      </c>
      <c r="M507" s="11" t="str">
        <f>LEFT(I507,(LEN(LEFT(I507,FIND(";",I507)))-8))</f>
        <v>VNLA</v>
      </c>
      <c r="N507" s="11"/>
      <c r="O507" s="2">
        <f>IF($M507=O$3,-$K507,0)</f>
        <v>0</v>
      </c>
      <c r="P507" s="2">
        <f>IF($M507=P$3,-$K507,0)</f>
        <v>0</v>
      </c>
      <c r="Q507" s="2">
        <f>IF($M507=Q$3,-$K507,0)</f>
        <v>0</v>
      </c>
      <c r="R507" s="2">
        <f>IF($M507=R$3,-$K507,0)</f>
        <v>0</v>
      </c>
      <c r="S507" s="2">
        <f>IF($M507=S$3,-$K507,0)</f>
        <v>0</v>
      </c>
      <c r="T507" s="2">
        <f>IF($M507=T$3,-$K507,0)</f>
        <v>0</v>
      </c>
      <c r="U507" s="2">
        <f>IF($M507=U$3,-$K507,0)</f>
        <v>0</v>
      </c>
      <c r="V507" s="2">
        <f>IF($M507=V$3,-$K507,0)</f>
        <v>0</v>
      </c>
      <c r="W507" s="2">
        <f>IF($M507=W$3,-$K507,0)</f>
        <v>0</v>
      </c>
      <c r="X507" s="2">
        <f>IF($M507=X$3,-$K507,0)</f>
        <v>152496</v>
      </c>
      <c r="Y507" s="2">
        <f>IF($M507=Y$3,-$K507,0)</f>
        <v>0</v>
      </c>
      <c r="Z507" s="2">
        <f>IF($M507=Z$3,-$K507,0)</f>
        <v>0</v>
      </c>
      <c r="AA507" s="2">
        <f>IF($M507=AA$3,-$K507,0)</f>
        <v>0</v>
      </c>
      <c r="AB507" s="2">
        <f>IF($M507=AB$3,-$K507,0)</f>
        <v>0</v>
      </c>
      <c r="AC507" s="21">
        <f>IF($M507=AC$3,-$K507,0)</f>
        <v>0</v>
      </c>
      <c r="AD507" s="20"/>
      <c r="AE507" s="19"/>
      <c r="AF507" s="2"/>
      <c r="AG507" s="2">
        <f>-$K507</f>
        <v>152496</v>
      </c>
      <c r="AH507" s="2">
        <f>K507+SUM(O507:AC507)</f>
        <v>0</v>
      </c>
      <c r="AI507" s="2">
        <f>K507+SUM(AF507:AG507)</f>
        <v>0</v>
      </c>
    </row>
    <row r="508" spans="1:35" x14ac:dyDescent="0.2">
      <c r="A508" s="11" t="s">
        <v>61</v>
      </c>
      <c r="B508" s="22">
        <v>45859</v>
      </c>
      <c r="H508" s="11" t="s">
        <v>33</v>
      </c>
      <c r="I508" s="11" t="s">
        <v>377</v>
      </c>
      <c r="K508" s="13">
        <v>-145754</v>
      </c>
      <c r="L508" s="12">
        <v>72025</v>
      </c>
      <c r="M508" s="11" t="str">
        <f>LEFT(I508,(LEN(LEFT(I508,FIND(";",I508)))-8))</f>
        <v>VNDN</v>
      </c>
      <c r="N508" s="11"/>
      <c r="O508" s="2">
        <f>IF($M508=O$3,-$K508,0)</f>
        <v>0</v>
      </c>
      <c r="P508" s="2">
        <f>IF($M508=P$3,-$K508,0)</f>
        <v>0</v>
      </c>
      <c r="Q508" s="2">
        <f>IF($M508=Q$3,-$K508,0)</f>
        <v>0</v>
      </c>
      <c r="R508" s="2">
        <f>IF($M508=R$3,-$K508,0)</f>
        <v>0</v>
      </c>
      <c r="S508" s="2">
        <f>IF($M508=S$3,-$K508,0)</f>
        <v>145754</v>
      </c>
      <c r="T508" s="2">
        <f>IF($M508=T$3,-$K508,0)</f>
        <v>0</v>
      </c>
      <c r="U508" s="2">
        <f>IF($M508=U$3,-$K508,0)</f>
        <v>0</v>
      </c>
      <c r="V508" s="2">
        <f>IF($M508=V$3,-$K508,0)</f>
        <v>0</v>
      </c>
      <c r="W508" s="2">
        <f>IF($M508=W$3,-$K508,0)</f>
        <v>0</v>
      </c>
      <c r="X508" s="2">
        <f>IF($M508=X$3,-$K508,0)</f>
        <v>0</v>
      </c>
      <c r="Y508" s="2">
        <f>IF($M508=Y$3,-$K508,0)</f>
        <v>0</v>
      </c>
      <c r="Z508" s="2">
        <f>IF($M508=Z$3,-$K508,0)</f>
        <v>0</v>
      </c>
      <c r="AA508" s="2">
        <f>IF($M508=AA$3,-$K508,0)</f>
        <v>0</v>
      </c>
      <c r="AB508" s="2">
        <f>IF($M508=AB$3,-$K508,0)</f>
        <v>0</v>
      </c>
      <c r="AC508" s="21">
        <f>IF($M508=AC$3,-$K508,0)</f>
        <v>0</v>
      </c>
      <c r="AD508" s="20"/>
      <c r="AE508" s="19"/>
      <c r="AF508" s="2"/>
      <c r="AG508" s="2">
        <f>-$K508</f>
        <v>145754</v>
      </c>
      <c r="AH508" s="2">
        <f>K508+SUM(O508:AC508)</f>
        <v>0</v>
      </c>
      <c r="AI508" s="2">
        <f>K508+SUM(AF508:AG508)</f>
        <v>0</v>
      </c>
    </row>
    <row r="509" spans="1:35" x14ac:dyDescent="0.2">
      <c r="A509" s="11" t="s">
        <v>61</v>
      </c>
      <c r="B509" s="22">
        <v>45859</v>
      </c>
      <c r="H509" s="11" t="s">
        <v>31</v>
      </c>
      <c r="I509" s="11" t="s">
        <v>376</v>
      </c>
      <c r="K509" s="13">
        <v>0</v>
      </c>
      <c r="L509" s="12">
        <v>72025</v>
      </c>
      <c r="M509" s="11" t="str">
        <f>LEFT(I509,(LEN(LEFT(I509,FIND(";",I509)))-8))</f>
        <v>VNDN</v>
      </c>
      <c r="N509" s="11"/>
      <c r="O509" s="2">
        <f>IF($M509=O$3,-$K509,0)</f>
        <v>0</v>
      </c>
      <c r="P509" s="2">
        <f>IF($M509=P$3,-$K509,0)</f>
        <v>0</v>
      </c>
      <c r="Q509" s="2">
        <f>IF($M509=Q$3,-$K509,0)</f>
        <v>0</v>
      </c>
      <c r="R509" s="2">
        <f>IF($M509=R$3,-$K509,0)</f>
        <v>0</v>
      </c>
      <c r="S509" s="2">
        <f>IF($M509=S$3,-$K509,0)</f>
        <v>0</v>
      </c>
      <c r="T509" s="2">
        <f>IF($M509=T$3,-$K509,0)</f>
        <v>0</v>
      </c>
      <c r="U509" s="2">
        <f>IF($M509=U$3,-$K509,0)</f>
        <v>0</v>
      </c>
      <c r="V509" s="2">
        <f>IF($M509=V$3,-$K509,0)</f>
        <v>0</v>
      </c>
      <c r="W509" s="2">
        <f>IF($M509=W$3,-$K509,0)</f>
        <v>0</v>
      </c>
      <c r="X509" s="2">
        <f>IF($M509=X$3,-$K509,0)</f>
        <v>0</v>
      </c>
      <c r="Y509" s="2">
        <f>IF($M509=Y$3,-$K509,0)</f>
        <v>0</v>
      </c>
      <c r="Z509" s="2">
        <f>IF($M509=Z$3,-$K509,0)</f>
        <v>0</v>
      </c>
      <c r="AA509" s="2">
        <f>IF($M509=AA$3,-$K509,0)</f>
        <v>0</v>
      </c>
      <c r="AB509" s="2">
        <f>IF($M509=AB$3,-$K509,0)</f>
        <v>0</v>
      </c>
      <c r="AC509" s="21">
        <f>IF($M509=AC$3,-$K509,0)</f>
        <v>0</v>
      </c>
      <c r="AD509" s="20"/>
      <c r="AE509" s="19"/>
      <c r="AF509" s="2"/>
      <c r="AG509" s="2">
        <f>-$K509</f>
        <v>0</v>
      </c>
      <c r="AH509" s="2">
        <f>K509+SUM(O509:AC509)</f>
        <v>0</v>
      </c>
      <c r="AI509" s="2">
        <f>K509+SUM(AF509:AG509)</f>
        <v>0</v>
      </c>
    </row>
    <row r="510" spans="1:35" x14ac:dyDescent="0.2">
      <c r="A510" s="11" t="s">
        <v>61</v>
      </c>
      <c r="B510" s="22">
        <v>45859</v>
      </c>
      <c r="H510" s="11" t="s">
        <v>29</v>
      </c>
      <c r="I510" s="11" t="s">
        <v>375</v>
      </c>
      <c r="K510" s="13">
        <v>-74771</v>
      </c>
      <c r="L510" s="12">
        <v>72025</v>
      </c>
      <c r="M510" s="11" t="str">
        <f>LEFT(I510,(LEN(LEFT(I510,FIND(";",I510)))-8))</f>
        <v>VNDN</v>
      </c>
      <c r="N510" s="11"/>
      <c r="O510" s="2">
        <f>IF($M510=O$3,-$K510,0)</f>
        <v>0</v>
      </c>
      <c r="P510" s="2">
        <f>IF($M510=P$3,-$K510,0)</f>
        <v>0</v>
      </c>
      <c r="Q510" s="2">
        <f>IF($M510=Q$3,-$K510,0)</f>
        <v>0</v>
      </c>
      <c r="R510" s="2">
        <f>IF($M510=R$3,-$K510,0)</f>
        <v>0</v>
      </c>
      <c r="S510" s="2">
        <f>IF($M510=S$3,-$K510,0)</f>
        <v>74771</v>
      </c>
      <c r="T510" s="2">
        <f>IF($M510=T$3,-$K510,0)</f>
        <v>0</v>
      </c>
      <c r="U510" s="2">
        <f>IF($M510=U$3,-$K510,0)</f>
        <v>0</v>
      </c>
      <c r="V510" s="2">
        <f>IF($M510=V$3,-$K510,0)</f>
        <v>0</v>
      </c>
      <c r="W510" s="2">
        <f>IF($M510=W$3,-$K510,0)</f>
        <v>0</v>
      </c>
      <c r="X510" s="2">
        <f>IF($M510=X$3,-$K510,0)</f>
        <v>0</v>
      </c>
      <c r="Y510" s="2">
        <f>IF($M510=Y$3,-$K510,0)</f>
        <v>0</v>
      </c>
      <c r="Z510" s="2">
        <f>IF($M510=Z$3,-$K510,0)</f>
        <v>0</v>
      </c>
      <c r="AA510" s="2">
        <f>IF($M510=AA$3,-$K510,0)</f>
        <v>0</v>
      </c>
      <c r="AB510" s="2">
        <f>IF($M510=AB$3,-$K510,0)</f>
        <v>0</v>
      </c>
      <c r="AC510" s="21">
        <f>IF($M510=AC$3,-$K510,0)</f>
        <v>0</v>
      </c>
      <c r="AD510" s="20"/>
      <c r="AE510" s="19"/>
      <c r="AF510" s="2"/>
      <c r="AG510" s="2">
        <f>-$K510</f>
        <v>74771</v>
      </c>
      <c r="AH510" s="2">
        <f>K510+SUM(O510:AC510)</f>
        <v>0</v>
      </c>
      <c r="AI510" s="2">
        <f>K510+SUM(AF510:AG510)</f>
        <v>0</v>
      </c>
    </row>
    <row r="511" spans="1:35" x14ac:dyDescent="0.2">
      <c r="A511" s="11" t="s">
        <v>61</v>
      </c>
      <c r="B511" s="22">
        <v>45859</v>
      </c>
      <c r="H511" s="11" t="s">
        <v>27</v>
      </c>
      <c r="I511" s="11" t="s">
        <v>374</v>
      </c>
      <c r="K511" s="13">
        <v>0</v>
      </c>
      <c r="L511" s="12">
        <v>72025</v>
      </c>
      <c r="M511" s="11" t="str">
        <f>LEFT(I511,(LEN(LEFT(I511,FIND(";",I511)))-8))</f>
        <v>VNDN</v>
      </c>
      <c r="N511" s="11"/>
      <c r="O511" s="2">
        <f>IF($M511=O$3,-$K511,0)</f>
        <v>0</v>
      </c>
      <c r="P511" s="2">
        <f>IF($M511=P$3,-$K511,0)</f>
        <v>0</v>
      </c>
      <c r="Q511" s="2">
        <f>IF($M511=Q$3,-$K511,0)</f>
        <v>0</v>
      </c>
      <c r="R511" s="2">
        <f>IF($M511=R$3,-$K511,0)</f>
        <v>0</v>
      </c>
      <c r="S511" s="2">
        <f>IF($M511=S$3,-$K511,0)</f>
        <v>0</v>
      </c>
      <c r="T511" s="2">
        <f>IF($M511=T$3,-$K511,0)</f>
        <v>0</v>
      </c>
      <c r="U511" s="2">
        <f>IF($M511=U$3,-$K511,0)</f>
        <v>0</v>
      </c>
      <c r="V511" s="2">
        <f>IF($M511=V$3,-$K511,0)</f>
        <v>0</v>
      </c>
      <c r="W511" s="2">
        <f>IF($M511=W$3,-$K511,0)</f>
        <v>0</v>
      </c>
      <c r="X511" s="2">
        <f>IF($M511=X$3,-$K511,0)</f>
        <v>0</v>
      </c>
      <c r="Y511" s="2">
        <f>IF($M511=Y$3,-$K511,0)</f>
        <v>0</v>
      </c>
      <c r="Z511" s="2">
        <f>IF($M511=Z$3,-$K511,0)</f>
        <v>0</v>
      </c>
      <c r="AA511" s="2">
        <f>IF($M511=AA$3,-$K511,0)</f>
        <v>0</v>
      </c>
      <c r="AB511" s="2">
        <f>IF($M511=AB$3,-$K511,0)</f>
        <v>0</v>
      </c>
      <c r="AC511" s="21">
        <f>IF($M511=AC$3,-$K511,0)</f>
        <v>0</v>
      </c>
      <c r="AD511" s="20"/>
      <c r="AE511" s="19"/>
      <c r="AF511" s="2"/>
      <c r="AG511" s="2">
        <f>-$K511</f>
        <v>0</v>
      </c>
      <c r="AH511" s="2">
        <f>K511+SUM(O511:AC511)</f>
        <v>0</v>
      </c>
      <c r="AI511" s="2">
        <f>K511+SUM(AF511:AG511)</f>
        <v>0</v>
      </c>
    </row>
    <row r="512" spans="1:35" x14ac:dyDescent="0.2">
      <c r="A512" s="11" t="s">
        <v>61</v>
      </c>
      <c r="B512" s="22">
        <v>45859</v>
      </c>
      <c r="H512" s="11" t="s">
        <v>25</v>
      </c>
      <c r="I512" s="11" t="s">
        <v>373</v>
      </c>
      <c r="K512" s="13">
        <v>0</v>
      </c>
      <c r="L512" s="12">
        <v>72025</v>
      </c>
      <c r="M512" s="11" t="str">
        <f>LEFT(I512,(LEN(LEFT(I512,FIND(";",I512)))-8))</f>
        <v>VNQN</v>
      </c>
      <c r="N512" s="11"/>
      <c r="O512" s="2">
        <f>IF($M512=O$3,-$K512,0)</f>
        <v>0</v>
      </c>
      <c r="P512" s="2">
        <f>IF($M512=P$3,-$K512,0)</f>
        <v>0</v>
      </c>
      <c r="Q512" s="2">
        <f>IF($M512=Q$3,-$K512,0)</f>
        <v>0</v>
      </c>
      <c r="R512" s="2">
        <f>IF($M512=R$3,-$K512,0)</f>
        <v>0</v>
      </c>
      <c r="S512" s="2">
        <f>IF($M512=S$3,-$K512,0)</f>
        <v>0</v>
      </c>
      <c r="T512" s="2">
        <f>IF($M512=T$3,-$K512,0)</f>
        <v>0</v>
      </c>
      <c r="U512" s="2">
        <f>IF($M512=U$3,-$K512,0)</f>
        <v>0</v>
      </c>
      <c r="V512" s="2">
        <f>IF($M512=V$3,-$K512,0)</f>
        <v>0</v>
      </c>
      <c r="W512" s="2">
        <f>IF($M512=W$3,-$K512,0)</f>
        <v>0</v>
      </c>
      <c r="X512" s="2">
        <f>IF($M512=X$3,-$K512,0)</f>
        <v>0</v>
      </c>
      <c r="Y512" s="2">
        <f>IF($M512=Y$3,-$K512,0)</f>
        <v>0</v>
      </c>
      <c r="Z512" s="2">
        <f>IF($M512=Z$3,-$K512,0)</f>
        <v>0</v>
      </c>
      <c r="AA512" s="2">
        <f>IF($M512=AA$3,-$K512,0)</f>
        <v>0</v>
      </c>
      <c r="AB512" s="2">
        <f>IF($M512=AB$3,-$K512,0)</f>
        <v>0</v>
      </c>
      <c r="AC512" s="21">
        <f>IF($M512=AC$3,-$K512,0)</f>
        <v>0</v>
      </c>
      <c r="AD512" s="20"/>
      <c r="AE512" s="19"/>
      <c r="AF512" s="2"/>
      <c r="AG512" s="2">
        <f>-$K512</f>
        <v>0</v>
      </c>
      <c r="AH512" s="2">
        <f>K512+SUM(O512:AC512)</f>
        <v>0</v>
      </c>
      <c r="AI512" s="2">
        <f>K512+SUM(AF512:AG512)</f>
        <v>0</v>
      </c>
    </row>
    <row r="513" spans="1:35" x14ac:dyDescent="0.2">
      <c r="A513" s="11" t="s">
        <v>61</v>
      </c>
      <c r="B513" s="22">
        <v>45859</v>
      </c>
      <c r="H513" s="11" t="s">
        <v>81</v>
      </c>
      <c r="I513" s="11" t="s">
        <v>372</v>
      </c>
      <c r="K513" s="13">
        <v>-168657</v>
      </c>
      <c r="L513" s="12">
        <v>72025</v>
      </c>
      <c r="M513" s="11" t="str">
        <f>LEFT(I513,(LEN(LEFT(I513,FIND(";",I513)))-8))</f>
        <v>VNQN</v>
      </c>
      <c r="N513" s="11"/>
      <c r="O513" s="2">
        <f>IF($M513=O$3,-$K513,0)</f>
        <v>0</v>
      </c>
      <c r="P513" s="2">
        <f>IF($M513=P$3,-$K513,0)</f>
        <v>0</v>
      </c>
      <c r="Q513" s="2">
        <f>IF($M513=Q$3,-$K513,0)</f>
        <v>0</v>
      </c>
      <c r="R513" s="2">
        <f>IF($M513=R$3,-$K513,0)</f>
        <v>0</v>
      </c>
      <c r="S513" s="2">
        <f>IF($M513=S$3,-$K513,0)</f>
        <v>0</v>
      </c>
      <c r="T513" s="2">
        <f>IF($M513=T$3,-$K513,0)</f>
        <v>168657</v>
      </c>
      <c r="U513" s="2">
        <f>IF($M513=U$3,-$K513,0)</f>
        <v>0</v>
      </c>
      <c r="V513" s="2">
        <f>IF($M513=V$3,-$K513,0)</f>
        <v>0</v>
      </c>
      <c r="W513" s="2">
        <f>IF($M513=W$3,-$K513,0)</f>
        <v>0</v>
      </c>
      <c r="X513" s="2">
        <f>IF($M513=X$3,-$K513,0)</f>
        <v>0</v>
      </c>
      <c r="Y513" s="2">
        <f>IF($M513=Y$3,-$K513,0)</f>
        <v>0</v>
      </c>
      <c r="Z513" s="2">
        <f>IF($M513=Z$3,-$K513,0)</f>
        <v>0</v>
      </c>
      <c r="AA513" s="2">
        <f>IF($M513=AA$3,-$K513,0)</f>
        <v>0</v>
      </c>
      <c r="AB513" s="2">
        <f>IF($M513=AB$3,-$K513,0)</f>
        <v>0</v>
      </c>
      <c r="AC513" s="21">
        <f>IF($M513=AC$3,-$K513,0)</f>
        <v>0</v>
      </c>
      <c r="AD513" s="20"/>
      <c r="AE513" s="19"/>
      <c r="AF513" s="2"/>
      <c r="AG513" s="2">
        <f>-$K513</f>
        <v>168657</v>
      </c>
      <c r="AH513" s="2">
        <f>K513+SUM(O513:AC513)</f>
        <v>0</v>
      </c>
      <c r="AI513" s="2">
        <f>K513+SUM(AF513:AG513)</f>
        <v>0</v>
      </c>
    </row>
    <row r="514" spans="1:35" x14ac:dyDescent="0.2">
      <c r="A514" s="11" t="s">
        <v>61</v>
      </c>
      <c r="B514" s="22">
        <v>45859</v>
      </c>
      <c r="H514" s="11" t="s">
        <v>23</v>
      </c>
      <c r="I514" s="11" t="s">
        <v>371</v>
      </c>
      <c r="K514" s="13">
        <v>0</v>
      </c>
      <c r="L514" s="12">
        <v>72025</v>
      </c>
      <c r="M514" s="11" t="str">
        <f>LEFT(I514,(LEN(LEFT(I514,FIND(";",I514)))-8))</f>
        <v>VNHD</v>
      </c>
      <c r="N514" s="11"/>
      <c r="O514" s="2">
        <f>IF($M514=O$3,-$K514,0)</f>
        <v>0</v>
      </c>
      <c r="P514" s="2">
        <f>IF($M514=P$3,-$K514,0)</f>
        <v>0</v>
      </c>
      <c r="Q514" s="2">
        <f>IF($M514=Q$3,-$K514,0)</f>
        <v>0</v>
      </c>
      <c r="R514" s="2">
        <f>IF($M514=R$3,-$K514,0)</f>
        <v>0</v>
      </c>
      <c r="S514" s="2">
        <f>IF($M514=S$3,-$K514,0)</f>
        <v>0</v>
      </c>
      <c r="T514" s="2">
        <f>IF($M514=T$3,-$K514,0)</f>
        <v>0</v>
      </c>
      <c r="U514" s="2">
        <f>IF($M514=U$3,-$K514,0)</f>
        <v>0</v>
      </c>
      <c r="V514" s="2">
        <f>IF($M514=V$3,-$K514,0)</f>
        <v>0</v>
      </c>
      <c r="W514" s="2">
        <f>IF($M514=W$3,-$K514,0)</f>
        <v>0</v>
      </c>
      <c r="X514" s="2">
        <f>IF($M514=X$3,-$K514,0)</f>
        <v>0</v>
      </c>
      <c r="Y514" s="2">
        <f>IF($M514=Y$3,-$K514,0)</f>
        <v>0</v>
      </c>
      <c r="Z514" s="2">
        <f>IF($M514=Z$3,-$K514,0)</f>
        <v>0</v>
      </c>
      <c r="AA514" s="2">
        <f>IF($M514=AA$3,-$K514,0)</f>
        <v>0</v>
      </c>
      <c r="AB514" s="2">
        <f>IF($M514=AB$3,-$K514,0)</f>
        <v>0</v>
      </c>
      <c r="AC514" s="21">
        <f>IF($M514=AC$3,-$K514,0)</f>
        <v>0</v>
      </c>
      <c r="AD514" s="20"/>
      <c r="AE514" s="19"/>
      <c r="AF514" s="2"/>
      <c r="AG514" s="2">
        <f>-$K514</f>
        <v>0</v>
      </c>
      <c r="AH514" s="2">
        <f>K514+SUM(O514:AC514)</f>
        <v>0</v>
      </c>
      <c r="AI514" s="2">
        <f>K514+SUM(AF514:AG514)</f>
        <v>0</v>
      </c>
    </row>
    <row r="515" spans="1:35" x14ac:dyDescent="0.2">
      <c r="A515" s="11" t="s">
        <v>61</v>
      </c>
      <c r="B515" s="22">
        <v>45859</v>
      </c>
      <c r="H515" s="11" t="s">
        <v>21</v>
      </c>
      <c r="I515" s="11" t="s">
        <v>370</v>
      </c>
      <c r="K515" s="13">
        <v>-188296</v>
      </c>
      <c r="L515" s="12">
        <v>72025</v>
      </c>
      <c r="M515" s="11" t="str">
        <f>LEFT(I515,(LEN(LEFT(I515,FIND(";",I515)))-8))</f>
        <v>VNHCM</v>
      </c>
      <c r="N515" s="11"/>
      <c r="O515" s="2">
        <f>IF($M515=O$3,-$K515,0)</f>
        <v>0</v>
      </c>
      <c r="P515" s="2">
        <f>IF($M515=P$3,-$K515,0)</f>
        <v>0</v>
      </c>
      <c r="Q515" s="2">
        <f>IF($M515=Q$3,-$K515,0)</f>
        <v>0</v>
      </c>
      <c r="R515" s="2">
        <f>IF($M515=R$3,-$K515,0)</f>
        <v>0</v>
      </c>
      <c r="S515" s="2">
        <f>IF($M515=S$3,-$K515,0)</f>
        <v>0</v>
      </c>
      <c r="T515" s="2">
        <f>IF($M515=T$3,-$K515,0)</f>
        <v>0</v>
      </c>
      <c r="U515" s="2">
        <f>IF($M515=U$3,-$K515,0)</f>
        <v>0</v>
      </c>
      <c r="V515" s="2">
        <f>IF($M515=V$3,-$K515,0)</f>
        <v>0</v>
      </c>
      <c r="W515" s="2">
        <f>IF($M515=W$3,-$K515,0)</f>
        <v>0</v>
      </c>
      <c r="X515" s="2">
        <f>IF($M515=X$3,-$K515,0)</f>
        <v>0</v>
      </c>
      <c r="Y515" s="2">
        <f>IF($M515=Y$3,-$K515,0)</f>
        <v>188296</v>
      </c>
      <c r="Z515" s="2">
        <f>IF($M515=Z$3,-$K515,0)</f>
        <v>0</v>
      </c>
      <c r="AA515" s="2">
        <f>IF($M515=AA$3,-$K515,0)</f>
        <v>0</v>
      </c>
      <c r="AB515" s="2">
        <f>IF($M515=AB$3,-$K515,0)</f>
        <v>0</v>
      </c>
      <c r="AC515" s="21">
        <f>IF($M515=AC$3,-$K515,0)</f>
        <v>0</v>
      </c>
      <c r="AD515" s="20"/>
      <c r="AE515" s="19"/>
      <c r="AF515" s="2"/>
      <c r="AG515" s="2">
        <f>-$K515</f>
        <v>188296</v>
      </c>
      <c r="AH515" s="2">
        <f>K515+SUM(O515:AC515)</f>
        <v>0</v>
      </c>
      <c r="AI515" s="2">
        <f>K515+SUM(AF515:AG515)</f>
        <v>0</v>
      </c>
    </row>
    <row r="516" spans="1:35" x14ac:dyDescent="0.2">
      <c r="A516" s="11" t="s">
        <v>61</v>
      </c>
      <c r="B516" s="22">
        <v>45859</v>
      </c>
      <c r="H516" s="11" t="s">
        <v>156</v>
      </c>
      <c r="I516" s="11" t="s">
        <v>369</v>
      </c>
      <c r="K516" s="13">
        <v>0</v>
      </c>
      <c r="L516" s="12">
        <v>72025</v>
      </c>
      <c r="M516" s="11" t="str">
        <f>LEFT(I516,(LEN(LEFT(I516,FIND(";",I516)))-8))</f>
        <v>VNBG</v>
      </c>
      <c r="N516" s="11"/>
      <c r="O516" s="2">
        <f>IF($M516=O$3,-$K516,0)</f>
        <v>0</v>
      </c>
      <c r="P516" s="2">
        <f>IF($M516=P$3,-$K516,0)</f>
        <v>0</v>
      </c>
      <c r="Q516" s="2">
        <f>IF($M516=Q$3,-$K516,0)</f>
        <v>0</v>
      </c>
      <c r="R516" s="2">
        <f>IF($M516=R$3,-$K516,0)</f>
        <v>0</v>
      </c>
      <c r="S516" s="2">
        <f>IF($M516=S$3,-$K516,0)</f>
        <v>0</v>
      </c>
      <c r="T516" s="2">
        <f>IF($M516=T$3,-$K516,0)</f>
        <v>0</v>
      </c>
      <c r="U516" s="2">
        <f>IF($M516=U$3,-$K516,0)</f>
        <v>0</v>
      </c>
      <c r="V516" s="2">
        <f>IF($M516=V$3,-$K516,0)</f>
        <v>0</v>
      </c>
      <c r="W516" s="2">
        <f>IF($M516=W$3,-$K516,0)</f>
        <v>0</v>
      </c>
      <c r="X516" s="2">
        <f>IF($M516=X$3,-$K516,0)</f>
        <v>0</v>
      </c>
      <c r="Y516" s="2">
        <f>IF($M516=Y$3,-$K516,0)</f>
        <v>0</v>
      </c>
      <c r="Z516" s="2">
        <f>IF($M516=Z$3,-$K516,0)</f>
        <v>0</v>
      </c>
      <c r="AA516" s="2">
        <f>IF($M516=AA$3,-$K516,0)</f>
        <v>0</v>
      </c>
      <c r="AB516" s="2">
        <f>IF($M516=AB$3,-$K516,0)</f>
        <v>0</v>
      </c>
      <c r="AC516" s="21">
        <f>IF($M516=AC$3,-$K516,0)</f>
        <v>0</v>
      </c>
      <c r="AD516" s="20"/>
      <c r="AE516" s="19"/>
      <c r="AF516" s="2"/>
      <c r="AG516" s="2"/>
      <c r="AH516" s="2">
        <f>K516+SUM(O516:AC516)</f>
        <v>0</v>
      </c>
      <c r="AI516" s="2">
        <f>K516+SUM(AF516:AG516)</f>
        <v>0</v>
      </c>
    </row>
    <row r="517" spans="1:35" x14ac:dyDescent="0.2">
      <c r="A517" s="11" t="s">
        <v>61</v>
      </c>
      <c r="B517" s="22">
        <v>45859</v>
      </c>
      <c r="H517" s="11" t="s">
        <v>19</v>
      </c>
      <c r="I517" s="11" t="s">
        <v>368</v>
      </c>
      <c r="K517" s="13">
        <v>-218796</v>
      </c>
      <c r="L517" s="12">
        <v>72025</v>
      </c>
      <c r="M517" s="11" t="str">
        <f>LEFT(I517,(LEN(LEFT(I517,FIND(";",I517)))-8))</f>
        <v>VNHCM</v>
      </c>
      <c r="N517" s="11"/>
      <c r="O517" s="2">
        <f>IF($M517=O$3,-$K517,0)</f>
        <v>0</v>
      </c>
      <c r="P517" s="2">
        <f>IF($M517=P$3,-$K517,0)</f>
        <v>0</v>
      </c>
      <c r="Q517" s="2">
        <f>IF($M517=Q$3,-$K517,0)</f>
        <v>0</v>
      </c>
      <c r="R517" s="2">
        <f>IF($M517=R$3,-$K517,0)</f>
        <v>0</v>
      </c>
      <c r="S517" s="2">
        <f>IF($M517=S$3,-$K517,0)</f>
        <v>0</v>
      </c>
      <c r="T517" s="2">
        <f>IF($M517=T$3,-$K517,0)</f>
        <v>0</v>
      </c>
      <c r="U517" s="2">
        <f>IF($M517=U$3,-$K517,0)</f>
        <v>0</v>
      </c>
      <c r="V517" s="2">
        <f>IF($M517=V$3,-$K517,0)</f>
        <v>0</v>
      </c>
      <c r="W517" s="2">
        <f>IF($M517=W$3,-$K517,0)</f>
        <v>0</v>
      </c>
      <c r="X517" s="2">
        <f>IF($M517=X$3,-$K517,0)</f>
        <v>0</v>
      </c>
      <c r="Y517" s="2">
        <f>IF($M517=Y$3,-$K517,0)</f>
        <v>218796</v>
      </c>
      <c r="Z517" s="2">
        <f>IF($M517=Z$3,-$K517,0)</f>
        <v>0</v>
      </c>
      <c r="AA517" s="2">
        <f>IF($M517=AA$3,-$K517,0)</f>
        <v>0</v>
      </c>
      <c r="AB517" s="2">
        <f>IF($M517=AB$3,-$K517,0)</f>
        <v>0</v>
      </c>
      <c r="AC517" s="21">
        <f>IF($M517=AC$3,-$K517,0)</f>
        <v>0</v>
      </c>
      <c r="AD517" s="20"/>
      <c r="AE517" s="19"/>
      <c r="AF517" s="2"/>
      <c r="AG517" s="2">
        <f>-$K517</f>
        <v>218796</v>
      </c>
      <c r="AH517" s="2">
        <f>K517+SUM(O517:AC517)</f>
        <v>0</v>
      </c>
      <c r="AI517" s="2">
        <f>K517+SUM(AF517:AG517)</f>
        <v>0</v>
      </c>
    </row>
    <row r="518" spans="1:35" x14ac:dyDescent="0.2">
      <c r="A518" s="11" t="s">
        <v>61</v>
      </c>
      <c r="B518" s="22">
        <v>45859</v>
      </c>
      <c r="H518" s="11" t="s">
        <v>110</v>
      </c>
      <c r="I518" s="11" t="s">
        <v>367</v>
      </c>
      <c r="K518" s="13">
        <v>-805316</v>
      </c>
      <c r="L518" s="12">
        <v>72025</v>
      </c>
      <c r="M518" s="11" t="str">
        <f>LEFT(I518,(LEN(LEFT(I518,FIND(";",I518)))-8))</f>
        <v>VNOther</v>
      </c>
      <c r="N518" s="11"/>
      <c r="O518" s="15">
        <f>-$K518*IFERROR(INDEX('[1]salary allocation'!$E$6:$J$22,MATCH($H518,'[1]salary allocation'!$D$6:$D$22,0),MATCH(O$3,'[1]salary allocation'!$E$3:$J$3,0)),0)</f>
        <v>0</v>
      </c>
      <c r="P518" s="15">
        <f>-$K518*IFERROR(INDEX('[1]salary allocation'!$E$6:$J$22,MATCH($H518,'[1]salary allocation'!$D$6:$D$22,0),MATCH(P$3,'[1]salary allocation'!$E$3:$J$3,0)),0)</f>
        <v>120797.4</v>
      </c>
      <c r="Q518" s="15">
        <f>-$K518*IFERROR(INDEX('[1]salary allocation'!$E$6:$J$22,MATCH($H518,'[1]salary allocation'!$D$6:$D$22,0),MATCH(Q$3,'[1]salary allocation'!$E$3:$J$3,0)),0)</f>
        <v>0</v>
      </c>
      <c r="R518" s="15">
        <f>-$K518*IFERROR(INDEX('[1]salary allocation'!$E$6:$J$22,MATCH($H518,'[1]salary allocation'!$D$6:$D$22,0),MATCH(R$3,'[1]salary allocation'!$E$3:$J$3,0)),0)</f>
        <v>0</v>
      </c>
      <c r="S518" s="15">
        <f>-$K518*IFERROR(INDEX('[1]salary allocation'!$E$6:$J$22,MATCH($H518,'[1]salary allocation'!$D$6:$D$22,0),MATCH(S$3,'[1]salary allocation'!$E$3:$J$3,0)),0)</f>
        <v>136903.72</v>
      </c>
      <c r="T518" s="15">
        <f>-$K518*IFERROR(INDEX('[1]salary allocation'!$E$6:$J$22,MATCH($H518,'[1]salary allocation'!$D$6:$D$22,0),MATCH(T$3,'[1]salary allocation'!$E$3:$J$3,0)),0)</f>
        <v>136903.72</v>
      </c>
      <c r="U518" s="15">
        <f>-$K518*IFERROR(INDEX('[1]salary allocation'!$E$6:$J$22,MATCH($H518,'[1]salary allocation'!$D$6:$D$22,0),MATCH(U$3,'[1]salary allocation'!$E$3:$J$3,0)),0)</f>
        <v>136903.72</v>
      </c>
      <c r="V518" s="15">
        <f>-$K518*IFERROR(INDEX('[1]salary allocation'!$E$6:$J$22,MATCH($H518,'[1]salary allocation'!$D$6:$D$22,0),MATCH(V$3,'[1]salary allocation'!$E$3:$J$3,0)),0)</f>
        <v>0</v>
      </c>
      <c r="W518" s="15">
        <f>-$K518*IFERROR(INDEX('[1]salary allocation'!$E$6:$J$22,MATCH($H518,'[1]salary allocation'!$D$6:$D$22,0),MATCH(W$3,'[1]salary allocation'!$E$3:$J$3,0)),0)</f>
        <v>273807.44</v>
      </c>
      <c r="X518" s="15">
        <f>-$K518*IFERROR(INDEX('[1]salary allocation'!$E$6:$J$22,MATCH($H518,'[1]salary allocation'!$D$6:$D$22,0),MATCH(X$3,'[1]salary allocation'!$E$3:$J$3,0)),0)</f>
        <v>0</v>
      </c>
      <c r="Y518" s="15">
        <f>-$K518*IFERROR(INDEX('[1]salary allocation'!$E$6:$J$22,MATCH($H518,'[1]salary allocation'!$D$6:$D$22,0),MATCH(Y$3,'[1]salary allocation'!$E$3:$J$3,0)),0)</f>
        <v>0</v>
      </c>
      <c r="Z518" s="15">
        <f>-$K518*IFERROR(INDEX('[1]salary allocation'!$E$6:$J$22,MATCH($H518,'[1]salary allocation'!$D$6:$D$22,0),MATCH(Z$3,'[1]salary allocation'!$E$3:$J$3,0)),0)</f>
        <v>0</v>
      </c>
      <c r="AA518" s="15">
        <f>-$K518*IFERROR(INDEX('[1]salary allocation'!$E$6:$J$22,MATCH($H518,'[1]salary allocation'!$D$6:$D$22,0),MATCH(AA$3,'[1]salary allocation'!$E$3:$J$3,0)),0)</f>
        <v>0</v>
      </c>
      <c r="AB518" s="15">
        <f>-$K518*IFERROR(INDEX('[1]salary allocation'!$E$6:$J$22,MATCH($H518,'[1]salary allocation'!$D$6:$D$22,0),MATCH(AB$3,'[1]salary allocation'!$E$3:$J$3,0)),0)</f>
        <v>0</v>
      </c>
      <c r="AC518" s="18">
        <f>-$K518*IFERROR(INDEX('[1]salary allocation'!$E$6:$J$22,MATCH($H518,'[1]salary allocation'!$D$6:$D$22,0),MATCH(AC$3,'[1]salary allocation'!$E$3:$J$3,0)),0)</f>
        <v>0</v>
      </c>
      <c r="AD518" s="17"/>
      <c r="AE518" s="16"/>
      <c r="AF518" s="15">
        <f>-$K518</f>
        <v>805316</v>
      </c>
      <c r="AG518" s="15"/>
      <c r="AH518" s="2">
        <f>K518+SUM(O518:AC518)</f>
        <v>0</v>
      </c>
      <c r="AI518" s="2">
        <f>K518+SUM(AF518:AG518)</f>
        <v>0</v>
      </c>
    </row>
    <row r="519" spans="1:35" x14ac:dyDescent="0.2">
      <c r="A519" s="11" t="s">
        <v>61</v>
      </c>
      <c r="B519" s="22">
        <v>45859</v>
      </c>
      <c r="H519" s="11" t="s">
        <v>153</v>
      </c>
      <c r="I519" s="11" t="s">
        <v>366</v>
      </c>
      <c r="K519" s="13">
        <v>-113546</v>
      </c>
      <c r="L519" s="12">
        <v>72025</v>
      </c>
      <c r="M519" s="11" t="str">
        <f>LEFT(I519,(LEN(LEFT(I519,FIND(";",I519)))-8))</f>
        <v>VNBN</v>
      </c>
      <c r="N519" s="11"/>
      <c r="O519" s="2">
        <f>IF($M519=O$3,-$K519,0)</f>
        <v>0</v>
      </c>
      <c r="P519" s="2">
        <f>IF($M519=P$3,-$K519,0)</f>
        <v>0</v>
      </c>
      <c r="Q519" s="2">
        <f>IF($M519=Q$3,-$K519,0)</f>
        <v>0</v>
      </c>
      <c r="R519" s="2">
        <f>IF($M519=R$3,-$K519,0)</f>
        <v>0</v>
      </c>
      <c r="S519" s="2">
        <f>IF($M519=S$3,-$K519,0)</f>
        <v>0</v>
      </c>
      <c r="T519" s="2">
        <f>IF($M519=T$3,-$K519,0)</f>
        <v>0</v>
      </c>
      <c r="U519" s="2">
        <f>IF($M519=U$3,-$K519,0)</f>
        <v>0</v>
      </c>
      <c r="V519" s="2">
        <f>IF($M519=V$3,-$K519,0)</f>
        <v>0</v>
      </c>
      <c r="W519" s="2">
        <f>IF($M519=W$3,-$K519,0)</f>
        <v>0</v>
      </c>
      <c r="X519" s="2">
        <f>IF($M519=X$3,-$K519,0)</f>
        <v>0</v>
      </c>
      <c r="Y519" s="2">
        <f>IF($M519=Y$3,-$K519,0)</f>
        <v>0</v>
      </c>
      <c r="Z519" s="2">
        <f>IF($M519=Z$3,-$K519,0)</f>
        <v>0</v>
      </c>
      <c r="AA519" s="2">
        <f>IF($M519=AA$3,-$K519,0)</f>
        <v>113546</v>
      </c>
      <c r="AB519" s="2">
        <f>IF($M519=AB$3,-$K519,0)</f>
        <v>0</v>
      </c>
      <c r="AC519" s="21">
        <f>IF($M519=AC$3,-$K519,0)</f>
        <v>0</v>
      </c>
      <c r="AD519" s="20"/>
      <c r="AE519" s="19"/>
      <c r="AF519" s="2"/>
      <c r="AG519" s="2">
        <f>-K519</f>
        <v>113546</v>
      </c>
      <c r="AH519" s="2">
        <f>K519+SUM(O519:AC519)</f>
        <v>0</v>
      </c>
      <c r="AI519" s="2">
        <f>K519+SUM(AF519:AG519)</f>
        <v>0</v>
      </c>
    </row>
    <row r="520" spans="1:35" x14ac:dyDescent="0.2">
      <c r="A520" s="11" t="s">
        <v>61</v>
      </c>
      <c r="B520" s="22">
        <v>45859</v>
      </c>
      <c r="H520" s="11" t="s">
        <v>151</v>
      </c>
      <c r="I520" s="11" t="s">
        <v>365</v>
      </c>
      <c r="K520" s="13">
        <v>-186473</v>
      </c>
      <c r="L520" s="12">
        <v>72025</v>
      </c>
      <c r="M520" s="11" t="str">
        <f>LEFT(I520,(LEN(LEFT(I520,FIND(";",I520)))-8))</f>
        <v>VNQN</v>
      </c>
      <c r="N520" s="11"/>
      <c r="O520" s="2">
        <f>IF($M520=O$3,-$K520,0)</f>
        <v>0</v>
      </c>
      <c r="P520" s="2">
        <f>IF($M520=P$3,-$K520,0)</f>
        <v>0</v>
      </c>
      <c r="Q520" s="2">
        <f>IF($M520=Q$3,-$K520,0)</f>
        <v>0</v>
      </c>
      <c r="R520" s="2">
        <f>IF($M520=R$3,-$K520,0)</f>
        <v>0</v>
      </c>
      <c r="S520" s="2">
        <f>IF($M520=S$3,-$K520,0)</f>
        <v>0</v>
      </c>
      <c r="T520" s="2">
        <f>IF($M520=T$3,-$K520,0)</f>
        <v>186473</v>
      </c>
      <c r="U520" s="2">
        <f>IF($M520=U$3,-$K520,0)</f>
        <v>0</v>
      </c>
      <c r="V520" s="2">
        <f>IF($M520=V$3,-$K520,0)</f>
        <v>0</v>
      </c>
      <c r="W520" s="2">
        <f>IF($M520=W$3,-$K520,0)</f>
        <v>0</v>
      </c>
      <c r="X520" s="2">
        <f>IF($M520=X$3,-$K520,0)</f>
        <v>0</v>
      </c>
      <c r="Y520" s="2">
        <f>IF($M520=Y$3,-$K520,0)</f>
        <v>0</v>
      </c>
      <c r="Z520" s="2">
        <f>IF($M520=Z$3,-$K520,0)</f>
        <v>0</v>
      </c>
      <c r="AA520" s="2">
        <f>IF($M520=AA$3,-$K520,0)</f>
        <v>0</v>
      </c>
      <c r="AB520" s="2">
        <f>IF($M520=AB$3,-$K520,0)</f>
        <v>0</v>
      </c>
      <c r="AC520" s="21">
        <f>IF($M520=AC$3,-$K520,0)</f>
        <v>0</v>
      </c>
      <c r="AD520" s="20"/>
      <c r="AE520" s="19"/>
      <c r="AF520" s="2"/>
      <c r="AG520" s="2">
        <f>-$K520</f>
        <v>186473</v>
      </c>
      <c r="AH520" s="2">
        <f>K520+SUM(O520:AC520)</f>
        <v>0</v>
      </c>
      <c r="AI520" s="2">
        <f>K520+SUM(AF520:AG520)</f>
        <v>0</v>
      </c>
    </row>
    <row r="521" spans="1:35" x14ac:dyDescent="0.2">
      <c r="A521" s="11" t="s">
        <v>61</v>
      </c>
      <c r="B521" s="22">
        <v>45859</v>
      </c>
      <c r="H521" s="11" t="s">
        <v>76</v>
      </c>
      <c r="I521" s="11" t="s">
        <v>364</v>
      </c>
      <c r="K521" s="13">
        <v>-17403078</v>
      </c>
      <c r="L521" s="12">
        <v>72025</v>
      </c>
      <c r="M521" s="11" t="str">
        <f>LEFT(I521,(LEN(LEFT(I521,FIND(";",I521)))-8))</f>
        <v>VNMOET</v>
      </c>
      <c r="N521" s="11"/>
      <c r="O521" s="2">
        <f>IF($M521=O$3,-$K521,0)</f>
        <v>0</v>
      </c>
      <c r="P521" s="2">
        <f>IF($M521=P$3,-$K521,0)</f>
        <v>0</v>
      </c>
      <c r="Q521" s="2">
        <f>IF($M521=Q$3,-$K521,0)</f>
        <v>0</v>
      </c>
      <c r="R521" s="2">
        <f>IF($M521=R$3,-$K521,0)</f>
        <v>0</v>
      </c>
      <c r="S521" s="2">
        <f>IF($M521=S$3,-$K521,0)</f>
        <v>0</v>
      </c>
      <c r="T521" s="2">
        <f>IF($M521=T$3,-$K521,0)</f>
        <v>0</v>
      </c>
      <c r="U521" s="2">
        <f>IF($M521=U$3,-$K521,0)</f>
        <v>0</v>
      </c>
      <c r="V521" s="2">
        <f>IF($M521=V$3,-$K521,0)</f>
        <v>0</v>
      </c>
      <c r="W521" s="2">
        <f>IF($M521=W$3,-$K521,0)</f>
        <v>17403078</v>
      </c>
      <c r="X521" s="2">
        <f>IF($M521=X$3,-$K521,0)</f>
        <v>0</v>
      </c>
      <c r="Y521" s="2">
        <f>IF($M521=Y$3,-$K521,0)</f>
        <v>0</v>
      </c>
      <c r="Z521" s="2">
        <f>IF($M521=Z$3,-$K521,0)</f>
        <v>0</v>
      </c>
      <c r="AA521" s="2">
        <f>IF($M521=AA$3,-$K521,0)</f>
        <v>0</v>
      </c>
      <c r="AB521" s="2">
        <f>IF($M521=AB$3,-$K521,0)</f>
        <v>0</v>
      </c>
      <c r="AC521" s="21">
        <f>IF($M521=AC$3,-$K521,0)</f>
        <v>0</v>
      </c>
      <c r="AD521" s="20"/>
      <c r="AE521" s="19"/>
      <c r="AF521" s="2">
        <f>-$K521</f>
        <v>17403078</v>
      </c>
      <c r="AG521" s="2"/>
      <c r="AH521" s="2">
        <f>K521+SUM(O521:AC521)</f>
        <v>0</v>
      </c>
      <c r="AI521" s="2">
        <f>K521+SUM(AF521:AG521)</f>
        <v>0</v>
      </c>
    </row>
    <row r="522" spans="1:35" x14ac:dyDescent="0.2">
      <c r="A522" s="11" t="s">
        <v>61</v>
      </c>
      <c r="B522" s="22">
        <v>45859</v>
      </c>
      <c r="H522" s="11" t="s">
        <v>17</v>
      </c>
      <c r="I522" s="11" t="s">
        <v>363</v>
      </c>
      <c r="K522" s="13">
        <v>-54046</v>
      </c>
      <c r="L522" s="12">
        <v>72025</v>
      </c>
      <c r="M522" s="11" t="str">
        <f>LEFT(I522,(LEN(LEFT(I522,FIND(";",I522)))-8))</f>
        <v>VNQN</v>
      </c>
      <c r="N522" s="11"/>
      <c r="O522" s="2">
        <f>IF($M522=O$3,-$K522,0)</f>
        <v>0</v>
      </c>
      <c r="P522" s="2">
        <f>IF($M522=P$3,-$K522,0)</f>
        <v>0</v>
      </c>
      <c r="Q522" s="2">
        <f>IF($M522=Q$3,-$K522,0)</f>
        <v>0</v>
      </c>
      <c r="R522" s="2">
        <f>IF($M522=R$3,-$K522,0)</f>
        <v>0</v>
      </c>
      <c r="S522" s="2">
        <f>IF($M522=S$3,-$K522,0)</f>
        <v>0</v>
      </c>
      <c r="T522" s="2">
        <f>IF($M522=T$3,-$K522,0)</f>
        <v>54046</v>
      </c>
      <c r="U522" s="2">
        <f>IF($M522=U$3,-$K522,0)</f>
        <v>0</v>
      </c>
      <c r="V522" s="2">
        <f>IF($M522=V$3,-$K522,0)</f>
        <v>0</v>
      </c>
      <c r="W522" s="2">
        <f>IF($M522=W$3,-$K522,0)</f>
        <v>0</v>
      </c>
      <c r="X522" s="2">
        <f>IF($M522=X$3,-$K522,0)</f>
        <v>0</v>
      </c>
      <c r="Y522" s="2">
        <f>IF($M522=Y$3,-$K522,0)</f>
        <v>0</v>
      </c>
      <c r="Z522" s="2">
        <f>IF($M522=Z$3,-$K522,0)</f>
        <v>0</v>
      </c>
      <c r="AA522" s="2">
        <f>IF($M522=AA$3,-$K522,0)</f>
        <v>0</v>
      </c>
      <c r="AB522" s="2">
        <f>IF($M522=AB$3,-$K522,0)</f>
        <v>0</v>
      </c>
      <c r="AC522" s="21">
        <f>IF($M522=AC$3,-$K522,0)</f>
        <v>0</v>
      </c>
      <c r="AD522" s="20"/>
      <c r="AE522" s="19"/>
      <c r="AF522" s="2"/>
      <c r="AG522" s="2">
        <f>-$K522</f>
        <v>54046</v>
      </c>
      <c r="AH522" s="2">
        <f>K522+SUM(O522:AC522)</f>
        <v>0</v>
      </c>
      <c r="AI522" s="2">
        <f>K522+SUM(AF522:AG522)</f>
        <v>0</v>
      </c>
    </row>
    <row r="523" spans="1:35" x14ac:dyDescent="0.2">
      <c r="A523" s="11" t="s">
        <v>61</v>
      </c>
      <c r="B523" s="22">
        <v>45859</v>
      </c>
      <c r="H523" s="11" t="s">
        <v>11</v>
      </c>
      <c r="I523" s="11" t="s">
        <v>362</v>
      </c>
      <c r="K523" s="13">
        <v>0</v>
      </c>
      <c r="L523" s="12">
        <v>72025</v>
      </c>
      <c r="M523" s="11" t="str">
        <f>LEFT(I523,(LEN(LEFT(I523,FIND(";",I523)))-8))</f>
        <v>VNQN</v>
      </c>
      <c r="N523" s="11"/>
      <c r="O523" s="2">
        <f>IF($M523=O$3,-$K523,0)</f>
        <v>0</v>
      </c>
      <c r="P523" s="2">
        <f>IF($M523=P$3,-$K523,0)</f>
        <v>0</v>
      </c>
      <c r="Q523" s="2">
        <f>IF($M523=Q$3,-$K523,0)</f>
        <v>0</v>
      </c>
      <c r="R523" s="2">
        <f>IF($M523=R$3,-$K523,0)</f>
        <v>0</v>
      </c>
      <c r="S523" s="2">
        <f>IF($M523=S$3,-$K523,0)</f>
        <v>0</v>
      </c>
      <c r="T523" s="2">
        <f>IF($M523=T$3,-$K523,0)</f>
        <v>0</v>
      </c>
      <c r="U523" s="2">
        <f>IF($M523=U$3,-$K523,0)</f>
        <v>0</v>
      </c>
      <c r="V523" s="2">
        <f>IF($M523=V$3,-$K523,0)</f>
        <v>0</v>
      </c>
      <c r="W523" s="2">
        <f>IF($M523=W$3,-$K523,0)</f>
        <v>0</v>
      </c>
      <c r="X523" s="2">
        <f>IF($M523=X$3,-$K523,0)</f>
        <v>0</v>
      </c>
      <c r="Y523" s="2">
        <f>IF($M523=Y$3,-$K523,0)</f>
        <v>0</v>
      </c>
      <c r="Z523" s="2">
        <f>IF($M523=Z$3,-$K523,0)</f>
        <v>0</v>
      </c>
      <c r="AA523" s="2">
        <f>IF($M523=AA$3,-$K523,0)</f>
        <v>0</v>
      </c>
      <c r="AB523" s="2">
        <f>IF($M523=AB$3,-$K523,0)</f>
        <v>0</v>
      </c>
      <c r="AC523" s="21">
        <f>IF($M523=AC$3,-$K523,0)</f>
        <v>0</v>
      </c>
      <c r="AD523" s="20"/>
      <c r="AE523" s="19"/>
      <c r="AF523" s="2"/>
      <c r="AG523" s="2">
        <f>-$K523</f>
        <v>0</v>
      </c>
      <c r="AH523" s="2">
        <f>K523+SUM(O523:AC523)</f>
        <v>0</v>
      </c>
      <c r="AI523" s="2">
        <f>K523+SUM(AF523:AG523)</f>
        <v>0</v>
      </c>
    </row>
    <row r="524" spans="1:35" x14ac:dyDescent="0.2">
      <c r="A524" s="11" t="s">
        <v>61</v>
      </c>
      <c r="B524" s="22">
        <v>45859</v>
      </c>
      <c r="H524" s="11" t="s">
        <v>137</v>
      </c>
      <c r="I524" s="11" t="s">
        <v>182</v>
      </c>
      <c r="K524" s="13">
        <v>-875000</v>
      </c>
      <c r="L524" s="12">
        <v>72025</v>
      </c>
      <c r="M524" s="11" t="s">
        <v>195</v>
      </c>
      <c r="N524" s="11"/>
      <c r="O524" s="2">
        <f>IF($M524=O$3,-$K524,0)</f>
        <v>0</v>
      </c>
      <c r="P524" s="2">
        <f>IF($M524=P$3,-$K524,0)</f>
        <v>0</v>
      </c>
      <c r="Q524" s="2">
        <f>IF($M524=Q$3,-$K524,0)</f>
        <v>0</v>
      </c>
      <c r="R524" s="2">
        <f>IF($M524=R$3,-$K524,0)</f>
        <v>0</v>
      </c>
      <c r="S524" s="2">
        <f>IF($M524=S$3,-$K524,0)</f>
        <v>0</v>
      </c>
      <c r="T524" s="2">
        <f>IF($M524=T$3,-$K524,0)</f>
        <v>0</v>
      </c>
      <c r="U524" s="2">
        <f>IF($M524=U$3,-$K524,0)</f>
        <v>875000</v>
      </c>
      <c r="V524" s="2">
        <f>IF($M524=V$3,-$K524,0)</f>
        <v>0</v>
      </c>
      <c r="W524" s="2">
        <f>IF($M524=W$3,-$K524,0)</f>
        <v>0</v>
      </c>
      <c r="X524" s="2">
        <f>IF($M524=X$3,-$K524,0)</f>
        <v>0</v>
      </c>
      <c r="Y524" s="2">
        <f>IF($M524=Y$3,-$K524,0)</f>
        <v>0</v>
      </c>
      <c r="Z524" s="2">
        <f>IF($M524=Z$3,-$K524,0)</f>
        <v>0</v>
      </c>
      <c r="AA524" s="2">
        <f>IF($M524=AA$3,-$K524,0)</f>
        <v>0</v>
      </c>
      <c r="AB524" s="2">
        <f>IF($M524=AB$3,-$K524,0)</f>
        <v>0</v>
      </c>
      <c r="AC524" s="21">
        <f>IF($M524=AC$3,-$K524,0)</f>
        <v>0</v>
      </c>
      <c r="AD524" s="20"/>
      <c r="AE524" s="19"/>
      <c r="AF524" s="2"/>
      <c r="AG524" s="2">
        <f>-$K524</f>
        <v>875000</v>
      </c>
      <c r="AH524" s="2">
        <f>K524+SUM(O524:AC524)</f>
        <v>0</v>
      </c>
      <c r="AI524" s="2">
        <f>K524+SUM(AF524:AG524)</f>
        <v>0</v>
      </c>
    </row>
    <row r="525" spans="1:35" x14ac:dyDescent="0.2">
      <c r="A525" s="11" t="s">
        <v>61</v>
      </c>
      <c r="B525" s="22">
        <v>45859</v>
      </c>
      <c r="H525" s="11" t="s">
        <v>361</v>
      </c>
      <c r="I525" s="11" t="s">
        <v>182</v>
      </c>
      <c r="K525" s="13">
        <v>-1564000</v>
      </c>
      <c r="L525" s="12">
        <v>72025</v>
      </c>
      <c r="M525" s="11" t="s">
        <v>195</v>
      </c>
      <c r="N525" s="11"/>
      <c r="O525" s="2">
        <f>IF($M525=O$3,-$K525,0)</f>
        <v>0</v>
      </c>
      <c r="P525" s="2">
        <f>IF($M525=P$3,-$K525,0)</f>
        <v>0</v>
      </c>
      <c r="Q525" s="2">
        <f>IF($M525=Q$3,-$K525,0)</f>
        <v>0</v>
      </c>
      <c r="R525" s="2">
        <f>IF($M525=R$3,-$K525,0)</f>
        <v>0</v>
      </c>
      <c r="S525" s="2">
        <f>IF($M525=S$3,-$K525,0)</f>
        <v>0</v>
      </c>
      <c r="T525" s="2">
        <f>IF($M525=T$3,-$K525,0)</f>
        <v>0</v>
      </c>
      <c r="U525" s="2">
        <f>IF($M525=U$3,-$K525,0)</f>
        <v>1564000</v>
      </c>
      <c r="V525" s="2">
        <f>IF($M525=V$3,-$K525,0)</f>
        <v>0</v>
      </c>
      <c r="W525" s="2">
        <f>IF($M525=W$3,-$K525,0)</f>
        <v>0</v>
      </c>
      <c r="X525" s="2">
        <f>IF($M525=X$3,-$K525,0)</f>
        <v>0</v>
      </c>
      <c r="Y525" s="2">
        <f>IF($M525=Y$3,-$K525,0)</f>
        <v>0</v>
      </c>
      <c r="Z525" s="2">
        <f>IF($M525=Z$3,-$K525,0)</f>
        <v>0</v>
      </c>
      <c r="AA525" s="2">
        <f>IF($M525=AA$3,-$K525,0)</f>
        <v>0</v>
      </c>
      <c r="AB525" s="2">
        <f>IF($M525=AB$3,-$K525,0)</f>
        <v>0</v>
      </c>
      <c r="AC525" s="21">
        <f>IF($M525=AC$3,-$K525,0)</f>
        <v>0</v>
      </c>
      <c r="AD525" s="20"/>
      <c r="AE525" s="19"/>
      <c r="AF525" s="2"/>
      <c r="AG525" s="2">
        <f>-$K525</f>
        <v>1564000</v>
      </c>
      <c r="AH525" s="2">
        <f>K525+SUM(O525:AC525)</f>
        <v>0</v>
      </c>
      <c r="AI525" s="2">
        <f>K525+SUM(AF525:AG525)</f>
        <v>0</v>
      </c>
    </row>
    <row r="526" spans="1:35" x14ac:dyDescent="0.2">
      <c r="A526" s="11" t="s">
        <v>61</v>
      </c>
      <c r="B526" s="22">
        <v>45859</v>
      </c>
      <c r="H526" s="11" t="s">
        <v>360</v>
      </c>
      <c r="I526" s="11" t="s">
        <v>359</v>
      </c>
      <c r="K526" s="13">
        <v>-100000</v>
      </c>
      <c r="L526" s="12">
        <v>72025</v>
      </c>
      <c r="M526" s="11" t="s">
        <v>138</v>
      </c>
      <c r="N526" s="11"/>
      <c r="O526" s="2">
        <f>IF($M526=O$3,-$K526,0)</f>
        <v>0</v>
      </c>
      <c r="P526" s="2">
        <f>IF($M526=P$3,-$K526,0)</f>
        <v>0</v>
      </c>
      <c r="Q526" s="2">
        <f>IF($M526=Q$3,-$K526,0)</f>
        <v>100000</v>
      </c>
      <c r="R526" s="2">
        <f>IF($M526=R$3,-$K526,0)</f>
        <v>0</v>
      </c>
      <c r="S526" s="2">
        <f>IF($M526=S$3,-$K526,0)</f>
        <v>0</v>
      </c>
      <c r="T526" s="2">
        <f>IF($M526=T$3,-$K526,0)</f>
        <v>0</v>
      </c>
      <c r="U526" s="2">
        <f>IF($M526=U$3,-$K526,0)</f>
        <v>0</v>
      </c>
      <c r="V526" s="2">
        <f>IF($M526=V$3,-$K526,0)</f>
        <v>0</v>
      </c>
      <c r="W526" s="2">
        <f>IF($M526=W$3,-$K526,0)</f>
        <v>0</v>
      </c>
      <c r="X526" s="2">
        <f>IF($M526=X$3,-$K526,0)</f>
        <v>0</v>
      </c>
      <c r="Y526" s="2">
        <f>IF($M526=Y$3,-$K526,0)</f>
        <v>0</v>
      </c>
      <c r="Z526" s="2">
        <f>IF($M526=Z$3,-$K526,0)</f>
        <v>0</v>
      </c>
      <c r="AA526" s="2">
        <f>IF($M526=AA$3,-$K526,0)</f>
        <v>0</v>
      </c>
      <c r="AB526" s="2">
        <f>IF($M526=AB$3,-$K526,0)</f>
        <v>0</v>
      </c>
      <c r="AC526" s="21">
        <f>IF($M526=AC$3,-$K526,0)</f>
        <v>0</v>
      </c>
      <c r="AD526" s="20"/>
      <c r="AE526" s="19"/>
      <c r="AF526" s="4">
        <f>-$K526</f>
        <v>100000</v>
      </c>
      <c r="AG526" s="2"/>
      <c r="AH526" s="2">
        <f>K526+SUM(O526:AC526)</f>
        <v>0</v>
      </c>
      <c r="AI526" s="2">
        <f>K526+SUM(AF526:AG526)</f>
        <v>0</v>
      </c>
    </row>
    <row r="527" spans="1:35" s="25" customFormat="1" x14ac:dyDescent="0.2">
      <c r="A527" s="30" t="s">
        <v>99</v>
      </c>
      <c r="B527" s="33"/>
      <c r="H527" s="30"/>
      <c r="I527" s="30"/>
      <c r="K527" s="32"/>
      <c r="L527" s="31"/>
      <c r="M527" s="30"/>
      <c r="N527" s="30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9"/>
      <c r="AD527" s="28"/>
      <c r="AE527" s="27"/>
      <c r="AF527" s="26"/>
      <c r="AG527" s="26"/>
      <c r="AH527" s="26"/>
      <c r="AI527" s="2">
        <f>K527+SUM(AF527:AG527)</f>
        <v>0</v>
      </c>
    </row>
    <row r="528" spans="1:35" x14ac:dyDescent="0.2">
      <c r="A528" s="11" t="s">
        <v>61</v>
      </c>
      <c r="B528" s="22">
        <v>45890</v>
      </c>
      <c r="H528" s="11" t="s">
        <v>135</v>
      </c>
      <c r="I528" s="11" t="s">
        <v>358</v>
      </c>
      <c r="K528" s="13">
        <v>-47913720</v>
      </c>
      <c r="L528" s="12">
        <v>82025</v>
      </c>
      <c r="M528" s="11" t="str">
        <f>LEFT(I528,(LEN(LEFT(I528,FIND(";",I528)))-8))</f>
        <v>VNOther</v>
      </c>
      <c r="N528" s="11"/>
      <c r="O528" s="15">
        <f>-$K528*IFERROR(INDEX('[1]salary allocation'!$E$6:$J$22,MATCH($H528,'[1]salary allocation'!$D$6:$D$22,0),MATCH(O$3,'[1]salary allocation'!$E$3:$J$3,0)),0)</f>
        <v>0</v>
      </c>
      <c r="P528" s="15">
        <f>-$K528*IFERROR(INDEX('[1]salary allocation'!$E$6:$J$22,MATCH($H528,'[1]salary allocation'!$D$6:$D$22,0),MATCH(P$3,'[1]salary allocation'!$E$3:$J$3,0)),0)</f>
        <v>23956860</v>
      </c>
      <c r="Q528" s="15">
        <f>-$K528*IFERROR(INDEX('[1]salary allocation'!$E$6:$J$22,MATCH($H528,'[1]salary allocation'!$D$6:$D$22,0),MATCH(Q$3,'[1]salary allocation'!$E$3:$J$3,0)),0)</f>
        <v>0</v>
      </c>
      <c r="R528" s="15">
        <f>-$K528*IFERROR(INDEX('[1]salary allocation'!$E$6:$J$22,MATCH($H528,'[1]salary allocation'!$D$6:$D$22,0),MATCH(R$3,'[1]salary allocation'!$E$3:$J$3,0)),0)</f>
        <v>0</v>
      </c>
      <c r="S528" s="15">
        <f>-$K528*IFERROR(INDEX('[1]salary allocation'!$E$6:$J$22,MATCH($H528,'[1]salary allocation'!$D$6:$D$22,0),MATCH(S$3,'[1]salary allocation'!$E$3:$J$3,0)),0)</f>
        <v>4791372</v>
      </c>
      <c r="T528" s="15">
        <f>-$K528*IFERROR(INDEX('[1]salary allocation'!$E$6:$J$22,MATCH($H528,'[1]salary allocation'!$D$6:$D$22,0),MATCH(T$3,'[1]salary allocation'!$E$3:$J$3,0)),0)</f>
        <v>4791372</v>
      </c>
      <c r="U528" s="15">
        <f>-$K528*IFERROR(INDEX('[1]salary allocation'!$E$6:$J$22,MATCH($H528,'[1]salary allocation'!$D$6:$D$22,0),MATCH(U$3,'[1]salary allocation'!$E$3:$J$3,0)),0)</f>
        <v>4791372</v>
      </c>
      <c r="V528" s="15">
        <f>-$K528*IFERROR(INDEX('[1]salary allocation'!$E$6:$J$22,MATCH($H528,'[1]salary allocation'!$D$6:$D$22,0),MATCH(V$3,'[1]salary allocation'!$E$3:$J$3,0)),0)</f>
        <v>0</v>
      </c>
      <c r="W528" s="15">
        <f>-$K528*IFERROR(INDEX('[1]salary allocation'!$E$6:$J$22,MATCH($H528,'[1]salary allocation'!$D$6:$D$22,0),MATCH(W$3,'[1]salary allocation'!$E$3:$J$3,0)),0)</f>
        <v>9582744</v>
      </c>
      <c r="X528" s="15">
        <f>-$K528*IFERROR(INDEX('[1]salary allocation'!$E$6:$J$22,MATCH($H528,'[1]salary allocation'!$D$6:$D$22,0),MATCH(X$3,'[1]salary allocation'!$E$3:$J$3,0)),0)</f>
        <v>0</v>
      </c>
      <c r="Y528" s="15">
        <f>-$K528*IFERROR(INDEX('[1]salary allocation'!$E$6:$J$22,MATCH($H528,'[1]salary allocation'!$D$6:$D$22,0),MATCH(Y$3,'[1]salary allocation'!$E$3:$J$3,0)),0)</f>
        <v>0</v>
      </c>
      <c r="Z528" s="15">
        <f>-$K528*IFERROR(INDEX('[1]salary allocation'!$E$6:$J$22,MATCH($H528,'[1]salary allocation'!$D$6:$D$22,0),MATCH(Z$3,'[1]salary allocation'!$E$3:$J$3,0)),0)</f>
        <v>0</v>
      </c>
      <c r="AA528" s="15">
        <f>-$K528*IFERROR(INDEX('[1]salary allocation'!$E$6:$J$22,MATCH($H528,'[1]salary allocation'!$D$6:$D$22,0),MATCH(AA$3,'[1]salary allocation'!$E$3:$J$3,0)),0)</f>
        <v>0</v>
      </c>
      <c r="AB528" s="15">
        <f>-$K528*IFERROR(INDEX('[1]salary allocation'!$E$6:$J$22,MATCH($H528,'[1]salary allocation'!$D$6:$D$22,0),MATCH(AB$3,'[1]salary allocation'!$E$3:$J$3,0)),0)</f>
        <v>0</v>
      </c>
      <c r="AC528" s="18">
        <f>-$K528*IFERROR(INDEX('[1]salary allocation'!$E$6:$J$22,MATCH($H528,'[1]salary allocation'!$D$6:$D$22,0),MATCH(AC$3,'[1]salary allocation'!$E$3:$J$3,0)),0)</f>
        <v>0</v>
      </c>
      <c r="AD528" s="17"/>
      <c r="AE528" s="16"/>
      <c r="AF528" s="15">
        <f>-$K528</f>
        <v>47913720</v>
      </c>
      <c r="AG528" s="15"/>
      <c r="AH528" s="2">
        <f>K528+SUM(O528:AC528)</f>
        <v>0</v>
      </c>
      <c r="AI528" s="2">
        <f>K528+SUM(AF528:AG528)</f>
        <v>0</v>
      </c>
    </row>
    <row r="529" spans="1:35" x14ac:dyDescent="0.2">
      <c r="A529" s="11" t="s">
        <v>61</v>
      </c>
      <c r="B529" s="22">
        <v>45890</v>
      </c>
      <c r="F529" s="13">
        <v>-6825001</v>
      </c>
      <c r="H529" s="11" t="s">
        <v>57</v>
      </c>
      <c r="I529" s="11" t="s">
        <v>357</v>
      </c>
      <c r="K529" s="13"/>
      <c r="L529" s="12">
        <v>82025</v>
      </c>
      <c r="M529" s="11" t="str">
        <f>LEFT(I529,(LEN(LEFT(I529,FIND(";",I529)))-8))</f>
        <v>VNOther</v>
      </c>
      <c r="N529" s="11"/>
      <c r="O529" s="15">
        <f>-$K529*IFERROR(INDEX('[1]salary allocation'!$E$6:$J$22,MATCH($H529,'[1]salary allocation'!$D$6:$D$22,0),MATCH(O$3,'[1]salary allocation'!$E$3:$J$3,0)),0)</f>
        <v>0</v>
      </c>
      <c r="P529" s="15">
        <f>-$K529*IFERROR(INDEX('[1]salary allocation'!$E$6:$J$22,MATCH($H529,'[1]salary allocation'!$D$6:$D$22,0),MATCH(P$3,'[1]salary allocation'!$E$3:$J$3,0)),0)</f>
        <v>0</v>
      </c>
      <c r="Q529" s="15">
        <f>-$K529*IFERROR(INDEX('[1]salary allocation'!$E$6:$J$22,MATCH($H529,'[1]salary allocation'!$D$6:$D$22,0),MATCH(Q$3,'[1]salary allocation'!$E$3:$J$3,0)),0)</f>
        <v>0</v>
      </c>
      <c r="R529" s="15">
        <f>-$K529*IFERROR(INDEX('[1]salary allocation'!$E$6:$J$22,MATCH($H529,'[1]salary allocation'!$D$6:$D$22,0),MATCH(R$3,'[1]salary allocation'!$E$3:$J$3,0)),0)</f>
        <v>0</v>
      </c>
      <c r="S529" s="15">
        <f>-$K529*IFERROR(INDEX('[1]salary allocation'!$E$6:$J$22,MATCH($H529,'[1]salary allocation'!$D$6:$D$22,0),MATCH(S$3,'[1]salary allocation'!$E$3:$J$3,0)),0)</f>
        <v>0</v>
      </c>
      <c r="T529" s="15">
        <f>-$K529*IFERROR(INDEX('[1]salary allocation'!$E$6:$J$22,MATCH($H529,'[1]salary allocation'!$D$6:$D$22,0),MATCH(T$3,'[1]salary allocation'!$E$3:$J$3,0)),0)</f>
        <v>0</v>
      </c>
      <c r="U529" s="15">
        <f>-$K529*IFERROR(INDEX('[1]salary allocation'!$E$6:$J$22,MATCH($H529,'[1]salary allocation'!$D$6:$D$22,0),MATCH(U$3,'[1]salary allocation'!$E$3:$J$3,0)),0)</f>
        <v>0</v>
      </c>
      <c r="V529" s="15">
        <f>-$K529*IFERROR(INDEX('[1]salary allocation'!$E$6:$J$22,MATCH($H529,'[1]salary allocation'!$D$6:$D$22,0),MATCH(V$3,'[1]salary allocation'!$E$3:$J$3,0)),0)</f>
        <v>0</v>
      </c>
      <c r="W529" s="15">
        <f>-$K529*IFERROR(INDEX('[1]salary allocation'!$E$6:$J$22,MATCH($H529,'[1]salary allocation'!$D$6:$D$22,0),MATCH(W$3,'[1]salary allocation'!$E$3:$J$3,0)),0)</f>
        <v>0</v>
      </c>
      <c r="X529" s="15">
        <f>-$K529*IFERROR(INDEX('[1]salary allocation'!$E$6:$J$22,MATCH($H529,'[1]salary allocation'!$D$6:$D$22,0),MATCH(X$3,'[1]salary allocation'!$E$3:$J$3,0)),0)</f>
        <v>0</v>
      </c>
      <c r="Y529" s="15">
        <f>-$K529*IFERROR(INDEX('[1]salary allocation'!$E$6:$J$22,MATCH($H529,'[1]salary allocation'!$D$6:$D$22,0),MATCH(Y$3,'[1]salary allocation'!$E$3:$J$3,0)),0)</f>
        <v>0</v>
      </c>
      <c r="Z529" s="15">
        <f>-$K529*IFERROR(INDEX('[1]salary allocation'!$E$6:$J$22,MATCH($H529,'[1]salary allocation'!$D$6:$D$22,0),MATCH(Z$3,'[1]salary allocation'!$E$3:$J$3,0)),0)</f>
        <v>0</v>
      </c>
      <c r="AA529" s="15">
        <f>-$K529*IFERROR(INDEX('[1]salary allocation'!$E$6:$J$22,MATCH($H529,'[1]salary allocation'!$D$6:$D$22,0),MATCH(AA$3,'[1]salary allocation'!$E$3:$J$3,0)),0)</f>
        <v>0</v>
      </c>
      <c r="AB529" s="15">
        <f>-$K529*IFERROR(INDEX('[1]salary allocation'!$E$6:$J$22,MATCH($H529,'[1]salary allocation'!$D$6:$D$22,0),MATCH(AB$3,'[1]salary allocation'!$E$3:$J$3,0)),0)</f>
        <v>0</v>
      </c>
      <c r="AC529" s="18">
        <f>-$K529*IFERROR(INDEX('[1]salary allocation'!$E$6:$J$22,MATCH($H529,'[1]salary allocation'!$D$6:$D$22,0),MATCH(AC$3,'[1]salary allocation'!$E$3:$J$3,0)),0)</f>
        <v>0</v>
      </c>
      <c r="AD529" s="17"/>
      <c r="AE529" s="16"/>
      <c r="AF529" s="15">
        <f>-$K529</f>
        <v>0</v>
      </c>
      <c r="AG529" s="15"/>
      <c r="AH529" s="2">
        <f>K529+SUM(O529:AC529)</f>
        <v>0</v>
      </c>
      <c r="AI529" s="2">
        <f>K529+SUM(AF529:AG529)</f>
        <v>0</v>
      </c>
    </row>
    <row r="530" spans="1:35" x14ac:dyDescent="0.2">
      <c r="A530" s="11" t="s">
        <v>61</v>
      </c>
      <c r="B530" s="22">
        <v>45890</v>
      </c>
      <c r="H530" s="11" t="s">
        <v>55</v>
      </c>
      <c r="I530" s="11" t="s">
        <v>356</v>
      </c>
      <c r="K530" s="13">
        <v>-8686159</v>
      </c>
      <c r="L530" s="12">
        <v>82025</v>
      </c>
      <c r="M530" s="11" t="str">
        <f>LEFT(I530,(LEN(LEFT(I530,FIND(";",I530)))-8))</f>
        <v>VNHBC</v>
      </c>
      <c r="N530" s="11"/>
      <c r="O530" s="15">
        <f>-$K530*IFERROR(INDEX('[1]salary allocation'!$E$6:$J$22,MATCH($H530,'[1]salary allocation'!$D$6:$D$22,0),MATCH(O$3,'[1]salary allocation'!$E$3:$J$3,0)),0)</f>
        <v>0</v>
      </c>
      <c r="P530" s="15">
        <f>-$K530*IFERROR(INDEX('[1]salary allocation'!$E$6:$J$22,MATCH($H530,'[1]salary allocation'!$D$6:$D$22,0),MATCH(P$3,'[1]salary allocation'!$E$3:$J$3,0)),0)</f>
        <v>0</v>
      </c>
      <c r="Q530" s="15">
        <f>-$K530*IFERROR(INDEX('[1]salary allocation'!$E$6:$J$22,MATCH($H530,'[1]salary allocation'!$D$6:$D$22,0),MATCH(Q$3,'[1]salary allocation'!$E$3:$J$3,0)),0)</f>
        <v>0</v>
      </c>
      <c r="R530" s="15">
        <f>-$K530*IFERROR(INDEX('[1]salary allocation'!$E$6:$J$22,MATCH($H530,'[1]salary allocation'!$D$6:$D$22,0),MATCH(R$3,'[1]salary allocation'!$E$3:$J$3,0)),0)</f>
        <v>0</v>
      </c>
      <c r="S530" s="15">
        <f>-$K530*IFERROR(INDEX('[1]salary allocation'!$E$6:$J$22,MATCH($H530,'[1]salary allocation'!$D$6:$D$22,0),MATCH(S$3,'[1]salary allocation'!$E$3:$J$3,0)),0)</f>
        <v>1737231.8</v>
      </c>
      <c r="T530" s="15">
        <f>-$K530*IFERROR(INDEX('[1]salary allocation'!$E$6:$J$22,MATCH($H530,'[1]salary allocation'!$D$6:$D$22,0),MATCH(T$3,'[1]salary allocation'!$E$3:$J$3,0)),0)</f>
        <v>1737231.8</v>
      </c>
      <c r="U530" s="15">
        <f>-$K530*IFERROR(INDEX('[1]salary allocation'!$E$6:$J$22,MATCH($H530,'[1]salary allocation'!$D$6:$D$22,0),MATCH(U$3,'[1]salary allocation'!$E$3:$J$3,0)),0)</f>
        <v>1737231.8</v>
      </c>
      <c r="V530" s="15">
        <f>-$K530*IFERROR(INDEX('[1]salary allocation'!$E$6:$J$22,MATCH($H530,'[1]salary allocation'!$D$6:$D$22,0),MATCH(V$3,'[1]salary allocation'!$E$3:$J$3,0)),0)</f>
        <v>0</v>
      </c>
      <c r="W530" s="15">
        <f>-$K530*IFERROR(INDEX('[1]salary allocation'!$E$6:$J$22,MATCH($H530,'[1]salary allocation'!$D$6:$D$22,0),MATCH(W$3,'[1]salary allocation'!$E$3:$J$3,0)),0)</f>
        <v>3474463.6</v>
      </c>
      <c r="X530" s="15">
        <f>-$K530*IFERROR(INDEX('[1]salary allocation'!$E$6:$J$22,MATCH($H530,'[1]salary allocation'!$D$6:$D$22,0),MATCH(X$3,'[1]salary allocation'!$E$3:$J$3,0)),0)</f>
        <v>0</v>
      </c>
      <c r="Y530" s="15">
        <f>-$K530*IFERROR(INDEX('[1]salary allocation'!$E$6:$J$22,MATCH($H530,'[1]salary allocation'!$D$6:$D$22,0),MATCH(Y$3,'[1]salary allocation'!$E$3:$J$3,0)),0)</f>
        <v>0</v>
      </c>
      <c r="Z530" s="15">
        <f>-$K530*IFERROR(INDEX('[1]salary allocation'!$E$6:$J$22,MATCH($H530,'[1]salary allocation'!$D$6:$D$22,0),MATCH(Z$3,'[1]salary allocation'!$E$3:$J$3,0)),0)</f>
        <v>0</v>
      </c>
      <c r="AA530" s="15">
        <f>-$K530*IFERROR(INDEX('[1]salary allocation'!$E$6:$J$22,MATCH($H530,'[1]salary allocation'!$D$6:$D$22,0),MATCH(AA$3,'[1]salary allocation'!$E$3:$J$3,0)),0)</f>
        <v>0</v>
      </c>
      <c r="AB530" s="15">
        <f>-$K530*IFERROR(INDEX('[1]salary allocation'!$E$6:$J$22,MATCH($H530,'[1]salary allocation'!$D$6:$D$22,0),MATCH(AB$3,'[1]salary allocation'!$E$3:$J$3,0)),0)</f>
        <v>0</v>
      </c>
      <c r="AC530" s="18">
        <f>-$K530*IFERROR(INDEX('[1]salary allocation'!$E$6:$J$22,MATCH($H530,'[1]salary allocation'!$D$6:$D$22,0),MATCH(AC$3,'[1]salary allocation'!$E$3:$J$3,0)),0)</f>
        <v>0</v>
      </c>
      <c r="AD530" s="17"/>
      <c r="AE530" s="16"/>
      <c r="AF530" s="15"/>
      <c r="AG530" s="15">
        <f>-$K530</f>
        <v>8686159</v>
      </c>
      <c r="AH530" s="2">
        <f>K530+SUM(O530:AC530)</f>
        <v>0</v>
      </c>
      <c r="AI530" s="2">
        <f>K530+SUM(AF530:AG530)</f>
        <v>0</v>
      </c>
    </row>
    <row r="531" spans="1:35" x14ac:dyDescent="0.2">
      <c r="A531" s="11" t="s">
        <v>61</v>
      </c>
      <c r="B531" s="22">
        <v>45890</v>
      </c>
      <c r="H531" s="11" t="s">
        <v>53</v>
      </c>
      <c r="I531" s="11" t="s">
        <v>355</v>
      </c>
      <c r="K531" s="13">
        <v>-5228799</v>
      </c>
      <c r="L531" s="12">
        <v>82025</v>
      </c>
      <c r="M531" s="11" t="str">
        <f>LEFT(I531,(LEN(LEFT(I531,FIND(";",I531)))-8))</f>
        <v>VNOther</v>
      </c>
      <c r="N531" s="11"/>
      <c r="O531" s="15">
        <f>-$K531*IFERROR(INDEX('[1]salary allocation'!$E$6:$J$22,MATCH($H531,'[1]salary allocation'!$D$6:$D$22,0),MATCH(O$3,'[1]salary allocation'!$E$3:$J$3,0)),0)</f>
        <v>0</v>
      </c>
      <c r="P531" s="15">
        <f>-$K531*IFERROR(INDEX('[1]salary allocation'!$E$6:$J$22,MATCH($H531,'[1]salary allocation'!$D$6:$D$22,0),MATCH(P$3,'[1]salary allocation'!$E$3:$J$3,0)),0)</f>
        <v>784319.85</v>
      </c>
      <c r="Q531" s="15">
        <f>-$K531*IFERROR(INDEX('[1]salary allocation'!$E$6:$J$22,MATCH($H531,'[1]salary allocation'!$D$6:$D$22,0),MATCH(Q$3,'[1]salary allocation'!$E$3:$J$3,0)),0)</f>
        <v>0</v>
      </c>
      <c r="R531" s="15">
        <f>-$K531*IFERROR(INDEX('[1]salary allocation'!$E$6:$J$22,MATCH($H531,'[1]salary allocation'!$D$6:$D$22,0),MATCH(R$3,'[1]salary allocation'!$E$3:$J$3,0)),0)</f>
        <v>0</v>
      </c>
      <c r="S531" s="15">
        <f>-$K531*IFERROR(INDEX('[1]salary allocation'!$E$6:$J$22,MATCH($H531,'[1]salary allocation'!$D$6:$D$22,0),MATCH(S$3,'[1]salary allocation'!$E$3:$J$3,0)),0)</f>
        <v>888895.83</v>
      </c>
      <c r="T531" s="15">
        <f>-$K531*IFERROR(INDEX('[1]salary allocation'!$E$6:$J$22,MATCH($H531,'[1]salary allocation'!$D$6:$D$22,0),MATCH(T$3,'[1]salary allocation'!$E$3:$J$3,0)),0)</f>
        <v>888895.83</v>
      </c>
      <c r="U531" s="15">
        <f>-$K531*IFERROR(INDEX('[1]salary allocation'!$E$6:$J$22,MATCH($H531,'[1]salary allocation'!$D$6:$D$22,0),MATCH(U$3,'[1]salary allocation'!$E$3:$J$3,0)),0)</f>
        <v>888895.83</v>
      </c>
      <c r="V531" s="15">
        <f>-$K531*IFERROR(INDEX('[1]salary allocation'!$E$6:$J$22,MATCH($H531,'[1]salary allocation'!$D$6:$D$22,0),MATCH(V$3,'[1]salary allocation'!$E$3:$J$3,0)),0)</f>
        <v>0</v>
      </c>
      <c r="W531" s="15">
        <f>-$K531*IFERROR(INDEX('[1]salary allocation'!$E$6:$J$22,MATCH($H531,'[1]salary allocation'!$D$6:$D$22,0),MATCH(W$3,'[1]salary allocation'!$E$3:$J$3,0)),0)</f>
        <v>1777791.66</v>
      </c>
      <c r="X531" s="15">
        <f>-$K531*IFERROR(INDEX('[1]salary allocation'!$E$6:$J$22,MATCH($H531,'[1]salary allocation'!$D$6:$D$22,0),MATCH(X$3,'[1]salary allocation'!$E$3:$J$3,0)),0)</f>
        <v>0</v>
      </c>
      <c r="Y531" s="15">
        <f>-$K531*IFERROR(INDEX('[1]salary allocation'!$E$6:$J$22,MATCH($H531,'[1]salary allocation'!$D$6:$D$22,0),MATCH(Y$3,'[1]salary allocation'!$E$3:$J$3,0)),0)</f>
        <v>0</v>
      </c>
      <c r="Z531" s="15">
        <f>-$K531*IFERROR(INDEX('[1]salary allocation'!$E$6:$J$22,MATCH($H531,'[1]salary allocation'!$D$6:$D$22,0),MATCH(Z$3,'[1]salary allocation'!$E$3:$J$3,0)),0)</f>
        <v>0</v>
      </c>
      <c r="AA531" s="15">
        <f>-$K531*IFERROR(INDEX('[1]salary allocation'!$E$6:$J$22,MATCH($H531,'[1]salary allocation'!$D$6:$D$22,0),MATCH(AA$3,'[1]salary allocation'!$E$3:$J$3,0)),0)</f>
        <v>0</v>
      </c>
      <c r="AB531" s="15">
        <f>-$K531*IFERROR(INDEX('[1]salary allocation'!$E$6:$J$22,MATCH($H531,'[1]salary allocation'!$D$6:$D$22,0),MATCH(AB$3,'[1]salary allocation'!$E$3:$J$3,0)),0)</f>
        <v>0</v>
      </c>
      <c r="AC531" s="18">
        <f>-$K531*IFERROR(INDEX('[1]salary allocation'!$E$6:$J$22,MATCH($H531,'[1]salary allocation'!$D$6:$D$22,0),MATCH(AC$3,'[1]salary allocation'!$E$3:$J$3,0)),0)</f>
        <v>0</v>
      </c>
      <c r="AD531" s="17"/>
      <c r="AE531" s="16"/>
      <c r="AF531" s="15">
        <f>-$K531</f>
        <v>5228799</v>
      </c>
      <c r="AG531" s="15"/>
      <c r="AH531" s="2">
        <f>K531+SUM(O531:AC531)</f>
        <v>0</v>
      </c>
      <c r="AI531" s="2">
        <f>K531+SUM(AF531:AG531)</f>
        <v>0</v>
      </c>
    </row>
    <row r="532" spans="1:35" x14ac:dyDescent="0.2">
      <c r="A532" s="11" t="s">
        <v>61</v>
      </c>
      <c r="B532" s="22">
        <v>45890</v>
      </c>
      <c r="H532" s="11" t="s">
        <v>51</v>
      </c>
      <c r="I532" s="11" t="s">
        <v>354</v>
      </c>
      <c r="K532" s="13">
        <v>-2299023</v>
      </c>
      <c r="L532" s="12">
        <v>82025</v>
      </c>
      <c r="M532" s="11" t="str">
        <f>LEFT(I532,(LEN(LEFT(I532,FIND(";",I532)))-8))</f>
        <v>VNOther</v>
      </c>
      <c r="N532" s="11"/>
      <c r="O532" s="15">
        <f>-$K532*IFERROR(INDEX('[1]salary allocation'!$E$6:$J$22,MATCH($H532,'[1]salary allocation'!$D$6:$D$22,0),MATCH(O$3,'[1]salary allocation'!$E$3:$J$3,0)),0)</f>
        <v>0</v>
      </c>
      <c r="P532" s="15">
        <f>-$K532*IFERROR(INDEX('[1]salary allocation'!$E$6:$J$22,MATCH($H532,'[1]salary allocation'!$D$6:$D$22,0),MATCH(P$3,'[1]salary allocation'!$E$3:$J$3,0)),0)</f>
        <v>1149511.5</v>
      </c>
      <c r="Q532" s="15">
        <f>-$K532*IFERROR(INDEX('[1]salary allocation'!$E$6:$J$22,MATCH($H532,'[1]salary allocation'!$D$6:$D$22,0),MATCH(Q$3,'[1]salary allocation'!$E$3:$J$3,0)),0)</f>
        <v>0</v>
      </c>
      <c r="R532" s="15">
        <f>-$K532*IFERROR(INDEX('[1]salary allocation'!$E$6:$J$22,MATCH($H532,'[1]salary allocation'!$D$6:$D$22,0),MATCH(R$3,'[1]salary allocation'!$E$3:$J$3,0)),0)</f>
        <v>0</v>
      </c>
      <c r="S532" s="15">
        <f>-$K532*IFERROR(INDEX('[1]salary allocation'!$E$6:$J$22,MATCH($H532,'[1]salary allocation'!$D$6:$D$22,0),MATCH(S$3,'[1]salary allocation'!$E$3:$J$3,0)),0)</f>
        <v>229902.30000000002</v>
      </c>
      <c r="T532" s="15">
        <f>-$K532*IFERROR(INDEX('[1]salary allocation'!$E$6:$J$22,MATCH($H532,'[1]salary allocation'!$D$6:$D$22,0),MATCH(T$3,'[1]salary allocation'!$E$3:$J$3,0)),0)</f>
        <v>229902.30000000002</v>
      </c>
      <c r="U532" s="15">
        <f>-$K532*IFERROR(INDEX('[1]salary allocation'!$E$6:$J$22,MATCH($H532,'[1]salary allocation'!$D$6:$D$22,0),MATCH(U$3,'[1]salary allocation'!$E$3:$J$3,0)),0)</f>
        <v>229902.30000000002</v>
      </c>
      <c r="V532" s="15">
        <f>-$K532*IFERROR(INDEX('[1]salary allocation'!$E$6:$J$22,MATCH($H532,'[1]salary allocation'!$D$6:$D$22,0),MATCH(V$3,'[1]salary allocation'!$E$3:$J$3,0)),0)</f>
        <v>0</v>
      </c>
      <c r="W532" s="15">
        <f>-$K532*IFERROR(INDEX('[1]salary allocation'!$E$6:$J$22,MATCH($H532,'[1]salary allocation'!$D$6:$D$22,0),MATCH(W$3,'[1]salary allocation'!$E$3:$J$3,0)),0)</f>
        <v>459804.60000000003</v>
      </c>
      <c r="X532" s="15">
        <f>-$K532*IFERROR(INDEX('[1]salary allocation'!$E$6:$J$22,MATCH($H532,'[1]salary allocation'!$D$6:$D$22,0),MATCH(X$3,'[1]salary allocation'!$E$3:$J$3,0)),0)</f>
        <v>0</v>
      </c>
      <c r="Y532" s="15">
        <f>-$K532*IFERROR(INDEX('[1]salary allocation'!$E$6:$J$22,MATCH($H532,'[1]salary allocation'!$D$6:$D$22,0),MATCH(Y$3,'[1]salary allocation'!$E$3:$J$3,0)),0)</f>
        <v>0</v>
      </c>
      <c r="Z532" s="15">
        <f>-$K532*IFERROR(INDEX('[1]salary allocation'!$E$6:$J$22,MATCH($H532,'[1]salary allocation'!$D$6:$D$22,0),MATCH(Z$3,'[1]salary allocation'!$E$3:$J$3,0)),0)</f>
        <v>0</v>
      </c>
      <c r="AA532" s="15">
        <f>-$K532*IFERROR(INDEX('[1]salary allocation'!$E$6:$J$22,MATCH($H532,'[1]salary allocation'!$D$6:$D$22,0),MATCH(AA$3,'[1]salary allocation'!$E$3:$J$3,0)),0)</f>
        <v>0</v>
      </c>
      <c r="AB532" s="15">
        <f>-$K532*IFERROR(INDEX('[1]salary allocation'!$E$6:$J$22,MATCH($H532,'[1]salary allocation'!$D$6:$D$22,0),MATCH(AB$3,'[1]salary allocation'!$E$3:$J$3,0)),0)</f>
        <v>0</v>
      </c>
      <c r="AC532" s="18">
        <f>-$K532*IFERROR(INDEX('[1]salary allocation'!$E$6:$J$22,MATCH($H532,'[1]salary allocation'!$D$6:$D$22,0),MATCH(AC$3,'[1]salary allocation'!$E$3:$J$3,0)),0)</f>
        <v>0</v>
      </c>
      <c r="AD532" s="17"/>
      <c r="AE532" s="16"/>
      <c r="AF532" s="15">
        <f>-$K532</f>
        <v>2299023</v>
      </c>
      <c r="AG532" s="15"/>
      <c r="AH532" s="2">
        <f>K532+SUM(O532:AC532)</f>
        <v>0</v>
      </c>
      <c r="AI532" s="2">
        <f>K532+SUM(AF532:AG532)</f>
        <v>0</v>
      </c>
    </row>
    <row r="533" spans="1:35" x14ac:dyDescent="0.2">
      <c r="A533" s="11" t="s">
        <v>61</v>
      </c>
      <c r="B533" s="22">
        <v>45890</v>
      </c>
      <c r="H533" s="11" t="s">
        <v>49</v>
      </c>
      <c r="I533" s="11" t="s">
        <v>353</v>
      </c>
      <c r="K533" s="13">
        <v>-1370280</v>
      </c>
      <c r="L533" s="12">
        <v>82025</v>
      </c>
      <c r="M533" s="11" t="str">
        <f>LEFT(I533,(LEN(LEFT(I533,FIND(";",I533)))-8))</f>
        <v>VNMOET</v>
      </c>
      <c r="N533" s="11"/>
      <c r="O533" s="15">
        <f>-$K533*IFERROR(INDEX('[1]salary allocation'!$E$6:$J$22,MATCH($H533,'[1]salary allocation'!$D$6:$D$22,0),MATCH(O$3,'[1]salary allocation'!$E$3:$J$3,0)),0)</f>
        <v>0</v>
      </c>
      <c r="P533" s="15">
        <f>-$K533*IFERROR(INDEX('[1]salary allocation'!$E$6:$J$22,MATCH($H533,'[1]salary allocation'!$D$6:$D$22,0),MATCH(P$3,'[1]salary allocation'!$E$3:$J$3,0)),0)</f>
        <v>0</v>
      </c>
      <c r="Q533" s="15">
        <f>-$K533*IFERROR(INDEX('[1]salary allocation'!$E$6:$J$22,MATCH($H533,'[1]salary allocation'!$D$6:$D$22,0),MATCH(Q$3,'[1]salary allocation'!$E$3:$J$3,0)),0)</f>
        <v>0</v>
      </c>
      <c r="R533" s="15">
        <f>-$K533*IFERROR(INDEX('[1]salary allocation'!$E$6:$J$22,MATCH($H533,'[1]salary allocation'!$D$6:$D$22,0),MATCH(R$3,'[1]salary allocation'!$E$3:$J$3,0)),0)</f>
        <v>0</v>
      </c>
      <c r="S533" s="15">
        <f>-$K533*IFERROR(INDEX('[1]salary allocation'!$E$6:$J$22,MATCH($H533,'[1]salary allocation'!$D$6:$D$22,0),MATCH(S$3,'[1]salary allocation'!$E$3:$J$3,0)),0)</f>
        <v>274056</v>
      </c>
      <c r="T533" s="15">
        <f>-$K533*IFERROR(INDEX('[1]salary allocation'!$E$6:$J$22,MATCH($H533,'[1]salary allocation'!$D$6:$D$22,0),MATCH(T$3,'[1]salary allocation'!$E$3:$J$3,0)),0)</f>
        <v>274056</v>
      </c>
      <c r="U533" s="15">
        <f>-$K533*IFERROR(INDEX('[1]salary allocation'!$E$6:$J$22,MATCH($H533,'[1]salary allocation'!$D$6:$D$22,0),MATCH(U$3,'[1]salary allocation'!$E$3:$J$3,0)),0)</f>
        <v>274056</v>
      </c>
      <c r="V533" s="15">
        <f>-$K533*IFERROR(INDEX('[1]salary allocation'!$E$6:$J$22,MATCH($H533,'[1]salary allocation'!$D$6:$D$22,0),MATCH(V$3,'[1]salary allocation'!$E$3:$J$3,0)),0)</f>
        <v>0</v>
      </c>
      <c r="W533" s="15">
        <f>-$K533*IFERROR(INDEX('[1]salary allocation'!$E$6:$J$22,MATCH($H533,'[1]salary allocation'!$D$6:$D$22,0),MATCH(W$3,'[1]salary allocation'!$E$3:$J$3,0)),0)</f>
        <v>548112</v>
      </c>
      <c r="X533" s="15">
        <f>-$K533*IFERROR(INDEX('[1]salary allocation'!$E$6:$J$22,MATCH($H533,'[1]salary allocation'!$D$6:$D$22,0),MATCH(X$3,'[1]salary allocation'!$E$3:$J$3,0)),0)</f>
        <v>0</v>
      </c>
      <c r="Y533" s="15">
        <f>-$K533*IFERROR(INDEX('[1]salary allocation'!$E$6:$J$22,MATCH($H533,'[1]salary allocation'!$D$6:$D$22,0),MATCH(Y$3,'[1]salary allocation'!$E$3:$J$3,0)),0)</f>
        <v>0</v>
      </c>
      <c r="Z533" s="15">
        <f>-$K533*IFERROR(INDEX('[1]salary allocation'!$E$6:$J$22,MATCH($H533,'[1]salary allocation'!$D$6:$D$22,0),MATCH(Z$3,'[1]salary allocation'!$E$3:$J$3,0)),0)</f>
        <v>0</v>
      </c>
      <c r="AA533" s="15">
        <f>-$K533*IFERROR(INDEX('[1]salary allocation'!$E$6:$J$22,MATCH($H533,'[1]salary allocation'!$D$6:$D$22,0),MATCH(AA$3,'[1]salary allocation'!$E$3:$J$3,0)),0)</f>
        <v>0</v>
      </c>
      <c r="AB533" s="15">
        <f>-$K533*IFERROR(INDEX('[1]salary allocation'!$E$6:$J$22,MATCH($H533,'[1]salary allocation'!$D$6:$D$22,0),MATCH(AB$3,'[1]salary allocation'!$E$3:$J$3,0)),0)</f>
        <v>0</v>
      </c>
      <c r="AC533" s="18">
        <f>-$K533*IFERROR(INDEX('[1]salary allocation'!$E$6:$J$22,MATCH($H533,'[1]salary allocation'!$D$6:$D$22,0),MATCH(AC$3,'[1]salary allocation'!$E$3:$J$3,0)),0)</f>
        <v>0</v>
      </c>
      <c r="AD533" s="17"/>
      <c r="AE533" s="16"/>
      <c r="AF533" s="15"/>
      <c r="AG533" s="15">
        <f>-K533</f>
        <v>1370280</v>
      </c>
      <c r="AH533" s="2">
        <f>K533+SUM(O533:AC533)</f>
        <v>0</v>
      </c>
      <c r="AI533" s="2">
        <f>K533+SUM(AF533:AG533)</f>
        <v>0</v>
      </c>
    </row>
    <row r="534" spans="1:35" x14ac:dyDescent="0.2">
      <c r="A534" s="11" t="s">
        <v>61</v>
      </c>
      <c r="B534" s="22">
        <v>45890</v>
      </c>
      <c r="H534" s="11" t="s">
        <v>47</v>
      </c>
      <c r="I534" s="11" t="s">
        <v>352</v>
      </c>
      <c r="K534" s="13">
        <v>-4479394</v>
      </c>
      <c r="L534" s="12">
        <v>82025</v>
      </c>
      <c r="M534" s="11" t="str">
        <f>LEFT(I534,(LEN(LEFT(I534,FIND(";",I534)))-8))</f>
        <v>VNHBC</v>
      </c>
      <c r="N534" s="11"/>
      <c r="O534" s="15">
        <f>-$K534*IFERROR(INDEX('[1]salary allocation'!$E$6:$J$22,MATCH($H534,'[1]salary allocation'!$D$6:$D$22,0),MATCH(O$3,'[1]salary allocation'!$E$3:$J$3,0)),0)</f>
        <v>0</v>
      </c>
      <c r="P534" s="15">
        <f>-$K534*IFERROR(INDEX('[1]salary allocation'!$E$6:$J$22,MATCH($H534,'[1]salary allocation'!$D$6:$D$22,0),MATCH(P$3,'[1]salary allocation'!$E$3:$J$3,0)),0)</f>
        <v>0</v>
      </c>
      <c r="Q534" s="15">
        <f>-$K534*IFERROR(INDEX('[1]salary allocation'!$E$6:$J$22,MATCH($H534,'[1]salary allocation'!$D$6:$D$22,0),MATCH(Q$3,'[1]salary allocation'!$E$3:$J$3,0)),0)</f>
        <v>0</v>
      </c>
      <c r="R534" s="15">
        <f>-$K534*IFERROR(INDEX('[1]salary allocation'!$E$6:$J$22,MATCH($H534,'[1]salary allocation'!$D$6:$D$22,0),MATCH(R$3,'[1]salary allocation'!$E$3:$J$3,0)),0)</f>
        <v>0</v>
      </c>
      <c r="S534" s="15">
        <f>-$K534*IFERROR(INDEX('[1]salary allocation'!$E$6:$J$22,MATCH($H534,'[1]salary allocation'!$D$6:$D$22,0),MATCH(S$3,'[1]salary allocation'!$E$3:$J$3,0)),0)</f>
        <v>895878.8</v>
      </c>
      <c r="T534" s="15">
        <f>-$K534*IFERROR(INDEX('[1]salary allocation'!$E$6:$J$22,MATCH($H534,'[1]salary allocation'!$D$6:$D$22,0),MATCH(T$3,'[1]salary allocation'!$E$3:$J$3,0)),0)</f>
        <v>895878.8</v>
      </c>
      <c r="U534" s="15">
        <f>-$K534*IFERROR(INDEX('[1]salary allocation'!$E$6:$J$22,MATCH($H534,'[1]salary allocation'!$D$6:$D$22,0),MATCH(U$3,'[1]salary allocation'!$E$3:$J$3,0)),0)</f>
        <v>895878.8</v>
      </c>
      <c r="V534" s="15">
        <f>-$K534*IFERROR(INDEX('[1]salary allocation'!$E$6:$J$22,MATCH($H534,'[1]salary allocation'!$D$6:$D$22,0),MATCH(V$3,'[1]salary allocation'!$E$3:$J$3,0)),0)</f>
        <v>0</v>
      </c>
      <c r="W534" s="15">
        <f>-$K534*IFERROR(INDEX('[1]salary allocation'!$E$6:$J$22,MATCH($H534,'[1]salary allocation'!$D$6:$D$22,0),MATCH(W$3,'[1]salary allocation'!$E$3:$J$3,0)),0)</f>
        <v>1791757.6</v>
      </c>
      <c r="X534" s="15">
        <f>-$K534*IFERROR(INDEX('[1]salary allocation'!$E$6:$J$22,MATCH($H534,'[1]salary allocation'!$D$6:$D$22,0),MATCH(X$3,'[1]salary allocation'!$E$3:$J$3,0)),0)</f>
        <v>0</v>
      </c>
      <c r="Y534" s="15">
        <f>-$K534*IFERROR(INDEX('[1]salary allocation'!$E$6:$J$22,MATCH($H534,'[1]salary allocation'!$D$6:$D$22,0),MATCH(Y$3,'[1]salary allocation'!$E$3:$J$3,0)),0)</f>
        <v>0</v>
      </c>
      <c r="Z534" s="15">
        <f>-$K534*IFERROR(INDEX('[1]salary allocation'!$E$6:$J$22,MATCH($H534,'[1]salary allocation'!$D$6:$D$22,0),MATCH(Z$3,'[1]salary allocation'!$E$3:$J$3,0)),0)</f>
        <v>0</v>
      </c>
      <c r="AA534" s="15">
        <f>-$K534*IFERROR(INDEX('[1]salary allocation'!$E$6:$J$22,MATCH($H534,'[1]salary allocation'!$D$6:$D$22,0),MATCH(AA$3,'[1]salary allocation'!$E$3:$J$3,0)),0)</f>
        <v>0</v>
      </c>
      <c r="AB534" s="15">
        <f>-$K534*IFERROR(INDEX('[1]salary allocation'!$E$6:$J$22,MATCH($H534,'[1]salary allocation'!$D$6:$D$22,0),MATCH(AB$3,'[1]salary allocation'!$E$3:$J$3,0)),0)</f>
        <v>0</v>
      </c>
      <c r="AC534" s="18">
        <f>-$K534*IFERROR(INDEX('[1]salary allocation'!$E$6:$J$22,MATCH($H534,'[1]salary allocation'!$D$6:$D$22,0),MATCH(AC$3,'[1]salary allocation'!$E$3:$J$3,0)),0)</f>
        <v>0</v>
      </c>
      <c r="AD534" s="17"/>
      <c r="AE534" s="16"/>
      <c r="AF534" s="15">
        <f>-$K534</f>
        <v>4479394</v>
      </c>
      <c r="AG534" s="15"/>
      <c r="AH534" s="2">
        <f>K534+SUM(O534:AC534)</f>
        <v>0</v>
      </c>
      <c r="AI534" s="2">
        <f>K534+SUM(AF534:AG534)</f>
        <v>0</v>
      </c>
    </row>
    <row r="535" spans="1:35" x14ac:dyDescent="0.2">
      <c r="A535" s="11" t="s">
        <v>61</v>
      </c>
      <c r="B535" s="22">
        <v>45890</v>
      </c>
      <c r="H535" s="11" t="s">
        <v>173</v>
      </c>
      <c r="I535" s="11" t="s">
        <v>351</v>
      </c>
      <c r="K535" s="13">
        <v>0</v>
      </c>
      <c r="L535" s="12">
        <v>82025</v>
      </c>
      <c r="M535" s="11" t="str">
        <f>LEFT(I535,(LEN(LEFT(I535,FIND(";",I535)))-8))</f>
        <v>VNELC</v>
      </c>
      <c r="N535" s="11"/>
      <c r="O535" s="15">
        <f>-$K535*IFERROR(INDEX('[1]salary allocation'!$E$6:$J$22,MATCH($H535,'[1]salary allocation'!$D$6:$D$22,0),MATCH(O$3,'[1]salary allocation'!$E$3:$J$3,0)),0)</f>
        <v>0</v>
      </c>
      <c r="P535" s="15">
        <f>-$K535*IFERROR(INDEX('[1]salary allocation'!$E$6:$J$22,MATCH($H535,'[1]salary allocation'!$D$6:$D$22,0),MATCH(P$3,'[1]salary allocation'!$E$3:$J$3,0)),0)</f>
        <v>0</v>
      </c>
      <c r="Q535" s="15">
        <f>-$K535*IFERROR(INDEX('[1]salary allocation'!$E$6:$J$22,MATCH($H535,'[1]salary allocation'!$D$6:$D$22,0),MATCH(Q$3,'[1]salary allocation'!$E$3:$J$3,0)),0)</f>
        <v>0</v>
      </c>
      <c r="R535" s="15">
        <f>-$K535*IFERROR(INDEX('[1]salary allocation'!$E$6:$J$22,MATCH($H535,'[1]salary allocation'!$D$6:$D$22,0),MATCH(R$3,'[1]salary allocation'!$E$3:$J$3,0)),0)</f>
        <v>0</v>
      </c>
      <c r="S535" s="15">
        <f>-$K535*IFERROR(INDEX('[1]salary allocation'!$E$6:$J$22,MATCH($H535,'[1]salary allocation'!$D$6:$D$22,0),MATCH(S$3,'[1]salary allocation'!$E$3:$J$3,0)),0)</f>
        <v>0</v>
      </c>
      <c r="T535" s="15">
        <f>-$K535*IFERROR(INDEX('[1]salary allocation'!$E$6:$J$22,MATCH($H535,'[1]salary allocation'!$D$6:$D$22,0),MATCH(T$3,'[1]salary allocation'!$E$3:$J$3,0)),0)</f>
        <v>0</v>
      </c>
      <c r="U535" s="15">
        <f>-$K535*IFERROR(INDEX('[1]salary allocation'!$E$6:$J$22,MATCH($H535,'[1]salary allocation'!$D$6:$D$22,0),MATCH(U$3,'[1]salary allocation'!$E$3:$J$3,0)),0)</f>
        <v>0</v>
      </c>
      <c r="V535" s="15">
        <f>-$K535*IFERROR(INDEX('[1]salary allocation'!$E$6:$J$22,MATCH($H535,'[1]salary allocation'!$D$6:$D$22,0),MATCH(V$3,'[1]salary allocation'!$E$3:$J$3,0)),0)</f>
        <v>0</v>
      </c>
      <c r="W535" s="15">
        <f>-$K535*IFERROR(INDEX('[1]salary allocation'!$E$6:$J$22,MATCH($H535,'[1]salary allocation'!$D$6:$D$22,0),MATCH(W$3,'[1]salary allocation'!$E$3:$J$3,0)),0)</f>
        <v>0</v>
      </c>
      <c r="X535" s="15">
        <f>-$K535*IFERROR(INDEX('[1]salary allocation'!$E$6:$J$22,MATCH($H535,'[1]salary allocation'!$D$6:$D$22,0),MATCH(X$3,'[1]salary allocation'!$E$3:$J$3,0)),0)</f>
        <v>0</v>
      </c>
      <c r="Y535" s="15">
        <f>-$K535*IFERROR(INDEX('[1]salary allocation'!$E$6:$J$22,MATCH($H535,'[1]salary allocation'!$D$6:$D$22,0),MATCH(Y$3,'[1]salary allocation'!$E$3:$J$3,0)),0)</f>
        <v>0</v>
      </c>
      <c r="Z535" s="15">
        <f>-$K535*IFERROR(INDEX('[1]salary allocation'!$E$6:$J$22,MATCH($H535,'[1]salary allocation'!$D$6:$D$22,0),MATCH(Z$3,'[1]salary allocation'!$E$3:$J$3,0)),0)</f>
        <v>0</v>
      </c>
      <c r="AA535" s="15">
        <f>-$K535*IFERROR(INDEX('[1]salary allocation'!$E$6:$J$22,MATCH($H535,'[1]salary allocation'!$D$6:$D$22,0),MATCH(AA$3,'[1]salary allocation'!$E$3:$J$3,0)),0)</f>
        <v>0</v>
      </c>
      <c r="AB535" s="15">
        <f>-$K535*IFERROR(INDEX('[1]salary allocation'!$E$6:$J$22,MATCH($H535,'[1]salary allocation'!$D$6:$D$22,0),MATCH(AB$3,'[1]salary allocation'!$E$3:$J$3,0)),0)</f>
        <v>0</v>
      </c>
      <c r="AC535" s="18">
        <f>-$K535*IFERROR(INDEX('[1]salary allocation'!$E$6:$J$22,MATCH($H535,'[1]salary allocation'!$D$6:$D$22,0),MATCH(AC$3,'[1]salary allocation'!$E$3:$J$3,0)),0)</f>
        <v>0</v>
      </c>
      <c r="AD535" s="17"/>
      <c r="AE535" s="16"/>
      <c r="AF535" s="15"/>
      <c r="AG535" s="15">
        <f>-$K535</f>
        <v>0</v>
      </c>
      <c r="AH535" s="2">
        <f>K535+SUM(O535:AC535)</f>
        <v>0</v>
      </c>
      <c r="AI535" s="2">
        <f>K535+SUM(AF535:AG535)</f>
        <v>0</v>
      </c>
    </row>
    <row r="536" spans="1:35" x14ac:dyDescent="0.2">
      <c r="A536" s="11" t="s">
        <v>61</v>
      </c>
      <c r="B536" s="22">
        <v>45890</v>
      </c>
      <c r="H536" s="11" t="s">
        <v>45</v>
      </c>
      <c r="I536" s="11" t="s">
        <v>350</v>
      </c>
      <c r="K536" s="13">
        <v>-135900</v>
      </c>
      <c r="L536" s="12">
        <v>82025</v>
      </c>
      <c r="M536" s="11" t="str">
        <f>LEFT(I536,(LEN(LEFT(I536,FIND(";",I536)))-9))</f>
        <v>VNHBC</v>
      </c>
      <c r="N536" s="11"/>
      <c r="O536" s="15">
        <f>-$K536*IFERROR(INDEX('[1]salary allocation'!$E$6:$J$22,MATCH($H536,'[1]salary allocation'!$D$6:$D$22,0),MATCH(O$3,'[1]salary allocation'!$E$3:$J$3,0)),0)</f>
        <v>0</v>
      </c>
      <c r="P536" s="15">
        <f>-$K536*IFERROR(INDEX('[1]salary allocation'!$E$6:$J$22,MATCH($H536,'[1]salary allocation'!$D$6:$D$22,0),MATCH(P$3,'[1]salary allocation'!$E$3:$J$3,0)),0)</f>
        <v>0</v>
      </c>
      <c r="Q536" s="15">
        <f>-$K536*IFERROR(INDEX('[1]salary allocation'!$E$6:$J$22,MATCH($H536,'[1]salary allocation'!$D$6:$D$22,0),MATCH(Q$3,'[1]salary allocation'!$E$3:$J$3,0)),0)</f>
        <v>0</v>
      </c>
      <c r="R536" s="15">
        <f>-$K536*IFERROR(INDEX('[1]salary allocation'!$E$6:$J$22,MATCH($H536,'[1]salary allocation'!$D$6:$D$22,0),MATCH(R$3,'[1]salary allocation'!$E$3:$J$3,0)),0)</f>
        <v>0</v>
      </c>
      <c r="S536" s="15">
        <f>-$K536*IFERROR(INDEX('[1]salary allocation'!$E$6:$J$22,MATCH($H536,'[1]salary allocation'!$D$6:$D$22,0),MATCH(S$3,'[1]salary allocation'!$E$3:$J$3,0)),0)</f>
        <v>27180</v>
      </c>
      <c r="T536" s="15">
        <f>-$K536*IFERROR(INDEX('[1]salary allocation'!$E$6:$J$22,MATCH($H536,'[1]salary allocation'!$D$6:$D$22,0),MATCH(T$3,'[1]salary allocation'!$E$3:$J$3,0)),0)</f>
        <v>27180</v>
      </c>
      <c r="U536" s="15">
        <f>-$K536*IFERROR(INDEX('[1]salary allocation'!$E$6:$J$22,MATCH($H536,'[1]salary allocation'!$D$6:$D$22,0),MATCH(U$3,'[1]salary allocation'!$E$3:$J$3,0)),0)</f>
        <v>27180</v>
      </c>
      <c r="V536" s="15">
        <f>-$K536*IFERROR(INDEX('[1]salary allocation'!$E$6:$J$22,MATCH($H536,'[1]salary allocation'!$D$6:$D$22,0),MATCH(V$3,'[1]salary allocation'!$E$3:$J$3,0)),0)</f>
        <v>0</v>
      </c>
      <c r="W536" s="15">
        <f>-$K536*IFERROR(INDEX('[1]salary allocation'!$E$6:$J$22,MATCH($H536,'[1]salary allocation'!$D$6:$D$22,0),MATCH(W$3,'[1]salary allocation'!$E$3:$J$3,0)),0)</f>
        <v>54360</v>
      </c>
      <c r="X536" s="15">
        <f>-$K536*IFERROR(INDEX('[1]salary allocation'!$E$6:$J$22,MATCH($H536,'[1]salary allocation'!$D$6:$D$22,0),MATCH(X$3,'[1]salary allocation'!$E$3:$J$3,0)),0)</f>
        <v>0</v>
      </c>
      <c r="Y536" s="15">
        <f>-$K536*IFERROR(INDEX('[1]salary allocation'!$E$6:$J$22,MATCH($H536,'[1]salary allocation'!$D$6:$D$22,0),MATCH(Y$3,'[1]salary allocation'!$E$3:$J$3,0)),0)</f>
        <v>0</v>
      </c>
      <c r="Z536" s="15">
        <f>-$K536*IFERROR(INDEX('[1]salary allocation'!$E$6:$J$22,MATCH($H536,'[1]salary allocation'!$D$6:$D$22,0),MATCH(Z$3,'[1]salary allocation'!$E$3:$J$3,0)),0)</f>
        <v>0</v>
      </c>
      <c r="AA536" s="15">
        <f>-$K536*IFERROR(INDEX('[1]salary allocation'!$E$6:$J$22,MATCH($H536,'[1]salary allocation'!$D$6:$D$22,0),MATCH(AA$3,'[1]salary allocation'!$E$3:$J$3,0)),0)</f>
        <v>0</v>
      </c>
      <c r="AB536" s="15">
        <f>-$K536*IFERROR(INDEX('[1]salary allocation'!$E$6:$J$22,MATCH($H536,'[1]salary allocation'!$D$6:$D$22,0),MATCH(AB$3,'[1]salary allocation'!$E$3:$J$3,0)),0)</f>
        <v>0</v>
      </c>
      <c r="AC536" s="18">
        <f>-$K536*IFERROR(INDEX('[1]salary allocation'!$E$6:$J$22,MATCH($H536,'[1]salary allocation'!$D$6:$D$22,0),MATCH(AC$3,'[1]salary allocation'!$E$3:$J$3,0)),0)</f>
        <v>0</v>
      </c>
      <c r="AD536" s="17"/>
      <c r="AE536" s="16"/>
      <c r="AF536" s="15"/>
      <c r="AG536" s="15">
        <f>-K536</f>
        <v>135900</v>
      </c>
      <c r="AH536" s="2">
        <f>K536+SUM(O536:AC536)</f>
        <v>0</v>
      </c>
      <c r="AI536" s="2">
        <f>K536+SUM(AF536:AG536)</f>
        <v>0</v>
      </c>
    </row>
    <row r="537" spans="1:35" x14ac:dyDescent="0.2">
      <c r="A537" s="11" t="s">
        <v>61</v>
      </c>
      <c r="B537" s="22">
        <v>45890</v>
      </c>
      <c r="H537" s="11" t="s">
        <v>43</v>
      </c>
      <c r="I537" s="11" t="s">
        <v>349</v>
      </c>
      <c r="K537" s="13">
        <v>-5230199</v>
      </c>
      <c r="L537" s="12">
        <v>82025</v>
      </c>
      <c r="M537" s="11" t="str">
        <f>LEFT(I537,(LEN(LEFT(I537,FIND(";",I537)))-8))</f>
        <v>VNMOET</v>
      </c>
      <c r="N537" s="11"/>
      <c r="O537" s="15">
        <f>-$K537*IFERROR(INDEX('[1]salary allocation'!$E$6:$J$22,MATCH($H537,'[1]salary allocation'!$D$6:$D$22,0),MATCH(O$3,'[1]salary allocation'!$E$3:$J$3,0)),0)</f>
        <v>0</v>
      </c>
      <c r="P537" s="15">
        <f>-$K537*IFERROR(INDEX('[1]salary allocation'!$E$6:$J$22,MATCH($H537,'[1]salary allocation'!$D$6:$D$22,0),MATCH(P$3,'[1]salary allocation'!$E$3:$J$3,0)),0)</f>
        <v>0</v>
      </c>
      <c r="Q537" s="15">
        <f>-$K537*IFERROR(INDEX('[1]salary allocation'!$E$6:$J$22,MATCH($H537,'[1]salary allocation'!$D$6:$D$22,0),MATCH(Q$3,'[1]salary allocation'!$E$3:$J$3,0)),0)</f>
        <v>0</v>
      </c>
      <c r="R537" s="15">
        <f>-$K537*IFERROR(INDEX('[1]salary allocation'!$E$6:$J$22,MATCH($H537,'[1]salary allocation'!$D$6:$D$22,0),MATCH(R$3,'[1]salary allocation'!$E$3:$J$3,0)),0)</f>
        <v>0</v>
      </c>
      <c r="S537" s="15">
        <f>-$K537*IFERROR(INDEX('[1]salary allocation'!$E$6:$J$22,MATCH($H537,'[1]salary allocation'!$D$6:$D$22,0),MATCH(S$3,'[1]salary allocation'!$E$3:$J$3,0)),0)</f>
        <v>1046039.8</v>
      </c>
      <c r="T537" s="15">
        <f>-$K537*IFERROR(INDEX('[1]salary allocation'!$E$6:$J$22,MATCH($H537,'[1]salary allocation'!$D$6:$D$22,0),MATCH(T$3,'[1]salary allocation'!$E$3:$J$3,0)),0)</f>
        <v>1046039.8</v>
      </c>
      <c r="U537" s="15">
        <f>-$K537*IFERROR(INDEX('[1]salary allocation'!$E$6:$J$22,MATCH($H537,'[1]salary allocation'!$D$6:$D$22,0),MATCH(U$3,'[1]salary allocation'!$E$3:$J$3,0)),0)</f>
        <v>1046039.8</v>
      </c>
      <c r="V537" s="15">
        <f>-$K537*IFERROR(INDEX('[1]salary allocation'!$E$6:$J$22,MATCH($H537,'[1]salary allocation'!$D$6:$D$22,0),MATCH(V$3,'[1]salary allocation'!$E$3:$J$3,0)),0)</f>
        <v>0</v>
      </c>
      <c r="W537" s="15">
        <f>-$K537*IFERROR(INDEX('[1]salary allocation'!$E$6:$J$22,MATCH($H537,'[1]salary allocation'!$D$6:$D$22,0),MATCH(W$3,'[1]salary allocation'!$E$3:$J$3,0)),0)</f>
        <v>2092079.6</v>
      </c>
      <c r="X537" s="15">
        <f>-$K537*IFERROR(INDEX('[1]salary allocation'!$E$6:$J$22,MATCH($H537,'[1]salary allocation'!$D$6:$D$22,0),MATCH(X$3,'[1]salary allocation'!$E$3:$J$3,0)),0)</f>
        <v>0</v>
      </c>
      <c r="Y537" s="15">
        <f>-$K537*IFERROR(INDEX('[1]salary allocation'!$E$6:$J$22,MATCH($H537,'[1]salary allocation'!$D$6:$D$22,0),MATCH(Y$3,'[1]salary allocation'!$E$3:$J$3,0)),0)</f>
        <v>0</v>
      </c>
      <c r="Z537" s="15">
        <f>-$K537*IFERROR(INDEX('[1]salary allocation'!$E$6:$J$22,MATCH($H537,'[1]salary allocation'!$D$6:$D$22,0),MATCH(Z$3,'[1]salary allocation'!$E$3:$J$3,0)),0)</f>
        <v>0</v>
      </c>
      <c r="AA537" s="15">
        <f>-$K537*IFERROR(INDEX('[1]salary allocation'!$E$6:$J$22,MATCH($H537,'[1]salary allocation'!$D$6:$D$22,0),MATCH(AA$3,'[1]salary allocation'!$E$3:$J$3,0)),0)</f>
        <v>0</v>
      </c>
      <c r="AB537" s="15">
        <f>-$K537*IFERROR(INDEX('[1]salary allocation'!$E$6:$J$22,MATCH($H537,'[1]salary allocation'!$D$6:$D$22,0),MATCH(AB$3,'[1]salary allocation'!$E$3:$J$3,0)),0)</f>
        <v>0</v>
      </c>
      <c r="AC537" s="18">
        <f>-$K537*IFERROR(INDEX('[1]salary allocation'!$E$6:$J$22,MATCH($H537,'[1]salary allocation'!$D$6:$D$22,0),MATCH(AC$3,'[1]salary allocation'!$E$3:$J$3,0)),0)</f>
        <v>0</v>
      </c>
      <c r="AD537" s="17"/>
      <c r="AE537" s="16"/>
      <c r="AF537" s="15">
        <f>-$K537</f>
        <v>5230199</v>
      </c>
      <c r="AG537" s="15"/>
      <c r="AH537" s="2">
        <f>K537+SUM(O537:AC537)</f>
        <v>0</v>
      </c>
      <c r="AI537" s="2">
        <f>K537+SUM(AF537:AG537)</f>
        <v>0</v>
      </c>
    </row>
    <row r="538" spans="1:35" x14ac:dyDescent="0.2">
      <c r="A538" s="11" t="s">
        <v>61</v>
      </c>
      <c r="B538" s="22">
        <v>45890</v>
      </c>
      <c r="H538" s="11" t="s">
        <v>41</v>
      </c>
      <c r="I538" s="11" t="s">
        <v>348</v>
      </c>
      <c r="K538" s="13">
        <v>-4596491</v>
      </c>
      <c r="L538" s="12">
        <v>82025</v>
      </c>
      <c r="M538" s="11" t="str">
        <f>LEFT(I538,(LEN(LEFT(I538,FIND(";",I538)))-8))</f>
        <v>VNMOET</v>
      </c>
      <c r="N538" s="11"/>
      <c r="O538" s="15">
        <f>-$K538*IFERROR(INDEX('[1]salary allocation'!$E$6:$J$22,MATCH($H538,'[1]salary allocation'!$D$6:$D$22,0),MATCH(O$3,'[1]salary allocation'!$E$3:$J$3,0)),0)</f>
        <v>0</v>
      </c>
      <c r="P538" s="15">
        <f>-$K538*IFERROR(INDEX('[1]salary allocation'!$E$6:$J$22,MATCH($H538,'[1]salary allocation'!$D$6:$D$22,0),MATCH(P$3,'[1]salary allocation'!$E$3:$J$3,0)),0)</f>
        <v>0</v>
      </c>
      <c r="Q538" s="15">
        <f>-$K538*IFERROR(INDEX('[1]salary allocation'!$E$6:$J$22,MATCH($H538,'[1]salary allocation'!$D$6:$D$22,0),MATCH(Q$3,'[1]salary allocation'!$E$3:$J$3,0)),0)</f>
        <v>0</v>
      </c>
      <c r="R538" s="15">
        <f>-$K538*IFERROR(INDEX('[1]salary allocation'!$E$6:$J$22,MATCH($H538,'[1]salary allocation'!$D$6:$D$22,0),MATCH(R$3,'[1]salary allocation'!$E$3:$J$3,0)),0)</f>
        <v>0</v>
      </c>
      <c r="S538" s="15">
        <f>-$K538*IFERROR(INDEX('[1]salary allocation'!$E$6:$J$22,MATCH($H538,'[1]salary allocation'!$D$6:$D$22,0),MATCH(S$3,'[1]salary allocation'!$E$3:$J$3,0)),0)</f>
        <v>0</v>
      </c>
      <c r="T538" s="15">
        <f>-$K538*IFERROR(INDEX('[1]salary allocation'!$E$6:$J$22,MATCH($H538,'[1]salary allocation'!$D$6:$D$22,0),MATCH(T$3,'[1]salary allocation'!$E$3:$J$3,0)),0)</f>
        <v>0</v>
      </c>
      <c r="U538" s="15">
        <f>-$K538*IFERROR(INDEX('[1]salary allocation'!$E$6:$J$22,MATCH($H538,'[1]salary allocation'!$D$6:$D$22,0),MATCH(U$3,'[1]salary allocation'!$E$3:$J$3,0)),0)</f>
        <v>0</v>
      </c>
      <c r="V538" s="15">
        <f>-$K538*IFERROR(INDEX('[1]salary allocation'!$E$6:$J$22,MATCH($H538,'[1]salary allocation'!$D$6:$D$22,0),MATCH(V$3,'[1]salary allocation'!$E$3:$J$3,0)),0)</f>
        <v>0</v>
      </c>
      <c r="W538" s="15">
        <f>-$K538*IFERROR(INDEX('[1]salary allocation'!$E$6:$J$22,MATCH($H538,'[1]salary allocation'!$D$6:$D$22,0),MATCH(W$3,'[1]salary allocation'!$E$3:$J$3,0)),0)</f>
        <v>4596491</v>
      </c>
      <c r="X538" s="15">
        <f>-$K538*IFERROR(INDEX('[1]salary allocation'!$E$6:$J$22,MATCH($H538,'[1]salary allocation'!$D$6:$D$22,0),MATCH(X$3,'[1]salary allocation'!$E$3:$J$3,0)),0)</f>
        <v>0</v>
      </c>
      <c r="Y538" s="15">
        <f>-$K538*IFERROR(INDEX('[1]salary allocation'!$E$6:$J$22,MATCH($H538,'[1]salary allocation'!$D$6:$D$22,0),MATCH(Y$3,'[1]salary allocation'!$E$3:$J$3,0)),0)</f>
        <v>0</v>
      </c>
      <c r="Z538" s="15">
        <f>-$K538*IFERROR(INDEX('[1]salary allocation'!$E$6:$J$22,MATCH($H538,'[1]salary allocation'!$D$6:$D$22,0),MATCH(Z$3,'[1]salary allocation'!$E$3:$J$3,0)),0)</f>
        <v>0</v>
      </c>
      <c r="AA538" s="15">
        <f>-$K538*IFERROR(INDEX('[1]salary allocation'!$E$6:$J$22,MATCH($H538,'[1]salary allocation'!$D$6:$D$22,0),MATCH(AA$3,'[1]salary allocation'!$E$3:$J$3,0)),0)</f>
        <v>0</v>
      </c>
      <c r="AB538" s="15">
        <f>-$K538*IFERROR(INDEX('[1]salary allocation'!$E$6:$J$22,MATCH($H538,'[1]salary allocation'!$D$6:$D$22,0),MATCH(AB$3,'[1]salary allocation'!$E$3:$J$3,0)),0)</f>
        <v>0</v>
      </c>
      <c r="AC538" s="18">
        <f>-$K538*IFERROR(INDEX('[1]salary allocation'!$E$6:$J$22,MATCH($H538,'[1]salary allocation'!$D$6:$D$22,0),MATCH(AC$3,'[1]salary allocation'!$E$3:$J$3,0)),0)</f>
        <v>0</v>
      </c>
      <c r="AD538" s="17"/>
      <c r="AE538" s="16"/>
      <c r="AF538" s="15">
        <f>-$K538</f>
        <v>4596491</v>
      </c>
      <c r="AG538" s="15"/>
      <c r="AH538" s="2">
        <f>K538+SUM(O538:AC538)</f>
        <v>0</v>
      </c>
      <c r="AI538" s="2">
        <f>K538+SUM(AF538:AG538)</f>
        <v>0</v>
      </c>
    </row>
    <row r="539" spans="1:35" x14ac:dyDescent="0.2">
      <c r="A539" s="11" t="s">
        <v>61</v>
      </c>
      <c r="B539" s="22">
        <v>45890</v>
      </c>
      <c r="H539" s="11" t="s">
        <v>39</v>
      </c>
      <c r="I539" s="11" t="s">
        <v>347</v>
      </c>
      <c r="K539" s="13">
        <v>-5230199</v>
      </c>
      <c r="L539" s="12">
        <v>82025</v>
      </c>
      <c r="M539" s="11" t="str">
        <f>LEFT(I539,(LEN(LEFT(I539,FIND(";",I539)))-8))</f>
        <v>VNMOET</v>
      </c>
      <c r="N539" s="11"/>
      <c r="O539" s="15">
        <f>-$K539*IFERROR(INDEX('[1]salary allocation'!$E$6:$J$22,MATCH($H539,'[1]salary allocation'!$D$6:$D$22,0),MATCH(O$3,'[1]salary allocation'!$E$3:$J$3,0)),0)</f>
        <v>0</v>
      </c>
      <c r="P539" s="15">
        <f>-$K539*IFERROR(INDEX('[1]salary allocation'!$E$6:$J$22,MATCH($H539,'[1]salary allocation'!$D$6:$D$22,0),MATCH(P$3,'[1]salary allocation'!$E$3:$J$3,0)),0)</f>
        <v>0</v>
      </c>
      <c r="Q539" s="15">
        <f>-$K539*IFERROR(INDEX('[1]salary allocation'!$E$6:$J$22,MATCH($H539,'[1]salary allocation'!$D$6:$D$22,0),MATCH(Q$3,'[1]salary allocation'!$E$3:$J$3,0)),0)</f>
        <v>0</v>
      </c>
      <c r="R539" s="15">
        <f>-$K539*IFERROR(INDEX('[1]salary allocation'!$E$6:$J$22,MATCH($H539,'[1]salary allocation'!$D$6:$D$22,0),MATCH(R$3,'[1]salary allocation'!$E$3:$J$3,0)),0)</f>
        <v>0</v>
      </c>
      <c r="S539" s="15">
        <f>-$K539*IFERROR(INDEX('[1]salary allocation'!$E$6:$J$22,MATCH($H539,'[1]salary allocation'!$D$6:$D$22,0),MATCH(S$3,'[1]salary allocation'!$E$3:$J$3,0)),0)</f>
        <v>0</v>
      </c>
      <c r="T539" s="15">
        <f>-$K539*IFERROR(INDEX('[1]salary allocation'!$E$6:$J$22,MATCH($H539,'[1]salary allocation'!$D$6:$D$22,0),MATCH(T$3,'[1]salary allocation'!$E$3:$J$3,0)),0)</f>
        <v>0</v>
      </c>
      <c r="U539" s="15">
        <f>-$K539*IFERROR(INDEX('[1]salary allocation'!$E$6:$J$22,MATCH($H539,'[1]salary allocation'!$D$6:$D$22,0),MATCH(U$3,'[1]salary allocation'!$E$3:$J$3,0)),0)</f>
        <v>0</v>
      </c>
      <c r="V539" s="15">
        <f>-$K539*IFERROR(INDEX('[1]salary allocation'!$E$6:$J$22,MATCH($H539,'[1]salary allocation'!$D$6:$D$22,0),MATCH(V$3,'[1]salary allocation'!$E$3:$J$3,0)),0)</f>
        <v>0</v>
      </c>
      <c r="W539" s="15">
        <f>-$K539*IFERROR(INDEX('[1]salary allocation'!$E$6:$J$22,MATCH($H539,'[1]salary allocation'!$D$6:$D$22,0),MATCH(W$3,'[1]salary allocation'!$E$3:$J$3,0)),0)</f>
        <v>5230199</v>
      </c>
      <c r="X539" s="15">
        <f>-$K539*IFERROR(INDEX('[1]salary allocation'!$E$6:$J$22,MATCH($H539,'[1]salary allocation'!$D$6:$D$22,0),MATCH(X$3,'[1]salary allocation'!$E$3:$J$3,0)),0)</f>
        <v>0</v>
      </c>
      <c r="Y539" s="15">
        <f>-$K539*IFERROR(INDEX('[1]salary allocation'!$E$6:$J$22,MATCH($H539,'[1]salary allocation'!$D$6:$D$22,0),MATCH(Y$3,'[1]salary allocation'!$E$3:$J$3,0)),0)</f>
        <v>0</v>
      </c>
      <c r="Z539" s="15">
        <f>-$K539*IFERROR(INDEX('[1]salary allocation'!$E$6:$J$22,MATCH($H539,'[1]salary allocation'!$D$6:$D$22,0),MATCH(Z$3,'[1]salary allocation'!$E$3:$J$3,0)),0)</f>
        <v>0</v>
      </c>
      <c r="AA539" s="15">
        <f>-$K539*IFERROR(INDEX('[1]salary allocation'!$E$6:$J$22,MATCH($H539,'[1]salary allocation'!$D$6:$D$22,0),MATCH(AA$3,'[1]salary allocation'!$E$3:$J$3,0)),0)</f>
        <v>0</v>
      </c>
      <c r="AB539" s="15">
        <f>-$K539*IFERROR(INDEX('[1]salary allocation'!$E$6:$J$22,MATCH($H539,'[1]salary allocation'!$D$6:$D$22,0),MATCH(AB$3,'[1]salary allocation'!$E$3:$J$3,0)),0)</f>
        <v>0</v>
      </c>
      <c r="AC539" s="18">
        <f>-$K539*IFERROR(INDEX('[1]salary allocation'!$E$6:$J$22,MATCH($H539,'[1]salary allocation'!$D$6:$D$22,0),MATCH(AC$3,'[1]salary allocation'!$E$3:$J$3,0)),0)</f>
        <v>0</v>
      </c>
      <c r="AD539" s="17"/>
      <c r="AE539" s="16"/>
      <c r="AF539" s="15">
        <f>-$K539</f>
        <v>5230199</v>
      </c>
      <c r="AG539" s="15"/>
      <c r="AH539" s="2">
        <f>K539+SUM(O539:AC539)</f>
        <v>0</v>
      </c>
      <c r="AI539" s="2">
        <f>K539+SUM(AF539:AG539)</f>
        <v>0</v>
      </c>
    </row>
    <row r="540" spans="1:35" x14ac:dyDescent="0.2">
      <c r="A540" s="11" t="s">
        <v>61</v>
      </c>
      <c r="B540" s="22">
        <v>45890</v>
      </c>
      <c r="F540" s="13">
        <v>-4129429</v>
      </c>
      <c r="H540" s="11" t="s">
        <v>346</v>
      </c>
      <c r="I540" s="11" t="s">
        <v>345</v>
      </c>
      <c r="K540" s="13"/>
      <c r="L540" s="12">
        <v>82025</v>
      </c>
      <c r="M540" s="11" t="str">
        <f>LEFT(I540,(LEN(LEFT(I540,FIND(";",I540)))-8))</f>
        <v>VNOther</v>
      </c>
      <c r="N540" s="11"/>
      <c r="O540" s="15">
        <f>-$K540*IFERROR(INDEX('[1]salary allocation'!$E$6:$J$22,MATCH($H540,'[1]salary allocation'!$D$6:$D$22,0),MATCH(O$3,'[1]salary allocation'!$E$3:$J$3,0)),0)</f>
        <v>0</v>
      </c>
      <c r="P540" s="15">
        <f>-$K540*IFERROR(INDEX('[1]salary allocation'!$E$6:$J$22,MATCH($H540,'[1]salary allocation'!$D$6:$D$22,0),MATCH(P$3,'[1]salary allocation'!$E$3:$J$3,0)),0)</f>
        <v>0</v>
      </c>
      <c r="Q540" s="15">
        <f>-$K540*IFERROR(INDEX('[1]salary allocation'!$E$6:$J$22,MATCH($H540,'[1]salary allocation'!$D$6:$D$22,0),MATCH(Q$3,'[1]salary allocation'!$E$3:$J$3,0)),0)</f>
        <v>0</v>
      </c>
      <c r="R540" s="15">
        <f>-$K540*IFERROR(INDEX('[1]salary allocation'!$E$6:$J$22,MATCH($H540,'[1]salary allocation'!$D$6:$D$22,0),MATCH(R$3,'[1]salary allocation'!$E$3:$J$3,0)),0)</f>
        <v>0</v>
      </c>
      <c r="S540" s="15">
        <f>-$K540*IFERROR(INDEX('[1]salary allocation'!$E$6:$J$22,MATCH($H540,'[1]salary allocation'!$D$6:$D$22,0),MATCH(S$3,'[1]salary allocation'!$E$3:$J$3,0)),0)</f>
        <v>0</v>
      </c>
      <c r="T540" s="15">
        <f>-$K540*IFERROR(INDEX('[1]salary allocation'!$E$6:$J$22,MATCH($H540,'[1]salary allocation'!$D$6:$D$22,0),MATCH(T$3,'[1]salary allocation'!$E$3:$J$3,0)),0)</f>
        <v>0</v>
      </c>
      <c r="U540" s="15">
        <f>-$K540*IFERROR(INDEX('[1]salary allocation'!$E$6:$J$22,MATCH($H540,'[1]salary allocation'!$D$6:$D$22,0),MATCH(U$3,'[1]salary allocation'!$E$3:$J$3,0)),0)</f>
        <v>0</v>
      </c>
      <c r="V540" s="15">
        <f>-$K540*IFERROR(INDEX('[1]salary allocation'!$E$6:$J$22,MATCH($H540,'[1]salary allocation'!$D$6:$D$22,0),MATCH(V$3,'[1]salary allocation'!$E$3:$J$3,0)),0)</f>
        <v>0</v>
      </c>
      <c r="W540" s="15">
        <f>-$K540*IFERROR(INDEX('[1]salary allocation'!$E$6:$J$22,MATCH($H540,'[1]salary allocation'!$D$6:$D$22,0),MATCH(W$3,'[1]salary allocation'!$E$3:$J$3,0)),0)</f>
        <v>0</v>
      </c>
      <c r="X540" s="15">
        <f>-$K540*IFERROR(INDEX('[1]salary allocation'!$E$6:$J$22,MATCH($H540,'[1]salary allocation'!$D$6:$D$22,0),MATCH(X$3,'[1]salary allocation'!$E$3:$J$3,0)),0)</f>
        <v>0</v>
      </c>
      <c r="Y540" s="15">
        <f>-$K540*IFERROR(INDEX('[1]salary allocation'!$E$6:$J$22,MATCH($H540,'[1]salary allocation'!$D$6:$D$22,0),MATCH(Y$3,'[1]salary allocation'!$E$3:$J$3,0)),0)</f>
        <v>0</v>
      </c>
      <c r="Z540" s="15">
        <f>-$K540*IFERROR(INDEX('[1]salary allocation'!$E$6:$J$22,MATCH($H540,'[1]salary allocation'!$D$6:$D$22,0),MATCH(Z$3,'[1]salary allocation'!$E$3:$J$3,0)),0)</f>
        <v>0</v>
      </c>
      <c r="AA540" s="15">
        <f>-$K540*IFERROR(INDEX('[1]salary allocation'!$E$6:$J$22,MATCH($H540,'[1]salary allocation'!$D$6:$D$22,0),MATCH(AA$3,'[1]salary allocation'!$E$3:$J$3,0)),0)</f>
        <v>0</v>
      </c>
      <c r="AB540" s="15">
        <f>-$K540*IFERROR(INDEX('[1]salary allocation'!$E$6:$J$22,MATCH($H540,'[1]salary allocation'!$D$6:$D$22,0),MATCH(AB$3,'[1]salary allocation'!$E$3:$J$3,0)),0)</f>
        <v>0</v>
      </c>
      <c r="AC540" s="18">
        <f>-$K540*IFERROR(INDEX('[1]salary allocation'!$E$6:$J$22,MATCH($H540,'[1]salary allocation'!$D$6:$D$22,0),MATCH(AC$3,'[1]salary allocation'!$E$3:$J$3,0)),0)</f>
        <v>0</v>
      </c>
      <c r="AD540" s="17"/>
      <c r="AE540" s="16"/>
      <c r="AF540" s="15"/>
      <c r="AG540" s="15"/>
      <c r="AH540" s="2">
        <f>K540+SUM(O540:AC540)</f>
        <v>0</v>
      </c>
      <c r="AI540" s="2">
        <f>K540+SUM(AF540:AG540)</f>
        <v>0</v>
      </c>
    </row>
    <row r="541" spans="1:35" x14ac:dyDescent="0.2">
      <c r="A541" s="11" t="s">
        <v>61</v>
      </c>
      <c r="B541" s="22">
        <v>45890</v>
      </c>
      <c r="F541" s="13">
        <v>-9332394</v>
      </c>
      <c r="H541" s="11" t="s">
        <v>35</v>
      </c>
      <c r="I541" s="11" t="s">
        <v>344</v>
      </c>
      <c r="K541" s="13"/>
      <c r="L541" s="12">
        <v>82025</v>
      </c>
      <c r="M541" s="11" t="str">
        <f>LEFT(I541,(LEN(LEFT(I541,FIND(";",I541)))-8))</f>
        <v>VNOther</v>
      </c>
      <c r="N541" s="11"/>
      <c r="O541" s="15">
        <f>-$K541*IFERROR(INDEX('[1]salary allocation'!$E$6:$J$22,MATCH($H541,'[1]salary allocation'!$D$6:$D$22,0),MATCH(O$3,'[1]salary allocation'!$E$3:$J$3,0)),0)</f>
        <v>0</v>
      </c>
      <c r="P541" s="15">
        <f>-$K541*IFERROR(INDEX('[1]salary allocation'!$E$6:$J$22,MATCH($H541,'[1]salary allocation'!$D$6:$D$22,0),MATCH(P$3,'[1]salary allocation'!$E$3:$J$3,0)),0)</f>
        <v>0</v>
      </c>
      <c r="Q541" s="15">
        <f>-$K541*IFERROR(INDEX('[1]salary allocation'!$E$6:$J$22,MATCH($H541,'[1]salary allocation'!$D$6:$D$22,0),MATCH(Q$3,'[1]salary allocation'!$E$3:$J$3,0)),0)</f>
        <v>0</v>
      </c>
      <c r="R541" s="15">
        <f>-$K541*IFERROR(INDEX('[1]salary allocation'!$E$6:$J$22,MATCH($H541,'[1]salary allocation'!$D$6:$D$22,0),MATCH(R$3,'[1]salary allocation'!$E$3:$J$3,0)),0)</f>
        <v>0</v>
      </c>
      <c r="S541" s="15">
        <f>-$K541*IFERROR(INDEX('[1]salary allocation'!$E$6:$J$22,MATCH($H541,'[1]salary allocation'!$D$6:$D$22,0),MATCH(S$3,'[1]salary allocation'!$E$3:$J$3,0)),0)</f>
        <v>0</v>
      </c>
      <c r="T541" s="15">
        <f>-$K541*IFERROR(INDEX('[1]salary allocation'!$E$6:$J$22,MATCH($H541,'[1]salary allocation'!$D$6:$D$22,0),MATCH(T$3,'[1]salary allocation'!$E$3:$J$3,0)),0)</f>
        <v>0</v>
      </c>
      <c r="U541" s="15">
        <f>-$K541*IFERROR(INDEX('[1]salary allocation'!$E$6:$J$22,MATCH($H541,'[1]salary allocation'!$D$6:$D$22,0),MATCH(U$3,'[1]salary allocation'!$E$3:$J$3,0)),0)</f>
        <v>0</v>
      </c>
      <c r="V541" s="15">
        <f>-$K541*IFERROR(INDEX('[1]salary allocation'!$E$6:$J$22,MATCH($H541,'[1]salary allocation'!$D$6:$D$22,0),MATCH(V$3,'[1]salary allocation'!$E$3:$J$3,0)),0)</f>
        <v>0</v>
      </c>
      <c r="W541" s="15">
        <f>-$K541*IFERROR(INDEX('[1]salary allocation'!$E$6:$J$22,MATCH($H541,'[1]salary allocation'!$D$6:$D$22,0),MATCH(W$3,'[1]salary allocation'!$E$3:$J$3,0)),0)</f>
        <v>0</v>
      </c>
      <c r="X541" s="15">
        <f>-$K541*IFERROR(INDEX('[1]salary allocation'!$E$6:$J$22,MATCH($H541,'[1]salary allocation'!$D$6:$D$22,0),MATCH(X$3,'[1]salary allocation'!$E$3:$J$3,0)),0)</f>
        <v>0</v>
      </c>
      <c r="Y541" s="15">
        <f>-$K541*IFERROR(INDEX('[1]salary allocation'!$E$6:$J$22,MATCH($H541,'[1]salary allocation'!$D$6:$D$22,0),MATCH(Y$3,'[1]salary allocation'!$E$3:$J$3,0)),0)</f>
        <v>0</v>
      </c>
      <c r="Z541" s="15">
        <f>-$K541*IFERROR(INDEX('[1]salary allocation'!$E$6:$J$22,MATCH($H541,'[1]salary allocation'!$D$6:$D$22,0),MATCH(Z$3,'[1]salary allocation'!$E$3:$J$3,0)),0)</f>
        <v>0</v>
      </c>
      <c r="AA541" s="15">
        <f>-$K541*IFERROR(INDEX('[1]salary allocation'!$E$6:$J$22,MATCH($H541,'[1]salary allocation'!$D$6:$D$22,0),MATCH(AA$3,'[1]salary allocation'!$E$3:$J$3,0)),0)</f>
        <v>0</v>
      </c>
      <c r="AB541" s="15">
        <f>-$K541*IFERROR(INDEX('[1]salary allocation'!$E$6:$J$22,MATCH($H541,'[1]salary allocation'!$D$6:$D$22,0),MATCH(AB$3,'[1]salary allocation'!$E$3:$J$3,0)),0)</f>
        <v>0</v>
      </c>
      <c r="AC541" s="18">
        <f>-$K541*IFERROR(INDEX('[1]salary allocation'!$E$6:$J$22,MATCH($H541,'[1]salary allocation'!$D$6:$D$22,0),MATCH(AC$3,'[1]salary allocation'!$E$3:$J$3,0)),0)</f>
        <v>0</v>
      </c>
      <c r="AD541" s="17"/>
      <c r="AE541" s="16"/>
      <c r="AF541" s="15">
        <f>-$K541</f>
        <v>0</v>
      </c>
      <c r="AG541" s="15"/>
      <c r="AH541" s="2">
        <f>K541+SUM(O541:AC541)</f>
        <v>0</v>
      </c>
      <c r="AI541" s="2">
        <f>K541+SUM(AF541:AG541)</f>
        <v>0</v>
      </c>
    </row>
    <row r="542" spans="1:35" x14ac:dyDescent="0.2">
      <c r="A542" s="11" t="s">
        <v>61</v>
      </c>
      <c r="B542" s="22">
        <v>45890</v>
      </c>
      <c r="H542" s="11" t="s">
        <v>121</v>
      </c>
      <c r="I542" s="11" t="s">
        <v>343</v>
      </c>
      <c r="K542" s="13">
        <v>-152496</v>
      </c>
      <c r="L542" s="12">
        <v>82025</v>
      </c>
      <c r="M542" s="11" t="str">
        <f>LEFT(I542,(LEN(LEFT(I542,FIND(";",I542)))-8))</f>
        <v>VNLA</v>
      </c>
      <c r="N542" s="11"/>
      <c r="O542" s="2">
        <f>IF($M542=O$3,-$K542,0)</f>
        <v>0</v>
      </c>
      <c r="P542" s="2">
        <f>IF($M542=P$3,-$K542,0)</f>
        <v>0</v>
      </c>
      <c r="Q542" s="2">
        <f>IF($M542=Q$3,-$K542,0)</f>
        <v>0</v>
      </c>
      <c r="R542" s="2">
        <f>IF($M542=R$3,-$K542,0)</f>
        <v>0</v>
      </c>
      <c r="S542" s="2">
        <f>IF($M542=S$3,-$K542,0)</f>
        <v>0</v>
      </c>
      <c r="T542" s="2">
        <f>IF($M542=T$3,-$K542,0)</f>
        <v>0</v>
      </c>
      <c r="U542" s="2">
        <f>IF($M542=U$3,-$K542,0)</f>
        <v>0</v>
      </c>
      <c r="V542" s="2">
        <f>IF($M542=V$3,-$K542,0)</f>
        <v>0</v>
      </c>
      <c r="W542" s="2">
        <f>IF($M542=W$3,-$K542,0)</f>
        <v>0</v>
      </c>
      <c r="X542" s="2">
        <f>IF($M542=X$3,-$K542,0)</f>
        <v>152496</v>
      </c>
      <c r="Y542" s="2">
        <f>IF($M542=Y$3,-$K542,0)</f>
        <v>0</v>
      </c>
      <c r="Z542" s="2">
        <f>IF($M542=Z$3,-$K542,0)</f>
        <v>0</v>
      </c>
      <c r="AA542" s="2">
        <f>IF($M542=AA$3,-$K542,0)</f>
        <v>0</v>
      </c>
      <c r="AB542" s="2">
        <f>IF($M542=AB$3,-$K542,0)</f>
        <v>0</v>
      </c>
      <c r="AC542" s="21">
        <f>IF($M542=AC$3,-$K542,0)</f>
        <v>0</v>
      </c>
      <c r="AD542" s="20"/>
      <c r="AE542" s="19"/>
      <c r="AF542" s="2"/>
      <c r="AG542" s="2">
        <f>-$K542</f>
        <v>152496</v>
      </c>
      <c r="AH542" s="2">
        <f>K542+SUM(O542:AC542)</f>
        <v>0</v>
      </c>
      <c r="AI542" s="2">
        <f>K542+SUM(AF542:AG542)</f>
        <v>0</v>
      </c>
    </row>
    <row r="543" spans="1:35" x14ac:dyDescent="0.2">
      <c r="A543" s="11" t="s">
        <v>61</v>
      </c>
      <c r="B543" s="22">
        <v>45890</v>
      </c>
      <c r="H543" s="11" t="s">
        <v>33</v>
      </c>
      <c r="I543" s="11" t="s">
        <v>342</v>
      </c>
      <c r="K543" s="13">
        <v>-138254</v>
      </c>
      <c r="L543" s="12">
        <v>82025</v>
      </c>
      <c r="M543" s="11" t="str">
        <f>LEFT(I543,(LEN(LEFT(I543,FIND(";",I543)))-8))</f>
        <v>VNDN</v>
      </c>
      <c r="N543" s="11"/>
      <c r="O543" s="2">
        <f>IF($M543=O$3,-$K543,0)</f>
        <v>0</v>
      </c>
      <c r="P543" s="2">
        <f>IF($M543=P$3,-$K543,0)</f>
        <v>0</v>
      </c>
      <c r="Q543" s="2">
        <f>IF($M543=Q$3,-$K543,0)</f>
        <v>0</v>
      </c>
      <c r="R543" s="2">
        <f>IF($M543=R$3,-$K543,0)</f>
        <v>0</v>
      </c>
      <c r="S543" s="2">
        <f>IF($M543=S$3,-$K543,0)</f>
        <v>138254</v>
      </c>
      <c r="T543" s="2">
        <f>IF($M543=T$3,-$K543,0)</f>
        <v>0</v>
      </c>
      <c r="U543" s="2">
        <f>IF($M543=U$3,-$K543,0)</f>
        <v>0</v>
      </c>
      <c r="V543" s="2">
        <f>IF($M543=V$3,-$K543,0)</f>
        <v>0</v>
      </c>
      <c r="W543" s="2">
        <f>IF($M543=W$3,-$K543,0)</f>
        <v>0</v>
      </c>
      <c r="X543" s="2">
        <f>IF($M543=X$3,-$K543,0)</f>
        <v>0</v>
      </c>
      <c r="Y543" s="2">
        <f>IF($M543=Y$3,-$K543,0)</f>
        <v>0</v>
      </c>
      <c r="Z543" s="2">
        <f>IF($M543=Z$3,-$K543,0)</f>
        <v>0</v>
      </c>
      <c r="AA543" s="2">
        <f>IF($M543=AA$3,-$K543,0)</f>
        <v>0</v>
      </c>
      <c r="AB543" s="2">
        <f>IF($M543=AB$3,-$K543,0)</f>
        <v>0</v>
      </c>
      <c r="AC543" s="21">
        <f>IF($M543=AC$3,-$K543,0)</f>
        <v>0</v>
      </c>
      <c r="AD543" s="20"/>
      <c r="AE543" s="19"/>
      <c r="AF543" s="2"/>
      <c r="AG543" s="2">
        <f>-$K543</f>
        <v>138254</v>
      </c>
      <c r="AH543" s="2">
        <f>K543+SUM(O543:AC543)</f>
        <v>0</v>
      </c>
      <c r="AI543" s="2">
        <f>K543+SUM(AF543:AG543)</f>
        <v>0</v>
      </c>
    </row>
    <row r="544" spans="1:35" x14ac:dyDescent="0.2">
      <c r="A544" s="11" t="s">
        <v>61</v>
      </c>
      <c r="B544" s="22">
        <v>45890</v>
      </c>
      <c r="H544" s="11" t="s">
        <v>31</v>
      </c>
      <c r="I544" s="11" t="s">
        <v>341</v>
      </c>
      <c r="K544" s="13">
        <v>0</v>
      </c>
      <c r="L544" s="12">
        <v>82025</v>
      </c>
      <c r="M544" s="11" t="str">
        <f>LEFT(I544,(LEN(LEFT(I544,FIND(";",I544)))-8))</f>
        <v>VNDN</v>
      </c>
      <c r="N544" s="11"/>
      <c r="O544" s="2">
        <f>IF($M544=O$3,-$K544,0)</f>
        <v>0</v>
      </c>
      <c r="P544" s="2">
        <f>IF($M544=P$3,-$K544,0)</f>
        <v>0</v>
      </c>
      <c r="Q544" s="2">
        <f>IF($M544=Q$3,-$K544,0)</f>
        <v>0</v>
      </c>
      <c r="R544" s="2">
        <f>IF($M544=R$3,-$K544,0)</f>
        <v>0</v>
      </c>
      <c r="S544" s="2">
        <f>IF($M544=S$3,-$K544,0)</f>
        <v>0</v>
      </c>
      <c r="T544" s="2">
        <f>IF($M544=T$3,-$K544,0)</f>
        <v>0</v>
      </c>
      <c r="U544" s="2">
        <f>IF($M544=U$3,-$K544,0)</f>
        <v>0</v>
      </c>
      <c r="V544" s="2">
        <f>IF($M544=V$3,-$K544,0)</f>
        <v>0</v>
      </c>
      <c r="W544" s="2">
        <f>IF($M544=W$3,-$K544,0)</f>
        <v>0</v>
      </c>
      <c r="X544" s="2">
        <f>IF($M544=X$3,-$K544,0)</f>
        <v>0</v>
      </c>
      <c r="Y544" s="2">
        <f>IF($M544=Y$3,-$K544,0)</f>
        <v>0</v>
      </c>
      <c r="Z544" s="2">
        <f>IF($M544=Z$3,-$K544,0)</f>
        <v>0</v>
      </c>
      <c r="AA544" s="2">
        <f>IF($M544=AA$3,-$K544,0)</f>
        <v>0</v>
      </c>
      <c r="AB544" s="2">
        <f>IF($M544=AB$3,-$K544,0)</f>
        <v>0</v>
      </c>
      <c r="AC544" s="21">
        <f>IF($M544=AC$3,-$K544,0)</f>
        <v>0</v>
      </c>
      <c r="AD544" s="20"/>
      <c r="AE544" s="19"/>
      <c r="AF544" s="2"/>
      <c r="AG544" s="2">
        <f>-$K544</f>
        <v>0</v>
      </c>
      <c r="AH544" s="2">
        <f>K544+SUM(O544:AC544)</f>
        <v>0</v>
      </c>
      <c r="AI544" s="2">
        <f>K544+SUM(AF544:AG544)</f>
        <v>0</v>
      </c>
    </row>
    <row r="545" spans="1:35" x14ac:dyDescent="0.2">
      <c r="A545" s="11" t="s">
        <v>61</v>
      </c>
      <c r="B545" s="22">
        <v>45890</v>
      </c>
      <c r="H545" s="11" t="s">
        <v>29</v>
      </c>
      <c r="I545" s="11" t="s">
        <v>340</v>
      </c>
      <c r="K545" s="13">
        <v>-64271</v>
      </c>
      <c r="L545" s="12">
        <v>82025</v>
      </c>
      <c r="M545" s="11" t="str">
        <f>LEFT(I545,(LEN(LEFT(I545,FIND(";",I545)))-8))</f>
        <v>VNDN</v>
      </c>
      <c r="N545" s="11"/>
      <c r="O545" s="2">
        <f>IF($M545=O$3,-$K545,0)</f>
        <v>0</v>
      </c>
      <c r="P545" s="2">
        <f>IF($M545=P$3,-$K545,0)</f>
        <v>0</v>
      </c>
      <c r="Q545" s="2">
        <f>IF($M545=Q$3,-$K545,0)</f>
        <v>0</v>
      </c>
      <c r="R545" s="2">
        <f>IF($M545=R$3,-$K545,0)</f>
        <v>0</v>
      </c>
      <c r="S545" s="2">
        <f>IF($M545=S$3,-$K545,0)</f>
        <v>64271</v>
      </c>
      <c r="T545" s="2">
        <f>IF($M545=T$3,-$K545,0)</f>
        <v>0</v>
      </c>
      <c r="U545" s="2">
        <f>IF($M545=U$3,-$K545,0)</f>
        <v>0</v>
      </c>
      <c r="V545" s="2">
        <f>IF($M545=V$3,-$K545,0)</f>
        <v>0</v>
      </c>
      <c r="W545" s="2">
        <f>IF($M545=W$3,-$K545,0)</f>
        <v>0</v>
      </c>
      <c r="X545" s="2">
        <f>IF($M545=X$3,-$K545,0)</f>
        <v>0</v>
      </c>
      <c r="Y545" s="2">
        <f>IF($M545=Y$3,-$K545,0)</f>
        <v>0</v>
      </c>
      <c r="Z545" s="2">
        <f>IF($M545=Z$3,-$K545,0)</f>
        <v>0</v>
      </c>
      <c r="AA545" s="2">
        <f>IF($M545=AA$3,-$K545,0)</f>
        <v>0</v>
      </c>
      <c r="AB545" s="2">
        <f>IF($M545=AB$3,-$K545,0)</f>
        <v>0</v>
      </c>
      <c r="AC545" s="21">
        <f>IF($M545=AC$3,-$K545,0)</f>
        <v>0</v>
      </c>
      <c r="AD545" s="20"/>
      <c r="AE545" s="19"/>
      <c r="AF545" s="2"/>
      <c r="AG545" s="2">
        <f>-$K545</f>
        <v>64271</v>
      </c>
      <c r="AH545" s="2">
        <f>K545+SUM(O545:AC545)</f>
        <v>0</v>
      </c>
      <c r="AI545" s="2">
        <f>K545+SUM(AF545:AG545)</f>
        <v>0</v>
      </c>
    </row>
    <row r="546" spans="1:35" x14ac:dyDescent="0.2">
      <c r="A546" s="11" t="s">
        <v>61</v>
      </c>
      <c r="B546" s="22">
        <v>45890</v>
      </c>
      <c r="H546" s="11" t="s">
        <v>27</v>
      </c>
      <c r="I546" s="11" t="s">
        <v>339</v>
      </c>
      <c r="K546" s="13">
        <v>0</v>
      </c>
      <c r="L546" s="12">
        <v>82025</v>
      </c>
      <c r="M546" s="11" t="str">
        <f>LEFT(I546,(LEN(LEFT(I546,FIND(";",I546)))-8))</f>
        <v>VNDN</v>
      </c>
      <c r="N546" s="11"/>
      <c r="O546" s="2">
        <f>IF($M546=O$3,-$K546,0)</f>
        <v>0</v>
      </c>
      <c r="P546" s="2">
        <f>IF($M546=P$3,-$K546,0)</f>
        <v>0</v>
      </c>
      <c r="Q546" s="2">
        <f>IF($M546=Q$3,-$K546,0)</f>
        <v>0</v>
      </c>
      <c r="R546" s="2">
        <f>IF($M546=R$3,-$K546,0)</f>
        <v>0</v>
      </c>
      <c r="S546" s="2">
        <f>IF($M546=S$3,-$K546,0)</f>
        <v>0</v>
      </c>
      <c r="T546" s="2">
        <f>IF($M546=T$3,-$K546,0)</f>
        <v>0</v>
      </c>
      <c r="U546" s="2">
        <f>IF($M546=U$3,-$K546,0)</f>
        <v>0</v>
      </c>
      <c r="V546" s="2">
        <f>IF($M546=V$3,-$K546,0)</f>
        <v>0</v>
      </c>
      <c r="W546" s="2">
        <f>IF($M546=W$3,-$K546,0)</f>
        <v>0</v>
      </c>
      <c r="X546" s="2">
        <f>IF($M546=X$3,-$K546,0)</f>
        <v>0</v>
      </c>
      <c r="Y546" s="2">
        <f>IF($M546=Y$3,-$K546,0)</f>
        <v>0</v>
      </c>
      <c r="Z546" s="2">
        <f>IF($M546=Z$3,-$K546,0)</f>
        <v>0</v>
      </c>
      <c r="AA546" s="2">
        <f>IF($M546=AA$3,-$K546,0)</f>
        <v>0</v>
      </c>
      <c r="AB546" s="2">
        <f>IF($M546=AB$3,-$K546,0)</f>
        <v>0</v>
      </c>
      <c r="AC546" s="21">
        <f>IF($M546=AC$3,-$K546,0)</f>
        <v>0</v>
      </c>
      <c r="AD546" s="20"/>
      <c r="AE546" s="19"/>
      <c r="AF546" s="2"/>
      <c r="AG546" s="2">
        <f>-$K546</f>
        <v>0</v>
      </c>
      <c r="AH546" s="2">
        <f>K546+SUM(O546:AC546)</f>
        <v>0</v>
      </c>
      <c r="AI546" s="2">
        <f>K546+SUM(AF546:AG546)</f>
        <v>0</v>
      </c>
    </row>
    <row r="547" spans="1:35" x14ac:dyDescent="0.2">
      <c r="A547" s="11" t="s">
        <v>61</v>
      </c>
      <c r="B547" s="22">
        <v>45890</v>
      </c>
      <c r="H547" s="11" t="s">
        <v>25</v>
      </c>
      <c r="I547" s="11" t="s">
        <v>338</v>
      </c>
      <c r="K547" s="13">
        <v>0</v>
      </c>
      <c r="L547" s="12">
        <v>82025</v>
      </c>
      <c r="M547" s="11" t="str">
        <f>LEFT(I547,(LEN(LEFT(I547,FIND(";",I547)))-8))</f>
        <v>VNQN</v>
      </c>
      <c r="N547" s="11"/>
      <c r="O547" s="2">
        <f>IF($M547=O$3,-$K547,0)</f>
        <v>0</v>
      </c>
      <c r="P547" s="2">
        <f>IF($M547=P$3,-$K547,0)</f>
        <v>0</v>
      </c>
      <c r="Q547" s="2">
        <f>IF($M547=Q$3,-$K547,0)</f>
        <v>0</v>
      </c>
      <c r="R547" s="2">
        <f>IF($M547=R$3,-$K547,0)</f>
        <v>0</v>
      </c>
      <c r="S547" s="2">
        <f>IF($M547=S$3,-$K547,0)</f>
        <v>0</v>
      </c>
      <c r="T547" s="2">
        <f>IF($M547=T$3,-$K547,0)</f>
        <v>0</v>
      </c>
      <c r="U547" s="2">
        <f>IF($M547=U$3,-$K547,0)</f>
        <v>0</v>
      </c>
      <c r="V547" s="2">
        <f>IF($M547=V$3,-$K547,0)</f>
        <v>0</v>
      </c>
      <c r="W547" s="2">
        <f>IF($M547=W$3,-$K547,0)</f>
        <v>0</v>
      </c>
      <c r="X547" s="2">
        <f>IF($M547=X$3,-$K547,0)</f>
        <v>0</v>
      </c>
      <c r="Y547" s="2">
        <f>IF($M547=Y$3,-$K547,0)</f>
        <v>0</v>
      </c>
      <c r="Z547" s="2">
        <f>IF($M547=Z$3,-$K547,0)</f>
        <v>0</v>
      </c>
      <c r="AA547" s="2">
        <f>IF($M547=AA$3,-$K547,0)</f>
        <v>0</v>
      </c>
      <c r="AB547" s="2">
        <f>IF($M547=AB$3,-$K547,0)</f>
        <v>0</v>
      </c>
      <c r="AC547" s="21">
        <f>IF($M547=AC$3,-$K547,0)</f>
        <v>0</v>
      </c>
      <c r="AD547" s="20"/>
      <c r="AE547" s="19"/>
      <c r="AF547" s="2"/>
      <c r="AG547" s="2">
        <f>-$K547</f>
        <v>0</v>
      </c>
      <c r="AH547" s="2">
        <f>K547+SUM(O547:AC547)</f>
        <v>0</v>
      </c>
      <c r="AI547" s="2">
        <f>K547+SUM(AF547:AG547)</f>
        <v>0</v>
      </c>
    </row>
    <row r="548" spans="1:35" x14ac:dyDescent="0.2">
      <c r="A548" s="11" t="s">
        <v>61</v>
      </c>
      <c r="B548" s="22">
        <v>45890</v>
      </c>
      <c r="H548" s="11" t="s">
        <v>81</v>
      </c>
      <c r="I548" s="11" t="s">
        <v>337</v>
      </c>
      <c r="K548" s="13">
        <v>-155657</v>
      </c>
      <c r="L548" s="12">
        <v>82025</v>
      </c>
      <c r="M548" s="11" t="str">
        <f>LEFT(I548,(LEN(LEFT(I548,FIND(";",I548)))-8))</f>
        <v>VNQN</v>
      </c>
      <c r="N548" s="11"/>
      <c r="O548" s="2">
        <f>IF($M548=O$3,-$K548,0)</f>
        <v>0</v>
      </c>
      <c r="P548" s="2">
        <f>IF($M548=P$3,-$K548,0)</f>
        <v>0</v>
      </c>
      <c r="Q548" s="2">
        <f>IF($M548=Q$3,-$K548,0)</f>
        <v>0</v>
      </c>
      <c r="R548" s="2">
        <f>IF($M548=R$3,-$K548,0)</f>
        <v>0</v>
      </c>
      <c r="S548" s="2">
        <f>IF($M548=S$3,-$K548,0)</f>
        <v>0</v>
      </c>
      <c r="T548" s="2">
        <f>IF($M548=T$3,-$K548,0)</f>
        <v>155657</v>
      </c>
      <c r="U548" s="2">
        <f>IF($M548=U$3,-$K548,0)</f>
        <v>0</v>
      </c>
      <c r="V548" s="2">
        <f>IF($M548=V$3,-$K548,0)</f>
        <v>0</v>
      </c>
      <c r="W548" s="2">
        <f>IF($M548=W$3,-$K548,0)</f>
        <v>0</v>
      </c>
      <c r="X548" s="2">
        <f>IF($M548=X$3,-$K548,0)</f>
        <v>0</v>
      </c>
      <c r="Y548" s="2">
        <f>IF($M548=Y$3,-$K548,0)</f>
        <v>0</v>
      </c>
      <c r="Z548" s="2">
        <f>IF($M548=Z$3,-$K548,0)</f>
        <v>0</v>
      </c>
      <c r="AA548" s="2">
        <f>IF($M548=AA$3,-$K548,0)</f>
        <v>0</v>
      </c>
      <c r="AB548" s="2">
        <f>IF($M548=AB$3,-$K548,0)</f>
        <v>0</v>
      </c>
      <c r="AC548" s="21">
        <f>IF($M548=AC$3,-$K548,0)</f>
        <v>0</v>
      </c>
      <c r="AD548" s="20"/>
      <c r="AE548" s="19"/>
      <c r="AF548" s="2"/>
      <c r="AG548" s="2">
        <f>-$K548</f>
        <v>155657</v>
      </c>
      <c r="AH548" s="2">
        <f>K548+SUM(O548:AC548)</f>
        <v>0</v>
      </c>
      <c r="AI548" s="2">
        <f>K548+SUM(AF548:AG548)</f>
        <v>0</v>
      </c>
    </row>
    <row r="549" spans="1:35" x14ac:dyDescent="0.2">
      <c r="A549" s="11" t="s">
        <v>61</v>
      </c>
      <c r="B549" s="22">
        <v>45890</v>
      </c>
      <c r="H549" s="11" t="s">
        <v>23</v>
      </c>
      <c r="I549" s="11" t="s">
        <v>336</v>
      </c>
      <c r="K549" s="13">
        <v>0</v>
      </c>
      <c r="L549" s="12">
        <v>82025</v>
      </c>
      <c r="M549" s="11" t="str">
        <f>LEFT(I549,(LEN(LEFT(I549,FIND(";",I549)))-8))</f>
        <v>VNHD</v>
      </c>
      <c r="N549" s="11"/>
      <c r="O549" s="2">
        <f>IF($M549=O$3,-$K549,0)</f>
        <v>0</v>
      </c>
      <c r="P549" s="2">
        <f>IF($M549=P$3,-$K549,0)</f>
        <v>0</v>
      </c>
      <c r="Q549" s="2">
        <f>IF($M549=Q$3,-$K549,0)</f>
        <v>0</v>
      </c>
      <c r="R549" s="2">
        <f>IF($M549=R$3,-$K549,0)</f>
        <v>0</v>
      </c>
      <c r="S549" s="2">
        <f>IF($M549=S$3,-$K549,0)</f>
        <v>0</v>
      </c>
      <c r="T549" s="2">
        <f>IF($M549=T$3,-$K549,0)</f>
        <v>0</v>
      </c>
      <c r="U549" s="2">
        <f>IF($M549=U$3,-$K549,0)</f>
        <v>0</v>
      </c>
      <c r="V549" s="2">
        <f>IF($M549=V$3,-$K549,0)</f>
        <v>0</v>
      </c>
      <c r="W549" s="2">
        <f>IF($M549=W$3,-$K549,0)</f>
        <v>0</v>
      </c>
      <c r="X549" s="2">
        <f>IF($M549=X$3,-$K549,0)</f>
        <v>0</v>
      </c>
      <c r="Y549" s="2">
        <f>IF($M549=Y$3,-$K549,0)</f>
        <v>0</v>
      </c>
      <c r="Z549" s="2">
        <f>IF($M549=Z$3,-$K549,0)</f>
        <v>0</v>
      </c>
      <c r="AA549" s="2">
        <f>IF($M549=AA$3,-$K549,0)</f>
        <v>0</v>
      </c>
      <c r="AB549" s="2">
        <f>IF($M549=AB$3,-$K549,0)</f>
        <v>0</v>
      </c>
      <c r="AC549" s="21">
        <f>IF($M549=AC$3,-$K549,0)</f>
        <v>0</v>
      </c>
      <c r="AD549" s="20"/>
      <c r="AE549" s="19"/>
      <c r="AF549" s="2"/>
      <c r="AG549" s="2">
        <f>-$K549</f>
        <v>0</v>
      </c>
      <c r="AH549" s="2">
        <f>K549+SUM(O549:AC549)</f>
        <v>0</v>
      </c>
      <c r="AI549" s="2">
        <f>K549+SUM(AF549:AG549)</f>
        <v>0</v>
      </c>
    </row>
    <row r="550" spans="1:35" x14ac:dyDescent="0.2">
      <c r="A550" s="11" t="s">
        <v>61</v>
      </c>
      <c r="B550" s="22">
        <v>45890</v>
      </c>
      <c r="H550" s="11" t="s">
        <v>21</v>
      </c>
      <c r="I550" s="11" t="s">
        <v>335</v>
      </c>
      <c r="K550" s="13">
        <v>-188296</v>
      </c>
      <c r="L550" s="12">
        <v>82025</v>
      </c>
      <c r="M550" s="11" t="str">
        <f>LEFT(I550,(LEN(LEFT(I550,FIND(";",I550)))-8))</f>
        <v>VNHCM</v>
      </c>
      <c r="N550" s="11"/>
      <c r="O550" s="2">
        <f>IF($M550=O$3,-$K550,0)</f>
        <v>0</v>
      </c>
      <c r="P550" s="2">
        <f>IF($M550=P$3,-$K550,0)</f>
        <v>0</v>
      </c>
      <c r="Q550" s="2">
        <f>IF($M550=Q$3,-$K550,0)</f>
        <v>0</v>
      </c>
      <c r="R550" s="2">
        <f>IF($M550=R$3,-$K550,0)</f>
        <v>0</v>
      </c>
      <c r="S550" s="2">
        <f>IF($M550=S$3,-$K550,0)</f>
        <v>0</v>
      </c>
      <c r="T550" s="2">
        <f>IF($M550=T$3,-$K550,0)</f>
        <v>0</v>
      </c>
      <c r="U550" s="2">
        <f>IF($M550=U$3,-$K550,0)</f>
        <v>0</v>
      </c>
      <c r="V550" s="2">
        <f>IF($M550=V$3,-$K550,0)</f>
        <v>0</v>
      </c>
      <c r="W550" s="2">
        <f>IF($M550=W$3,-$K550,0)</f>
        <v>0</v>
      </c>
      <c r="X550" s="2">
        <f>IF($M550=X$3,-$K550,0)</f>
        <v>0</v>
      </c>
      <c r="Y550" s="2">
        <f>IF($M550=Y$3,-$K550,0)</f>
        <v>188296</v>
      </c>
      <c r="Z550" s="2">
        <f>IF($M550=Z$3,-$K550,0)</f>
        <v>0</v>
      </c>
      <c r="AA550" s="2">
        <f>IF($M550=AA$3,-$K550,0)</f>
        <v>0</v>
      </c>
      <c r="AB550" s="2">
        <f>IF($M550=AB$3,-$K550,0)</f>
        <v>0</v>
      </c>
      <c r="AC550" s="21">
        <f>IF($M550=AC$3,-$K550,0)</f>
        <v>0</v>
      </c>
      <c r="AD550" s="20"/>
      <c r="AE550" s="19"/>
      <c r="AF550" s="2"/>
      <c r="AG550" s="2">
        <f>-$K550</f>
        <v>188296</v>
      </c>
      <c r="AH550" s="2">
        <f>K550+SUM(O550:AC550)</f>
        <v>0</v>
      </c>
      <c r="AI550" s="2">
        <f>K550+SUM(AF550:AG550)</f>
        <v>0</v>
      </c>
    </row>
    <row r="551" spans="1:35" x14ac:dyDescent="0.2">
      <c r="A551" s="11" t="s">
        <v>61</v>
      </c>
      <c r="B551" s="22">
        <v>45890</v>
      </c>
      <c r="H551" s="11" t="s">
        <v>156</v>
      </c>
      <c r="I551" s="11" t="s">
        <v>334</v>
      </c>
      <c r="K551" s="13">
        <v>0</v>
      </c>
      <c r="L551" s="12">
        <v>82025</v>
      </c>
      <c r="M551" s="11" t="str">
        <f>LEFT(I551,(LEN(LEFT(I551,FIND(";",I551)))-8))</f>
        <v>VNBG</v>
      </c>
      <c r="N551" s="11"/>
      <c r="O551" s="2">
        <f>IF($M551=O$3,-$K551,0)</f>
        <v>0</v>
      </c>
      <c r="P551" s="2">
        <f>IF($M551=P$3,-$K551,0)</f>
        <v>0</v>
      </c>
      <c r="Q551" s="2">
        <f>IF($M551=Q$3,-$K551,0)</f>
        <v>0</v>
      </c>
      <c r="R551" s="2">
        <f>IF($M551=R$3,-$K551,0)</f>
        <v>0</v>
      </c>
      <c r="S551" s="2">
        <f>IF($M551=S$3,-$K551,0)</f>
        <v>0</v>
      </c>
      <c r="T551" s="2">
        <f>IF($M551=T$3,-$K551,0)</f>
        <v>0</v>
      </c>
      <c r="U551" s="2">
        <f>IF($M551=U$3,-$K551,0)</f>
        <v>0</v>
      </c>
      <c r="V551" s="2">
        <f>IF($M551=V$3,-$K551,0)</f>
        <v>0</v>
      </c>
      <c r="W551" s="2">
        <f>IF($M551=W$3,-$K551,0)</f>
        <v>0</v>
      </c>
      <c r="X551" s="2">
        <f>IF($M551=X$3,-$K551,0)</f>
        <v>0</v>
      </c>
      <c r="Y551" s="2">
        <f>IF($M551=Y$3,-$K551,0)</f>
        <v>0</v>
      </c>
      <c r="Z551" s="2">
        <f>IF($M551=Z$3,-$K551,0)</f>
        <v>0</v>
      </c>
      <c r="AA551" s="2">
        <f>IF($M551=AA$3,-$K551,0)</f>
        <v>0</v>
      </c>
      <c r="AB551" s="2">
        <f>IF($M551=AB$3,-$K551,0)</f>
        <v>0</v>
      </c>
      <c r="AC551" s="21">
        <f>IF($M551=AC$3,-$K551,0)</f>
        <v>0</v>
      </c>
      <c r="AD551" s="20"/>
      <c r="AE551" s="19"/>
      <c r="AF551" s="2"/>
      <c r="AG551" s="2"/>
      <c r="AH551" s="2">
        <f>K551+SUM(O551:AC551)</f>
        <v>0</v>
      </c>
      <c r="AI551" s="2">
        <f>K551+SUM(AF551:AG551)</f>
        <v>0</v>
      </c>
    </row>
    <row r="552" spans="1:35" x14ac:dyDescent="0.2">
      <c r="A552" s="11" t="s">
        <v>61</v>
      </c>
      <c r="B552" s="22">
        <v>45890</v>
      </c>
      <c r="H552" s="11" t="s">
        <v>19</v>
      </c>
      <c r="I552" s="11" t="s">
        <v>333</v>
      </c>
      <c r="K552" s="13">
        <v>-689892</v>
      </c>
      <c r="L552" s="12">
        <v>82025</v>
      </c>
      <c r="M552" s="11" t="str">
        <f>LEFT(I552,(LEN(LEFT(I552,FIND(";",I552)))-8))</f>
        <v>VNQN</v>
      </c>
      <c r="N552" s="11"/>
      <c r="O552" s="2">
        <f>IF($M552=O$3,-$K552,0)</f>
        <v>0</v>
      </c>
      <c r="P552" s="2">
        <f>IF($M552=P$3,-$K552,0)</f>
        <v>0</v>
      </c>
      <c r="Q552" s="2">
        <f>IF($M552=Q$3,-$K552,0)</f>
        <v>0</v>
      </c>
      <c r="R552" s="2">
        <f>IF($M552=R$3,-$K552,0)</f>
        <v>0</v>
      </c>
      <c r="S552" s="2">
        <f>IF($M552=S$3,-$K552,0)</f>
        <v>0</v>
      </c>
      <c r="T552" s="2">
        <f>IF($M552=T$3,-$K552,0)</f>
        <v>689892</v>
      </c>
      <c r="U552" s="2">
        <f>IF($M552=U$3,-$K552,0)</f>
        <v>0</v>
      </c>
      <c r="V552" s="2">
        <f>IF($M552=V$3,-$K552,0)</f>
        <v>0</v>
      </c>
      <c r="W552" s="2">
        <f>IF($M552=W$3,-$K552,0)</f>
        <v>0</v>
      </c>
      <c r="X552" s="2">
        <f>IF($M552=X$3,-$K552,0)</f>
        <v>0</v>
      </c>
      <c r="Y552" s="2">
        <f>IF($M552=Y$3,-$K552,0)</f>
        <v>0</v>
      </c>
      <c r="Z552" s="2">
        <f>IF($M552=Z$3,-$K552,0)</f>
        <v>0</v>
      </c>
      <c r="AA552" s="2">
        <f>IF($M552=AA$3,-$K552,0)</f>
        <v>0</v>
      </c>
      <c r="AB552" s="2">
        <f>IF($M552=AB$3,-$K552,0)</f>
        <v>0</v>
      </c>
      <c r="AC552" s="21">
        <f>IF($M552=AC$3,-$K552,0)</f>
        <v>0</v>
      </c>
      <c r="AD552" s="20"/>
      <c r="AE552" s="19"/>
      <c r="AF552" s="2"/>
      <c r="AG552" s="2">
        <f>-$K552</f>
        <v>689892</v>
      </c>
      <c r="AH552" s="2">
        <f>K552+SUM(O552:AC552)</f>
        <v>0</v>
      </c>
      <c r="AI552" s="2">
        <f>K552+SUM(AF552:AG552)</f>
        <v>0</v>
      </c>
    </row>
    <row r="553" spans="1:35" x14ac:dyDescent="0.2">
      <c r="A553" s="11" t="s">
        <v>61</v>
      </c>
      <c r="B553" s="22">
        <v>45890</v>
      </c>
      <c r="H553" s="11" t="s">
        <v>110</v>
      </c>
      <c r="I553" s="11" t="s">
        <v>332</v>
      </c>
      <c r="K553" s="13">
        <v>-806490</v>
      </c>
      <c r="L553" s="12">
        <v>82025</v>
      </c>
      <c r="M553" s="11" t="str">
        <f>LEFT(I553,(LEN(LEFT(I553,FIND(";",I553)))-8))</f>
        <v>VNOther</v>
      </c>
      <c r="N553" s="11"/>
      <c r="O553" s="15">
        <f>-$K553*IFERROR(INDEX('[1]salary allocation'!$E$6:$J$22,MATCH($H553,'[1]salary allocation'!$D$6:$D$22,0),MATCH(O$3,'[1]salary allocation'!$E$3:$J$3,0)),0)</f>
        <v>0</v>
      </c>
      <c r="P553" s="15">
        <f>-$K553*IFERROR(INDEX('[1]salary allocation'!$E$6:$J$22,MATCH($H553,'[1]salary allocation'!$D$6:$D$22,0),MATCH(P$3,'[1]salary allocation'!$E$3:$J$3,0)),0)</f>
        <v>120973.5</v>
      </c>
      <c r="Q553" s="15">
        <f>-$K553*IFERROR(INDEX('[1]salary allocation'!$E$6:$J$22,MATCH($H553,'[1]salary allocation'!$D$6:$D$22,0),MATCH(Q$3,'[1]salary allocation'!$E$3:$J$3,0)),0)</f>
        <v>0</v>
      </c>
      <c r="R553" s="15">
        <f>-$K553*IFERROR(INDEX('[1]salary allocation'!$E$6:$J$22,MATCH($H553,'[1]salary allocation'!$D$6:$D$22,0),MATCH(R$3,'[1]salary allocation'!$E$3:$J$3,0)),0)</f>
        <v>0</v>
      </c>
      <c r="S553" s="15">
        <f>-$K553*IFERROR(INDEX('[1]salary allocation'!$E$6:$J$22,MATCH($H553,'[1]salary allocation'!$D$6:$D$22,0),MATCH(S$3,'[1]salary allocation'!$E$3:$J$3,0)),0)</f>
        <v>137103.29999999999</v>
      </c>
      <c r="T553" s="15">
        <f>-$K553*IFERROR(INDEX('[1]salary allocation'!$E$6:$J$22,MATCH($H553,'[1]salary allocation'!$D$6:$D$22,0),MATCH(T$3,'[1]salary allocation'!$E$3:$J$3,0)),0)</f>
        <v>137103.29999999999</v>
      </c>
      <c r="U553" s="15">
        <f>-$K553*IFERROR(INDEX('[1]salary allocation'!$E$6:$J$22,MATCH($H553,'[1]salary allocation'!$D$6:$D$22,0),MATCH(U$3,'[1]salary allocation'!$E$3:$J$3,0)),0)</f>
        <v>137103.29999999999</v>
      </c>
      <c r="V553" s="15">
        <f>-$K553*IFERROR(INDEX('[1]salary allocation'!$E$6:$J$22,MATCH($H553,'[1]salary allocation'!$D$6:$D$22,0),MATCH(V$3,'[1]salary allocation'!$E$3:$J$3,0)),0)</f>
        <v>0</v>
      </c>
      <c r="W553" s="15">
        <f>-$K553*IFERROR(INDEX('[1]salary allocation'!$E$6:$J$22,MATCH($H553,'[1]salary allocation'!$D$6:$D$22,0),MATCH(W$3,'[1]salary allocation'!$E$3:$J$3,0)),0)</f>
        <v>274206.59999999998</v>
      </c>
      <c r="X553" s="15">
        <f>-$K553*IFERROR(INDEX('[1]salary allocation'!$E$6:$J$22,MATCH($H553,'[1]salary allocation'!$D$6:$D$22,0),MATCH(X$3,'[1]salary allocation'!$E$3:$J$3,0)),0)</f>
        <v>0</v>
      </c>
      <c r="Y553" s="15">
        <f>-$K553*IFERROR(INDEX('[1]salary allocation'!$E$6:$J$22,MATCH($H553,'[1]salary allocation'!$D$6:$D$22,0),MATCH(Y$3,'[1]salary allocation'!$E$3:$J$3,0)),0)</f>
        <v>0</v>
      </c>
      <c r="Z553" s="15">
        <f>-$K553*IFERROR(INDEX('[1]salary allocation'!$E$6:$J$22,MATCH($H553,'[1]salary allocation'!$D$6:$D$22,0),MATCH(Z$3,'[1]salary allocation'!$E$3:$J$3,0)),0)</f>
        <v>0</v>
      </c>
      <c r="AA553" s="15">
        <f>-$K553*IFERROR(INDEX('[1]salary allocation'!$E$6:$J$22,MATCH($H553,'[1]salary allocation'!$D$6:$D$22,0),MATCH(AA$3,'[1]salary allocation'!$E$3:$J$3,0)),0)</f>
        <v>0</v>
      </c>
      <c r="AB553" s="15">
        <f>-$K553*IFERROR(INDEX('[1]salary allocation'!$E$6:$J$22,MATCH($H553,'[1]salary allocation'!$D$6:$D$22,0),MATCH(AB$3,'[1]salary allocation'!$E$3:$J$3,0)),0)</f>
        <v>0</v>
      </c>
      <c r="AC553" s="18">
        <f>-$K553*IFERROR(INDEX('[1]salary allocation'!$E$6:$J$22,MATCH($H553,'[1]salary allocation'!$D$6:$D$22,0),MATCH(AC$3,'[1]salary allocation'!$E$3:$J$3,0)),0)</f>
        <v>0</v>
      </c>
      <c r="AD553" s="17"/>
      <c r="AE553" s="16"/>
      <c r="AF553" s="15">
        <f>-$K553</f>
        <v>806490</v>
      </c>
      <c r="AG553" s="15"/>
      <c r="AH553" s="2">
        <f>K553+SUM(O553:AC553)</f>
        <v>0</v>
      </c>
      <c r="AI553" s="2">
        <f>K553+SUM(AF553:AG553)</f>
        <v>0</v>
      </c>
    </row>
    <row r="554" spans="1:35" x14ac:dyDescent="0.2">
      <c r="A554" s="11" t="s">
        <v>61</v>
      </c>
      <c r="B554" s="22">
        <v>45890</v>
      </c>
      <c r="H554" s="11" t="s">
        <v>153</v>
      </c>
      <c r="I554" s="11" t="s">
        <v>331</v>
      </c>
      <c r="K554" s="13">
        <v>-118361</v>
      </c>
      <c r="L554" s="12">
        <v>82025</v>
      </c>
      <c r="M554" s="11" t="str">
        <f>LEFT(I554,(LEN(LEFT(I554,FIND(";",I554)))-8))</f>
        <v>VNBN</v>
      </c>
      <c r="N554" s="11"/>
      <c r="O554" s="2">
        <f>IF($M554=O$3,-$K554,0)</f>
        <v>0</v>
      </c>
      <c r="P554" s="2">
        <f>IF($M554=P$3,-$K554,0)</f>
        <v>0</v>
      </c>
      <c r="Q554" s="2">
        <f>IF($M554=Q$3,-$K554,0)</f>
        <v>0</v>
      </c>
      <c r="R554" s="2">
        <f>IF($M554=R$3,-$K554,0)</f>
        <v>0</v>
      </c>
      <c r="S554" s="2">
        <f>IF($M554=S$3,-$K554,0)</f>
        <v>0</v>
      </c>
      <c r="T554" s="2">
        <f>IF($M554=T$3,-$K554,0)</f>
        <v>0</v>
      </c>
      <c r="U554" s="2">
        <f>IF($M554=U$3,-$K554,0)</f>
        <v>0</v>
      </c>
      <c r="V554" s="2">
        <f>IF($M554=V$3,-$K554,0)</f>
        <v>0</v>
      </c>
      <c r="W554" s="2">
        <f>IF($M554=W$3,-$K554,0)</f>
        <v>0</v>
      </c>
      <c r="X554" s="2">
        <f>IF($M554=X$3,-$K554,0)</f>
        <v>0</v>
      </c>
      <c r="Y554" s="2">
        <f>IF($M554=Y$3,-$K554,0)</f>
        <v>0</v>
      </c>
      <c r="Z554" s="2">
        <f>IF($M554=Z$3,-$K554,0)</f>
        <v>0</v>
      </c>
      <c r="AA554" s="2">
        <f>IF($M554=AA$3,-$K554,0)</f>
        <v>118361</v>
      </c>
      <c r="AB554" s="2">
        <f>IF($M554=AB$3,-$K554,0)</f>
        <v>0</v>
      </c>
      <c r="AC554" s="21">
        <f>IF($M554=AC$3,-$K554,0)</f>
        <v>0</v>
      </c>
      <c r="AD554" s="20"/>
      <c r="AE554" s="19"/>
      <c r="AF554" s="2"/>
      <c r="AG554" s="2">
        <f>-K554</f>
        <v>118361</v>
      </c>
      <c r="AH554" s="2">
        <f>K554+SUM(O554:AC554)</f>
        <v>0</v>
      </c>
      <c r="AI554" s="2">
        <f>K554+SUM(AF554:AG554)</f>
        <v>0</v>
      </c>
    </row>
    <row r="555" spans="1:35" x14ac:dyDescent="0.2">
      <c r="A555" s="11" t="s">
        <v>61</v>
      </c>
      <c r="B555" s="22">
        <v>45890</v>
      </c>
      <c r="H555" s="11" t="s">
        <v>151</v>
      </c>
      <c r="I555" s="11" t="s">
        <v>330</v>
      </c>
      <c r="K555" s="13">
        <v>0</v>
      </c>
      <c r="L555" s="12">
        <v>82025</v>
      </c>
      <c r="M555" s="11" t="str">
        <f>LEFT(I555,(LEN(LEFT(I555,FIND(";",I555)))-8))</f>
        <v>VNQN</v>
      </c>
      <c r="N555" s="11"/>
      <c r="O555" s="2">
        <f>IF($M555=O$3,-$K555,0)</f>
        <v>0</v>
      </c>
      <c r="P555" s="2">
        <f>IF($M555=P$3,-$K555,0)</f>
        <v>0</v>
      </c>
      <c r="Q555" s="2">
        <f>IF($M555=Q$3,-$K555,0)</f>
        <v>0</v>
      </c>
      <c r="R555" s="2">
        <f>IF($M555=R$3,-$K555,0)</f>
        <v>0</v>
      </c>
      <c r="S555" s="2">
        <f>IF($M555=S$3,-$K555,0)</f>
        <v>0</v>
      </c>
      <c r="T555" s="2">
        <f>IF($M555=T$3,-$K555,0)</f>
        <v>0</v>
      </c>
      <c r="U555" s="2">
        <f>IF($M555=U$3,-$K555,0)</f>
        <v>0</v>
      </c>
      <c r="V555" s="2">
        <f>IF($M555=V$3,-$K555,0)</f>
        <v>0</v>
      </c>
      <c r="W555" s="2">
        <f>IF($M555=W$3,-$K555,0)</f>
        <v>0</v>
      </c>
      <c r="X555" s="2">
        <f>IF($M555=X$3,-$K555,0)</f>
        <v>0</v>
      </c>
      <c r="Y555" s="2">
        <f>IF($M555=Y$3,-$K555,0)</f>
        <v>0</v>
      </c>
      <c r="Z555" s="2">
        <f>IF($M555=Z$3,-$K555,0)</f>
        <v>0</v>
      </c>
      <c r="AA555" s="2">
        <f>IF($M555=AA$3,-$K555,0)</f>
        <v>0</v>
      </c>
      <c r="AB555" s="2">
        <f>IF($M555=AB$3,-$K555,0)</f>
        <v>0</v>
      </c>
      <c r="AC555" s="21">
        <f>IF($M555=AC$3,-$K555,0)</f>
        <v>0</v>
      </c>
      <c r="AD555" s="20"/>
      <c r="AE555" s="19"/>
      <c r="AF555" s="2"/>
      <c r="AG555" s="2">
        <f>-$K555</f>
        <v>0</v>
      </c>
      <c r="AH555" s="2">
        <f>K555+SUM(O555:AC555)</f>
        <v>0</v>
      </c>
      <c r="AI555" s="2">
        <f>K555+SUM(AF555:AG555)</f>
        <v>0</v>
      </c>
    </row>
    <row r="556" spans="1:35" x14ac:dyDescent="0.2">
      <c r="A556" s="11" t="s">
        <v>61</v>
      </c>
      <c r="B556" s="22">
        <v>45890</v>
      </c>
      <c r="H556" s="11" t="s">
        <v>76</v>
      </c>
      <c r="I556" s="11" t="s">
        <v>329</v>
      </c>
      <c r="K556" s="13">
        <v>-17443722</v>
      </c>
      <c r="L556" s="12">
        <v>82025</v>
      </c>
      <c r="M556" s="11" t="str">
        <f>LEFT(I556,(LEN(LEFT(I556,FIND(";",I556)))-8))</f>
        <v>VNMOET</v>
      </c>
      <c r="N556" s="11"/>
      <c r="O556" s="2">
        <f>IF($M556=O$3,-$K556,0)</f>
        <v>0</v>
      </c>
      <c r="P556" s="2">
        <f>IF($M556=P$3,-$K556,0)</f>
        <v>0</v>
      </c>
      <c r="Q556" s="2">
        <f>IF($M556=Q$3,-$K556,0)</f>
        <v>0</v>
      </c>
      <c r="R556" s="2">
        <f>IF($M556=R$3,-$K556,0)</f>
        <v>0</v>
      </c>
      <c r="S556" s="2">
        <f>IF($M556=S$3,-$K556,0)</f>
        <v>0</v>
      </c>
      <c r="T556" s="2">
        <f>IF($M556=T$3,-$K556,0)</f>
        <v>0</v>
      </c>
      <c r="U556" s="2">
        <f>IF($M556=U$3,-$K556,0)</f>
        <v>0</v>
      </c>
      <c r="V556" s="2">
        <f>IF($M556=V$3,-$K556,0)</f>
        <v>0</v>
      </c>
      <c r="W556" s="2">
        <f>IF($M556=W$3,-$K556,0)</f>
        <v>17443722</v>
      </c>
      <c r="X556" s="2">
        <f>IF($M556=X$3,-$K556,0)</f>
        <v>0</v>
      </c>
      <c r="Y556" s="2">
        <f>IF($M556=Y$3,-$K556,0)</f>
        <v>0</v>
      </c>
      <c r="Z556" s="2">
        <f>IF($M556=Z$3,-$K556,0)</f>
        <v>0</v>
      </c>
      <c r="AA556" s="2">
        <f>IF($M556=AA$3,-$K556,0)</f>
        <v>0</v>
      </c>
      <c r="AB556" s="2">
        <f>IF($M556=AB$3,-$K556,0)</f>
        <v>0</v>
      </c>
      <c r="AC556" s="21">
        <f>IF($M556=AC$3,-$K556,0)</f>
        <v>0</v>
      </c>
      <c r="AD556" s="20"/>
      <c r="AE556" s="19"/>
      <c r="AF556" s="2">
        <f>-$K556</f>
        <v>17443722</v>
      </c>
      <c r="AG556" s="2"/>
      <c r="AH556" s="2">
        <f>K556+SUM(O556:AC556)</f>
        <v>0</v>
      </c>
      <c r="AI556" s="2">
        <f>K556+SUM(AF556:AG556)</f>
        <v>0</v>
      </c>
    </row>
    <row r="557" spans="1:35" x14ac:dyDescent="0.2">
      <c r="A557" s="11" t="s">
        <v>61</v>
      </c>
      <c r="B557" s="22">
        <v>45890</v>
      </c>
      <c r="H557" s="11" t="s">
        <v>17</v>
      </c>
      <c r="I557" s="11" t="s">
        <v>328</v>
      </c>
      <c r="K557" s="13">
        <v>-81546</v>
      </c>
      <c r="L557" s="12">
        <v>82025</v>
      </c>
      <c r="M557" s="11" t="str">
        <f>LEFT(I557,(LEN(LEFT(I557,FIND(";",I557)))-8))</f>
        <v>VNQN</v>
      </c>
      <c r="N557" s="11"/>
      <c r="O557" s="2">
        <f>IF($M557=O$3,-$K557,0)</f>
        <v>0</v>
      </c>
      <c r="P557" s="2">
        <f>IF($M557=P$3,-$K557,0)</f>
        <v>0</v>
      </c>
      <c r="Q557" s="2">
        <f>IF($M557=Q$3,-$K557,0)</f>
        <v>0</v>
      </c>
      <c r="R557" s="2">
        <f>IF($M557=R$3,-$K557,0)</f>
        <v>0</v>
      </c>
      <c r="S557" s="2">
        <f>IF($M557=S$3,-$K557,0)</f>
        <v>0</v>
      </c>
      <c r="T557" s="2">
        <f>IF($M557=T$3,-$K557,0)</f>
        <v>81546</v>
      </c>
      <c r="U557" s="2">
        <f>IF($M557=U$3,-$K557,0)</f>
        <v>0</v>
      </c>
      <c r="V557" s="2">
        <f>IF($M557=V$3,-$K557,0)</f>
        <v>0</v>
      </c>
      <c r="W557" s="2">
        <f>IF($M557=W$3,-$K557,0)</f>
        <v>0</v>
      </c>
      <c r="X557" s="2">
        <f>IF($M557=X$3,-$K557,0)</f>
        <v>0</v>
      </c>
      <c r="Y557" s="2">
        <f>IF($M557=Y$3,-$K557,0)</f>
        <v>0</v>
      </c>
      <c r="Z557" s="2">
        <f>IF($M557=Z$3,-$K557,0)</f>
        <v>0</v>
      </c>
      <c r="AA557" s="2">
        <f>IF($M557=AA$3,-$K557,0)</f>
        <v>0</v>
      </c>
      <c r="AB557" s="2">
        <f>IF($M557=AB$3,-$K557,0)</f>
        <v>0</v>
      </c>
      <c r="AC557" s="21">
        <f>IF($M557=AC$3,-$K557,0)</f>
        <v>0</v>
      </c>
      <c r="AD557" s="20"/>
      <c r="AE557" s="19"/>
      <c r="AF557" s="2"/>
      <c r="AG557" s="2">
        <f>-$K557</f>
        <v>81546</v>
      </c>
      <c r="AH557" s="2">
        <f>K557+SUM(O557:AC557)</f>
        <v>0</v>
      </c>
      <c r="AI557" s="2">
        <f>K557+SUM(AF557:AG557)</f>
        <v>0</v>
      </c>
    </row>
    <row r="558" spans="1:35" x14ac:dyDescent="0.2">
      <c r="A558" s="11" t="s">
        <v>61</v>
      </c>
      <c r="B558" s="22">
        <v>45890</v>
      </c>
      <c r="H558" s="11" t="s">
        <v>11</v>
      </c>
      <c r="I558" s="11" t="s">
        <v>327</v>
      </c>
      <c r="K558" s="13">
        <v>-134519</v>
      </c>
      <c r="L558" s="12">
        <v>82025</v>
      </c>
      <c r="M558" s="11" t="str">
        <f>LEFT(I558,(LEN(LEFT(I558,FIND(";",I558)))-8))</f>
        <v>VNQN</v>
      </c>
      <c r="N558" s="11"/>
      <c r="O558" s="2">
        <f>IF($M558=O$3,-$K558,0)</f>
        <v>0</v>
      </c>
      <c r="P558" s="2">
        <f>IF($M558=P$3,-$K558,0)</f>
        <v>0</v>
      </c>
      <c r="Q558" s="2">
        <f>IF($M558=Q$3,-$K558,0)</f>
        <v>0</v>
      </c>
      <c r="R558" s="2">
        <f>IF($M558=R$3,-$K558,0)</f>
        <v>0</v>
      </c>
      <c r="S558" s="2">
        <f>IF($M558=S$3,-$K558,0)</f>
        <v>0</v>
      </c>
      <c r="T558" s="2">
        <f>IF($M558=T$3,-$K558,0)</f>
        <v>134519</v>
      </c>
      <c r="U558" s="2">
        <f>IF($M558=U$3,-$K558,0)</f>
        <v>0</v>
      </c>
      <c r="V558" s="2">
        <f>IF($M558=V$3,-$K558,0)</f>
        <v>0</v>
      </c>
      <c r="W558" s="2">
        <f>IF($M558=W$3,-$K558,0)</f>
        <v>0</v>
      </c>
      <c r="X558" s="2">
        <f>IF($M558=X$3,-$K558,0)</f>
        <v>0</v>
      </c>
      <c r="Y558" s="2">
        <f>IF($M558=Y$3,-$K558,0)</f>
        <v>0</v>
      </c>
      <c r="Z558" s="2">
        <f>IF($M558=Z$3,-$K558,0)</f>
        <v>0</v>
      </c>
      <c r="AA558" s="2">
        <f>IF($M558=AA$3,-$K558,0)</f>
        <v>0</v>
      </c>
      <c r="AB558" s="2">
        <f>IF($M558=AB$3,-$K558,0)</f>
        <v>0</v>
      </c>
      <c r="AC558" s="21">
        <f>IF($M558=AC$3,-$K558,0)</f>
        <v>0</v>
      </c>
      <c r="AD558" s="20"/>
      <c r="AE558" s="19"/>
      <c r="AF558" s="2"/>
      <c r="AG558" s="2">
        <f>-$K558</f>
        <v>134519</v>
      </c>
      <c r="AH558" s="2">
        <f>K558+SUM(O558:AC558)</f>
        <v>0</v>
      </c>
      <c r="AI558" s="2">
        <f>K558+SUM(AF558:AG558)</f>
        <v>0</v>
      </c>
    </row>
    <row r="559" spans="1:35" x14ac:dyDescent="0.2">
      <c r="A559" s="11" t="s">
        <v>61</v>
      </c>
      <c r="B559" s="22">
        <v>45890</v>
      </c>
      <c r="H559" s="11" t="s">
        <v>187</v>
      </c>
      <c r="I559" s="11" t="s">
        <v>182</v>
      </c>
      <c r="K559" s="11">
        <v>-875000</v>
      </c>
      <c r="L559" s="12">
        <v>82025</v>
      </c>
      <c r="M559" s="11" t="s">
        <v>195</v>
      </c>
      <c r="N559" s="11"/>
      <c r="O559" s="2">
        <f>IF($M559=O$3,-$K559,0)</f>
        <v>0</v>
      </c>
      <c r="P559" s="2">
        <f>IF($M559=P$3,-$K559,0)</f>
        <v>0</v>
      </c>
      <c r="Q559" s="2">
        <f>IF($M559=Q$3,-$K559,0)</f>
        <v>0</v>
      </c>
      <c r="R559" s="2">
        <f>IF($M559=R$3,-$K559,0)</f>
        <v>0</v>
      </c>
      <c r="S559" s="2">
        <f>IF($M559=S$3,-$K559,0)</f>
        <v>0</v>
      </c>
      <c r="T559" s="2">
        <f>IF($M559=T$3,-$K559,0)</f>
        <v>0</v>
      </c>
      <c r="U559" s="2">
        <f>IF($M559=U$3,-$K559,0)</f>
        <v>875000</v>
      </c>
      <c r="V559" s="2">
        <f>IF($M559=V$3,-$K559,0)</f>
        <v>0</v>
      </c>
      <c r="W559" s="2">
        <f>IF($M559=W$3,-$K559,0)</f>
        <v>0</v>
      </c>
      <c r="X559" s="2">
        <f>IF($M559=X$3,-$K559,0)</f>
        <v>0</v>
      </c>
      <c r="Y559" s="2">
        <f>IF($M559=Y$3,-$K559,0)</f>
        <v>0</v>
      </c>
      <c r="Z559" s="2">
        <f>IF($M559=Z$3,-$K559,0)</f>
        <v>0</v>
      </c>
      <c r="AA559" s="2">
        <f>IF($M559=AA$3,-$K559,0)</f>
        <v>0</v>
      </c>
      <c r="AB559" s="2">
        <f>IF($M559=AB$3,-$K559,0)</f>
        <v>0</v>
      </c>
      <c r="AC559" s="21">
        <f>IF($M559=AC$3,-$K559,0)</f>
        <v>0</v>
      </c>
      <c r="AD559" s="20"/>
      <c r="AE559" s="19"/>
      <c r="AF559" s="2"/>
      <c r="AG559" s="2">
        <f>-$K559</f>
        <v>875000</v>
      </c>
      <c r="AH559" s="2">
        <f>K559+SUM(O559:AC559)</f>
        <v>0</v>
      </c>
      <c r="AI559" s="2">
        <f>K559+SUM(AF559:AG559)</f>
        <v>0</v>
      </c>
    </row>
    <row r="560" spans="1:35" x14ac:dyDescent="0.2">
      <c r="A560" s="11" t="s">
        <v>99</v>
      </c>
      <c r="B560" s="14"/>
      <c r="H560" s="11"/>
      <c r="I560" s="11"/>
      <c r="K560" s="13"/>
      <c r="L560" s="12"/>
      <c r="M560" s="11"/>
      <c r="N560" s="11"/>
      <c r="AC560" s="21"/>
      <c r="AD560" s="20"/>
      <c r="AE560" s="19"/>
      <c r="AF560" s="2"/>
      <c r="AG560" s="2"/>
      <c r="AH560" s="2"/>
      <c r="AI560" s="2">
        <f>K560+SUM(AF560:AG560)</f>
        <v>0</v>
      </c>
    </row>
    <row r="561" spans="1:35" x14ac:dyDescent="0.2">
      <c r="A561" s="23" t="s">
        <v>3</v>
      </c>
      <c r="B561" s="22" t="s">
        <v>297</v>
      </c>
      <c r="H561" s="11" t="s">
        <v>135</v>
      </c>
      <c r="I561" s="11" t="s">
        <v>326</v>
      </c>
      <c r="K561" s="35">
        <v>0</v>
      </c>
      <c r="L561" s="12">
        <v>82025</v>
      </c>
      <c r="M561" s="11" t="str">
        <f>LEFT(I561,(LEN(LEFT(I561,FIND(";",I561)))-8))</f>
        <v>VNOther</v>
      </c>
      <c r="N561" s="11"/>
      <c r="O561" s="36">
        <f>-$K561*IFERROR(INDEX('[1]salary allocation'!$E$6:$J$22,MATCH($H561,'[1]salary allocation'!$D$6:$D$22,0),MATCH(O$3,'[1]salary allocation'!$E$3:$J$3,0)),0)</f>
        <v>0</v>
      </c>
      <c r="P561" s="36">
        <f>-$K561*IFERROR(INDEX('[1]salary allocation'!$E$6:$J$22,MATCH($H561,'[1]salary allocation'!$D$6:$D$22,0),MATCH(P$3,'[1]salary allocation'!$E$3:$J$3,0)),0)</f>
        <v>0</v>
      </c>
      <c r="Q561" s="36">
        <f>-$K561*IFERROR(INDEX('[1]salary allocation'!$E$6:$J$22,MATCH($H561,'[1]salary allocation'!$D$6:$D$22,0),MATCH(Q$3,'[1]salary allocation'!$E$3:$J$3,0)),0)</f>
        <v>0</v>
      </c>
      <c r="R561" s="36">
        <f>-$K561*IFERROR(INDEX('[1]salary allocation'!$E$6:$J$22,MATCH($H561,'[1]salary allocation'!$D$6:$D$22,0),MATCH(R$3,'[1]salary allocation'!$E$3:$J$3,0)),0)</f>
        <v>0</v>
      </c>
      <c r="S561" s="36">
        <f>-$K561*IFERROR(INDEX('[1]salary allocation'!$E$6:$J$22,MATCH($H561,'[1]salary allocation'!$D$6:$D$22,0),MATCH(S$3,'[1]salary allocation'!$E$3:$J$3,0)),0)</f>
        <v>0</v>
      </c>
      <c r="T561" s="36">
        <f>-$K561*IFERROR(INDEX('[1]salary allocation'!$E$6:$J$22,MATCH($H561,'[1]salary allocation'!$D$6:$D$22,0),MATCH(T$3,'[1]salary allocation'!$E$3:$J$3,0)),0)</f>
        <v>0</v>
      </c>
      <c r="U561" s="36">
        <f>-$K561*IFERROR(INDEX('[1]salary allocation'!$E$6:$J$22,MATCH($H561,'[1]salary allocation'!$D$6:$D$22,0),MATCH(U$3,'[1]salary allocation'!$E$3:$J$3,0)),0)</f>
        <v>0</v>
      </c>
      <c r="V561" s="36">
        <f>-$K561*IFERROR(INDEX('[1]salary allocation'!$E$6:$J$22,MATCH($H561,'[1]salary allocation'!$D$6:$D$22,0),MATCH(V$3,'[1]salary allocation'!$E$3:$J$3,0)),0)</f>
        <v>0</v>
      </c>
      <c r="W561" s="36">
        <f>-$K561*IFERROR(INDEX('[1]salary allocation'!$E$6:$J$22,MATCH($H561,'[1]salary allocation'!$D$6:$D$22,0),MATCH(W$3,'[1]salary allocation'!$E$3:$J$3,0)),0)</f>
        <v>0</v>
      </c>
      <c r="X561" s="36">
        <f>-$K561*IFERROR(INDEX('[1]salary allocation'!$E$6:$J$22,MATCH($H561,'[1]salary allocation'!$D$6:$D$22,0),MATCH(X$3,'[1]salary allocation'!$E$3:$J$3,0)),0)</f>
        <v>0</v>
      </c>
      <c r="Y561" s="36">
        <f>-$K561*IFERROR(INDEX('[1]salary allocation'!$E$6:$J$22,MATCH($H561,'[1]salary allocation'!$D$6:$D$22,0),MATCH(Y$3,'[1]salary allocation'!$E$3:$J$3,0)),0)</f>
        <v>0</v>
      </c>
      <c r="Z561" s="36">
        <f>-$K561*IFERROR(INDEX('[1]salary allocation'!$E$6:$J$22,MATCH($H561,'[1]salary allocation'!$D$6:$D$22,0),MATCH(Z$3,'[1]salary allocation'!$E$3:$J$3,0)),0)</f>
        <v>0</v>
      </c>
      <c r="AA561" s="36">
        <f>-$K561*IFERROR(INDEX('[1]salary allocation'!$E$6:$J$22,MATCH($H561,'[1]salary allocation'!$D$6:$D$22,0),MATCH(AA$3,'[1]salary allocation'!$E$3:$J$3,0)),0)</f>
        <v>0</v>
      </c>
      <c r="AB561" s="36">
        <f>-$K561*IFERROR(INDEX('[1]salary allocation'!$E$6:$J$22,MATCH($H561,'[1]salary allocation'!$D$6:$D$22,0),MATCH(AB$3,'[1]salary allocation'!$E$3:$J$3,0)),0)</f>
        <v>0</v>
      </c>
      <c r="AC561" s="39">
        <f>-$K561*IFERROR(INDEX('[1]salary allocation'!$E$6:$J$22,MATCH($H561,'[1]salary allocation'!$D$6:$D$22,0),MATCH(AC$3,'[1]salary allocation'!$E$3:$J$3,0)),0)</f>
        <v>0</v>
      </c>
      <c r="AD561" s="38"/>
      <c r="AE561" s="37"/>
      <c r="AF561" s="36">
        <f>-$K561</f>
        <v>0</v>
      </c>
      <c r="AG561" s="36"/>
      <c r="AH561" s="2">
        <f>K561+SUM(O561:AC561)</f>
        <v>0</v>
      </c>
      <c r="AI561" s="2">
        <f>K561+SUM(AF561:AG561)</f>
        <v>0</v>
      </c>
    </row>
    <row r="562" spans="1:35" x14ac:dyDescent="0.2">
      <c r="A562" s="23" t="s">
        <v>3</v>
      </c>
      <c r="B562" s="22" t="s">
        <v>297</v>
      </c>
      <c r="H562" s="11" t="s">
        <v>57</v>
      </c>
      <c r="I562" s="11" t="s">
        <v>325</v>
      </c>
      <c r="K562" s="35">
        <v>-15376396</v>
      </c>
      <c r="L562" s="12">
        <v>82025</v>
      </c>
      <c r="M562" s="11" t="str">
        <f>LEFT(I562,(LEN(LEFT(I562,FIND(";",I562)))-8))</f>
        <v>VNOther</v>
      </c>
      <c r="N562" s="11"/>
      <c r="O562" s="36">
        <f>-$K562*IFERROR(INDEX('[1]salary allocation'!$E$6:$J$22,MATCH($H562,'[1]salary allocation'!$D$6:$D$22,0),MATCH(O$3,'[1]salary allocation'!$E$3:$J$3,0)),0)</f>
        <v>0</v>
      </c>
      <c r="P562" s="36">
        <f>-$K562*IFERROR(INDEX('[1]salary allocation'!$E$6:$J$22,MATCH($H562,'[1]salary allocation'!$D$6:$D$22,0),MATCH(P$3,'[1]salary allocation'!$E$3:$J$3,0)),0)</f>
        <v>7688198</v>
      </c>
      <c r="Q562" s="36">
        <f>-$K562*IFERROR(INDEX('[1]salary allocation'!$E$6:$J$22,MATCH($H562,'[1]salary allocation'!$D$6:$D$22,0),MATCH(Q$3,'[1]salary allocation'!$E$3:$J$3,0)),0)</f>
        <v>0</v>
      </c>
      <c r="R562" s="36">
        <f>-$K562*IFERROR(INDEX('[1]salary allocation'!$E$6:$J$22,MATCH($H562,'[1]salary allocation'!$D$6:$D$22,0),MATCH(R$3,'[1]salary allocation'!$E$3:$J$3,0)),0)</f>
        <v>0</v>
      </c>
      <c r="S562" s="36">
        <f>-$K562*IFERROR(INDEX('[1]salary allocation'!$E$6:$J$22,MATCH($H562,'[1]salary allocation'!$D$6:$D$22,0),MATCH(S$3,'[1]salary allocation'!$E$3:$J$3,0)),0)</f>
        <v>1537639.6</v>
      </c>
      <c r="T562" s="36">
        <f>-$K562*IFERROR(INDEX('[1]salary allocation'!$E$6:$J$22,MATCH($H562,'[1]salary allocation'!$D$6:$D$22,0),MATCH(T$3,'[1]salary allocation'!$E$3:$J$3,0)),0)</f>
        <v>1537639.6</v>
      </c>
      <c r="U562" s="36">
        <f>-$K562*IFERROR(INDEX('[1]salary allocation'!$E$6:$J$22,MATCH($H562,'[1]salary allocation'!$D$6:$D$22,0),MATCH(U$3,'[1]salary allocation'!$E$3:$J$3,0)),0)</f>
        <v>1537639.6</v>
      </c>
      <c r="V562" s="36">
        <f>-$K562*IFERROR(INDEX('[1]salary allocation'!$E$6:$J$22,MATCH($H562,'[1]salary allocation'!$D$6:$D$22,0),MATCH(V$3,'[1]salary allocation'!$E$3:$J$3,0)),0)</f>
        <v>0</v>
      </c>
      <c r="W562" s="36">
        <f>-$K562*IFERROR(INDEX('[1]salary allocation'!$E$6:$J$22,MATCH($H562,'[1]salary allocation'!$D$6:$D$22,0),MATCH(W$3,'[1]salary allocation'!$E$3:$J$3,0)),0)</f>
        <v>3075279.2</v>
      </c>
      <c r="X562" s="36">
        <f>-$K562*IFERROR(INDEX('[1]salary allocation'!$E$6:$J$22,MATCH($H562,'[1]salary allocation'!$D$6:$D$22,0),MATCH(X$3,'[1]salary allocation'!$E$3:$J$3,0)),0)</f>
        <v>0</v>
      </c>
      <c r="Y562" s="36">
        <f>-$K562*IFERROR(INDEX('[1]salary allocation'!$E$6:$J$22,MATCH($H562,'[1]salary allocation'!$D$6:$D$22,0),MATCH(Y$3,'[1]salary allocation'!$E$3:$J$3,0)),0)</f>
        <v>0</v>
      </c>
      <c r="Z562" s="36">
        <f>-$K562*IFERROR(INDEX('[1]salary allocation'!$E$6:$J$22,MATCH($H562,'[1]salary allocation'!$D$6:$D$22,0),MATCH(Z$3,'[1]salary allocation'!$E$3:$J$3,0)),0)</f>
        <v>0</v>
      </c>
      <c r="AA562" s="36">
        <f>-$K562*IFERROR(INDEX('[1]salary allocation'!$E$6:$J$22,MATCH($H562,'[1]salary allocation'!$D$6:$D$22,0),MATCH(AA$3,'[1]salary allocation'!$E$3:$J$3,0)),0)</f>
        <v>0</v>
      </c>
      <c r="AB562" s="36">
        <f>-$K562*IFERROR(INDEX('[1]salary allocation'!$E$6:$J$22,MATCH($H562,'[1]salary allocation'!$D$6:$D$22,0),MATCH(AB$3,'[1]salary allocation'!$E$3:$J$3,0)),0)</f>
        <v>0</v>
      </c>
      <c r="AC562" s="39">
        <f>-$K562*IFERROR(INDEX('[1]salary allocation'!$E$6:$J$22,MATCH($H562,'[1]salary allocation'!$D$6:$D$22,0),MATCH(AC$3,'[1]salary allocation'!$E$3:$J$3,0)),0)</f>
        <v>0</v>
      </c>
      <c r="AD562" s="38"/>
      <c r="AE562" s="37"/>
      <c r="AF562" s="36">
        <f>-$K562</f>
        <v>15376396</v>
      </c>
      <c r="AG562" s="36"/>
      <c r="AH562" s="2">
        <f>K562+SUM(O562:AC562)</f>
        <v>0</v>
      </c>
      <c r="AI562" s="2">
        <f>K562+SUM(AF562:AG562)</f>
        <v>0</v>
      </c>
    </row>
    <row r="563" spans="1:35" x14ac:dyDescent="0.2">
      <c r="A563" s="23" t="s">
        <v>3</v>
      </c>
      <c r="B563" s="22" t="s">
        <v>297</v>
      </c>
      <c r="H563" s="11" t="s">
        <v>55</v>
      </c>
      <c r="I563" s="11" t="s">
        <v>324</v>
      </c>
      <c r="K563" s="35">
        <v>-15530534</v>
      </c>
      <c r="L563" s="12">
        <v>82025</v>
      </c>
      <c r="M563" s="11" t="str">
        <f>LEFT(I563,(LEN(LEFT(I563,FIND(";",I563)))-8))</f>
        <v>VNHBC</v>
      </c>
      <c r="N563" s="11"/>
      <c r="O563" s="36">
        <f>-$K563*IFERROR(INDEX('[1]salary allocation'!$E$6:$J$22,MATCH($H563,'[1]salary allocation'!$D$6:$D$22,0),MATCH(O$3,'[1]salary allocation'!$E$3:$J$3,0)),0)</f>
        <v>0</v>
      </c>
      <c r="P563" s="36">
        <f>-$K563*IFERROR(INDEX('[1]salary allocation'!$E$6:$J$22,MATCH($H563,'[1]salary allocation'!$D$6:$D$22,0),MATCH(P$3,'[1]salary allocation'!$E$3:$J$3,0)),0)</f>
        <v>0</v>
      </c>
      <c r="Q563" s="36">
        <f>-$K563*IFERROR(INDEX('[1]salary allocation'!$E$6:$J$22,MATCH($H563,'[1]salary allocation'!$D$6:$D$22,0),MATCH(Q$3,'[1]salary allocation'!$E$3:$J$3,0)),0)</f>
        <v>0</v>
      </c>
      <c r="R563" s="36">
        <f>-$K563*IFERROR(INDEX('[1]salary allocation'!$E$6:$J$22,MATCH($H563,'[1]salary allocation'!$D$6:$D$22,0),MATCH(R$3,'[1]salary allocation'!$E$3:$J$3,0)),0)</f>
        <v>0</v>
      </c>
      <c r="S563" s="36">
        <f>-$K563*IFERROR(INDEX('[1]salary allocation'!$E$6:$J$22,MATCH($H563,'[1]salary allocation'!$D$6:$D$22,0),MATCH(S$3,'[1]salary allocation'!$E$3:$J$3,0)),0)</f>
        <v>3106106.8000000003</v>
      </c>
      <c r="T563" s="36">
        <f>-$K563*IFERROR(INDEX('[1]salary allocation'!$E$6:$J$22,MATCH($H563,'[1]salary allocation'!$D$6:$D$22,0),MATCH(T$3,'[1]salary allocation'!$E$3:$J$3,0)),0)</f>
        <v>3106106.8000000003</v>
      </c>
      <c r="U563" s="36">
        <f>-$K563*IFERROR(INDEX('[1]salary allocation'!$E$6:$J$22,MATCH($H563,'[1]salary allocation'!$D$6:$D$22,0),MATCH(U$3,'[1]salary allocation'!$E$3:$J$3,0)),0)</f>
        <v>3106106.8000000003</v>
      </c>
      <c r="V563" s="36">
        <f>-$K563*IFERROR(INDEX('[1]salary allocation'!$E$6:$J$22,MATCH($H563,'[1]salary allocation'!$D$6:$D$22,0),MATCH(V$3,'[1]salary allocation'!$E$3:$J$3,0)),0)</f>
        <v>0</v>
      </c>
      <c r="W563" s="36">
        <f>-$K563*IFERROR(INDEX('[1]salary allocation'!$E$6:$J$22,MATCH($H563,'[1]salary allocation'!$D$6:$D$22,0),MATCH(W$3,'[1]salary allocation'!$E$3:$J$3,0)),0)</f>
        <v>6212213.6000000006</v>
      </c>
      <c r="X563" s="36">
        <f>-$K563*IFERROR(INDEX('[1]salary allocation'!$E$6:$J$22,MATCH($H563,'[1]salary allocation'!$D$6:$D$22,0),MATCH(X$3,'[1]salary allocation'!$E$3:$J$3,0)),0)</f>
        <v>0</v>
      </c>
      <c r="Y563" s="36">
        <f>-$K563*IFERROR(INDEX('[1]salary allocation'!$E$6:$J$22,MATCH($H563,'[1]salary allocation'!$D$6:$D$22,0),MATCH(Y$3,'[1]salary allocation'!$E$3:$J$3,0)),0)</f>
        <v>0</v>
      </c>
      <c r="Z563" s="36">
        <f>-$K563*IFERROR(INDEX('[1]salary allocation'!$E$6:$J$22,MATCH($H563,'[1]salary allocation'!$D$6:$D$22,0),MATCH(Z$3,'[1]salary allocation'!$E$3:$J$3,0)),0)</f>
        <v>0</v>
      </c>
      <c r="AA563" s="36">
        <f>-$K563*IFERROR(INDEX('[1]salary allocation'!$E$6:$J$22,MATCH($H563,'[1]salary allocation'!$D$6:$D$22,0),MATCH(AA$3,'[1]salary allocation'!$E$3:$J$3,0)),0)</f>
        <v>0</v>
      </c>
      <c r="AB563" s="36">
        <f>-$K563*IFERROR(INDEX('[1]salary allocation'!$E$6:$J$22,MATCH($H563,'[1]salary allocation'!$D$6:$D$22,0),MATCH(AB$3,'[1]salary allocation'!$E$3:$J$3,0)),0)</f>
        <v>0</v>
      </c>
      <c r="AC563" s="39">
        <f>-$K563*IFERROR(INDEX('[1]salary allocation'!$E$6:$J$22,MATCH($H563,'[1]salary allocation'!$D$6:$D$22,0),MATCH(AC$3,'[1]salary allocation'!$E$3:$J$3,0)),0)</f>
        <v>0</v>
      </c>
      <c r="AD563" s="38"/>
      <c r="AE563" s="37"/>
      <c r="AF563" s="36"/>
      <c r="AG563" s="36">
        <f>-$K563</f>
        <v>15530534</v>
      </c>
      <c r="AH563" s="2">
        <f>K563+SUM(O563:AC563)</f>
        <v>0</v>
      </c>
      <c r="AI563" s="2">
        <f>K563+SUM(AF563:AG563)</f>
        <v>0</v>
      </c>
    </row>
    <row r="564" spans="1:35" x14ac:dyDescent="0.2">
      <c r="A564" s="23" t="s">
        <v>3</v>
      </c>
      <c r="B564" s="22" t="s">
        <v>297</v>
      </c>
      <c r="H564" s="11" t="s">
        <v>53</v>
      </c>
      <c r="I564" s="11" t="s">
        <v>323</v>
      </c>
      <c r="K564" s="35">
        <v>-15244202</v>
      </c>
      <c r="L564" s="12">
        <v>82025</v>
      </c>
      <c r="M564" s="11" t="str">
        <f>LEFT(I564,(LEN(LEFT(I564,FIND(";",I564)))-8))</f>
        <v>VNOther</v>
      </c>
      <c r="N564" s="11"/>
      <c r="O564" s="36">
        <f>-$K564*IFERROR(INDEX('[1]salary allocation'!$E$6:$J$22,MATCH($H564,'[1]salary allocation'!$D$6:$D$22,0),MATCH(O$3,'[1]salary allocation'!$E$3:$J$3,0)),0)</f>
        <v>0</v>
      </c>
      <c r="P564" s="36">
        <f>-$K564*IFERROR(INDEX('[1]salary allocation'!$E$6:$J$22,MATCH($H564,'[1]salary allocation'!$D$6:$D$22,0),MATCH(P$3,'[1]salary allocation'!$E$3:$J$3,0)),0)</f>
        <v>2286630.2999999998</v>
      </c>
      <c r="Q564" s="36">
        <f>-$K564*IFERROR(INDEX('[1]salary allocation'!$E$6:$J$22,MATCH($H564,'[1]salary allocation'!$D$6:$D$22,0),MATCH(Q$3,'[1]salary allocation'!$E$3:$J$3,0)),0)</f>
        <v>0</v>
      </c>
      <c r="R564" s="36">
        <f>-$K564*IFERROR(INDEX('[1]salary allocation'!$E$6:$J$22,MATCH($H564,'[1]salary allocation'!$D$6:$D$22,0),MATCH(R$3,'[1]salary allocation'!$E$3:$J$3,0)),0)</f>
        <v>0</v>
      </c>
      <c r="S564" s="36">
        <f>-$K564*IFERROR(INDEX('[1]salary allocation'!$E$6:$J$22,MATCH($H564,'[1]salary allocation'!$D$6:$D$22,0),MATCH(S$3,'[1]salary allocation'!$E$3:$J$3,0)),0)</f>
        <v>2591514.34</v>
      </c>
      <c r="T564" s="36">
        <f>-$K564*IFERROR(INDEX('[1]salary allocation'!$E$6:$J$22,MATCH($H564,'[1]salary allocation'!$D$6:$D$22,0),MATCH(T$3,'[1]salary allocation'!$E$3:$J$3,0)),0)</f>
        <v>2591514.34</v>
      </c>
      <c r="U564" s="36">
        <f>-$K564*IFERROR(INDEX('[1]salary allocation'!$E$6:$J$22,MATCH($H564,'[1]salary allocation'!$D$6:$D$22,0),MATCH(U$3,'[1]salary allocation'!$E$3:$J$3,0)),0)</f>
        <v>2591514.34</v>
      </c>
      <c r="V564" s="36">
        <f>-$K564*IFERROR(INDEX('[1]salary allocation'!$E$6:$J$22,MATCH($H564,'[1]salary allocation'!$D$6:$D$22,0),MATCH(V$3,'[1]salary allocation'!$E$3:$J$3,0)),0)</f>
        <v>0</v>
      </c>
      <c r="W564" s="36">
        <f>-$K564*IFERROR(INDEX('[1]salary allocation'!$E$6:$J$22,MATCH($H564,'[1]salary allocation'!$D$6:$D$22,0),MATCH(W$3,'[1]salary allocation'!$E$3:$J$3,0)),0)</f>
        <v>5183028.68</v>
      </c>
      <c r="X564" s="36">
        <f>-$K564*IFERROR(INDEX('[1]salary allocation'!$E$6:$J$22,MATCH($H564,'[1]salary allocation'!$D$6:$D$22,0),MATCH(X$3,'[1]salary allocation'!$E$3:$J$3,0)),0)</f>
        <v>0</v>
      </c>
      <c r="Y564" s="36">
        <f>-$K564*IFERROR(INDEX('[1]salary allocation'!$E$6:$J$22,MATCH($H564,'[1]salary allocation'!$D$6:$D$22,0),MATCH(Y$3,'[1]salary allocation'!$E$3:$J$3,0)),0)</f>
        <v>0</v>
      </c>
      <c r="Z564" s="36">
        <f>-$K564*IFERROR(INDEX('[1]salary allocation'!$E$6:$J$22,MATCH($H564,'[1]salary allocation'!$D$6:$D$22,0),MATCH(Z$3,'[1]salary allocation'!$E$3:$J$3,0)),0)</f>
        <v>0</v>
      </c>
      <c r="AA564" s="36">
        <f>-$K564*IFERROR(INDEX('[1]salary allocation'!$E$6:$J$22,MATCH($H564,'[1]salary allocation'!$D$6:$D$22,0),MATCH(AA$3,'[1]salary allocation'!$E$3:$J$3,0)),0)</f>
        <v>0</v>
      </c>
      <c r="AB564" s="36">
        <f>-$K564*IFERROR(INDEX('[1]salary allocation'!$E$6:$J$22,MATCH($H564,'[1]salary allocation'!$D$6:$D$22,0),MATCH(AB$3,'[1]salary allocation'!$E$3:$J$3,0)),0)</f>
        <v>0</v>
      </c>
      <c r="AC564" s="39">
        <f>-$K564*IFERROR(INDEX('[1]salary allocation'!$E$6:$J$22,MATCH($H564,'[1]salary allocation'!$D$6:$D$22,0),MATCH(AC$3,'[1]salary allocation'!$E$3:$J$3,0)),0)</f>
        <v>0</v>
      </c>
      <c r="AD564" s="38"/>
      <c r="AE564" s="37"/>
      <c r="AF564" s="36">
        <f>-$K564</f>
        <v>15244202</v>
      </c>
      <c r="AG564" s="36"/>
      <c r="AH564" s="2">
        <f>K564+SUM(O564:AC564)</f>
        <v>0</v>
      </c>
      <c r="AI564" s="2">
        <f>K564+SUM(AF564:AG564)</f>
        <v>0</v>
      </c>
    </row>
    <row r="565" spans="1:35" x14ac:dyDescent="0.2">
      <c r="A565" s="23" t="s">
        <v>3</v>
      </c>
      <c r="B565" s="22" t="s">
        <v>297</v>
      </c>
      <c r="H565" s="11" t="s">
        <v>51</v>
      </c>
      <c r="I565" s="11" t="s">
        <v>322</v>
      </c>
      <c r="K565" s="35">
        <v>-14428993</v>
      </c>
      <c r="L565" s="12">
        <v>82025</v>
      </c>
      <c r="M565" s="11" t="str">
        <f>LEFT(I565,(LEN(LEFT(I565,FIND(";",I565)))-8))</f>
        <v>VNOther</v>
      </c>
      <c r="N565" s="11"/>
      <c r="O565" s="36">
        <f>-$K565*IFERROR(INDEX('[1]salary allocation'!$E$6:$J$22,MATCH($H565,'[1]salary allocation'!$D$6:$D$22,0),MATCH(O$3,'[1]salary allocation'!$E$3:$J$3,0)),0)</f>
        <v>0</v>
      </c>
      <c r="P565" s="36">
        <f>-$K565*IFERROR(INDEX('[1]salary allocation'!$E$6:$J$22,MATCH($H565,'[1]salary allocation'!$D$6:$D$22,0),MATCH(P$3,'[1]salary allocation'!$E$3:$J$3,0)),0)</f>
        <v>7214496.5</v>
      </c>
      <c r="Q565" s="36">
        <f>-$K565*IFERROR(INDEX('[1]salary allocation'!$E$6:$J$22,MATCH($H565,'[1]salary allocation'!$D$6:$D$22,0),MATCH(Q$3,'[1]salary allocation'!$E$3:$J$3,0)),0)</f>
        <v>0</v>
      </c>
      <c r="R565" s="36">
        <f>-$K565*IFERROR(INDEX('[1]salary allocation'!$E$6:$J$22,MATCH($H565,'[1]salary allocation'!$D$6:$D$22,0),MATCH(R$3,'[1]salary allocation'!$E$3:$J$3,0)),0)</f>
        <v>0</v>
      </c>
      <c r="S565" s="36">
        <f>-$K565*IFERROR(INDEX('[1]salary allocation'!$E$6:$J$22,MATCH($H565,'[1]salary allocation'!$D$6:$D$22,0),MATCH(S$3,'[1]salary allocation'!$E$3:$J$3,0)),0)</f>
        <v>1442899.3</v>
      </c>
      <c r="T565" s="36">
        <f>-$K565*IFERROR(INDEX('[1]salary allocation'!$E$6:$J$22,MATCH($H565,'[1]salary allocation'!$D$6:$D$22,0),MATCH(T$3,'[1]salary allocation'!$E$3:$J$3,0)),0)</f>
        <v>1442899.3</v>
      </c>
      <c r="U565" s="36">
        <f>-$K565*IFERROR(INDEX('[1]salary allocation'!$E$6:$J$22,MATCH($H565,'[1]salary allocation'!$D$6:$D$22,0),MATCH(U$3,'[1]salary allocation'!$E$3:$J$3,0)),0)</f>
        <v>1442899.3</v>
      </c>
      <c r="V565" s="36">
        <f>-$K565*IFERROR(INDEX('[1]salary allocation'!$E$6:$J$22,MATCH($H565,'[1]salary allocation'!$D$6:$D$22,0),MATCH(V$3,'[1]salary allocation'!$E$3:$J$3,0)),0)</f>
        <v>0</v>
      </c>
      <c r="W565" s="36">
        <f>-$K565*IFERROR(INDEX('[1]salary allocation'!$E$6:$J$22,MATCH($H565,'[1]salary allocation'!$D$6:$D$22,0),MATCH(W$3,'[1]salary allocation'!$E$3:$J$3,0)),0)</f>
        <v>2885798.6</v>
      </c>
      <c r="X565" s="36">
        <f>-$K565*IFERROR(INDEX('[1]salary allocation'!$E$6:$J$22,MATCH($H565,'[1]salary allocation'!$D$6:$D$22,0),MATCH(X$3,'[1]salary allocation'!$E$3:$J$3,0)),0)</f>
        <v>0</v>
      </c>
      <c r="Y565" s="36">
        <f>-$K565*IFERROR(INDEX('[1]salary allocation'!$E$6:$J$22,MATCH($H565,'[1]salary allocation'!$D$6:$D$22,0),MATCH(Y$3,'[1]salary allocation'!$E$3:$J$3,0)),0)</f>
        <v>0</v>
      </c>
      <c r="Z565" s="36">
        <f>-$K565*IFERROR(INDEX('[1]salary allocation'!$E$6:$J$22,MATCH($H565,'[1]salary allocation'!$D$6:$D$22,0),MATCH(Z$3,'[1]salary allocation'!$E$3:$J$3,0)),0)</f>
        <v>0</v>
      </c>
      <c r="AA565" s="36">
        <f>-$K565*IFERROR(INDEX('[1]salary allocation'!$E$6:$J$22,MATCH($H565,'[1]salary allocation'!$D$6:$D$22,0),MATCH(AA$3,'[1]salary allocation'!$E$3:$J$3,0)),0)</f>
        <v>0</v>
      </c>
      <c r="AB565" s="36">
        <f>-$K565*IFERROR(INDEX('[1]salary allocation'!$E$6:$J$22,MATCH($H565,'[1]salary allocation'!$D$6:$D$22,0),MATCH(AB$3,'[1]salary allocation'!$E$3:$J$3,0)),0)</f>
        <v>0</v>
      </c>
      <c r="AC565" s="39">
        <f>-$K565*IFERROR(INDEX('[1]salary allocation'!$E$6:$J$22,MATCH($H565,'[1]salary allocation'!$D$6:$D$22,0),MATCH(AC$3,'[1]salary allocation'!$E$3:$J$3,0)),0)</f>
        <v>0</v>
      </c>
      <c r="AD565" s="38"/>
      <c r="AE565" s="37"/>
      <c r="AF565" s="36">
        <f>-$K565</f>
        <v>14428993</v>
      </c>
      <c r="AG565" s="36"/>
      <c r="AH565" s="2">
        <f>K565+SUM(O565:AC565)</f>
        <v>0</v>
      </c>
      <c r="AI565" s="2">
        <f>K565+SUM(AF565:AG565)</f>
        <v>0</v>
      </c>
    </row>
    <row r="566" spans="1:35" x14ac:dyDescent="0.2">
      <c r="A566" s="23" t="s">
        <v>3</v>
      </c>
      <c r="B566" s="22" t="s">
        <v>297</v>
      </c>
      <c r="H566" s="11" t="s">
        <v>49</v>
      </c>
      <c r="I566" s="11" t="s">
        <v>321</v>
      </c>
      <c r="K566" s="35">
        <v>-9171184</v>
      </c>
      <c r="L566" s="12">
        <v>82025</v>
      </c>
      <c r="M566" s="11" t="str">
        <f>LEFT(I566,(LEN(LEFT(I566,FIND(";",I566)))-8))</f>
        <v>VNMOET</v>
      </c>
      <c r="N566" s="11"/>
      <c r="O566" s="36">
        <f>-$K566*IFERROR(INDEX('[1]salary allocation'!$E$6:$J$22,MATCH($H566,'[1]salary allocation'!$D$6:$D$22,0),MATCH(O$3,'[1]salary allocation'!$E$3:$J$3,0)),0)</f>
        <v>0</v>
      </c>
      <c r="P566" s="36">
        <f>-$K566*IFERROR(INDEX('[1]salary allocation'!$E$6:$J$22,MATCH($H566,'[1]salary allocation'!$D$6:$D$22,0),MATCH(P$3,'[1]salary allocation'!$E$3:$J$3,0)),0)</f>
        <v>0</v>
      </c>
      <c r="Q566" s="36">
        <f>-$K566*IFERROR(INDEX('[1]salary allocation'!$E$6:$J$22,MATCH($H566,'[1]salary allocation'!$D$6:$D$22,0),MATCH(Q$3,'[1]salary allocation'!$E$3:$J$3,0)),0)</f>
        <v>0</v>
      </c>
      <c r="R566" s="36">
        <f>-$K566*IFERROR(INDEX('[1]salary allocation'!$E$6:$J$22,MATCH($H566,'[1]salary allocation'!$D$6:$D$22,0),MATCH(R$3,'[1]salary allocation'!$E$3:$J$3,0)),0)</f>
        <v>0</v>
      </c>
      <c r="S566" s="36">
        <f>-$K566*IFERROR(INDEX('[1]salary allocation'!$E$6:$J$22,MATCH($H566,'[1]salary allocation'!$D$6:$D$22,0),MATCH(S$3,'[1]salary allocation'!$E$3:$J$3,0)),0)</f>
        <v>1834236.8</v>
      </c>
      <c r="T566" s="36">
        <f>-$K566*IFERROR(INDEX('[1]salary allocation'!$E$6:$J$22,MATCH($H566,'[1]salary allocation'!$D$6:$D$22,0),MATCH(T$3,'[1]salary allocation'!$E$3:$J$3,0)),0)</f>
        <v>1834236.8</v>
      </c>
      <c r="U566" s="36">
        <f>-$K566*IFERROR(INDEX('[1]salary allocation'!$E$6:$J$22,MATCH($H566,'[1]salary allocation'!$D$6:$D$22,0),MATCH(U$3,'[1]salary allocation'!$E$3:$J$3,0)),0)</f>
        <v>1834236.8</v>
      </c>
      <c r="V566" s="36">
        <f>-$K566*IFERROR(INDEX('[1]salary allocation'!$E$6:$J$22,MATCH($H566,'[1]salary allocation'!$D$6:$D$22,0),MATCH(V$3,'[1]salary allocation'!$E$3:$J$3,0)),0)</f>
        <v>0</v>
      </c>
      <c r="W566" s="36">
        <f>-$K566*IFERROR(INDEX('[1]salary allocation'!$E$6:$J$22,MATCH($H566,'[1]salary allocation'!$D$6:$D$22,0),MATCH(W$3,'[1]salary allocation'!$E$3:$J$3,0)),0)</f>
        <v>3668473.6</v>
      </c>
      <c r="X566" s="36">
        <f>-$K566*IFERROR(INDEX('[1]salary allocation'!$E$6:$J$22,MATCH($H566,'[1]salary allocation'!$D$6:$D$22,0),MATCH(X$3,'[1]salary allocation'!$E$3:$J$3,0)),0)</f>
        <v>0</v>
      </c>
      <c r="Y566" s="36">
        <f>-$K566*IFERROR(INDEX('[1]salary allocation'!$E$6:$J$22,MATCH($H566,'[1]salary allocation'!$D$6:$D$22,0),MATCH(Y$3,'[1]salary allocation'!$E$3:$J$3,0)),0)</f>
        <v>0</v>
      </c>
      <c r="Z566" s="36">
        <f>-$K566*IFERROR(INDEX('[1]salary allocation'!$E$6:$J$22,MATCH($H566,'[1]salary allocation'!$D$6:$D$22,0),MATCH(Z$3,'[1]salary allocation'!$E$3:$J$3,0)),0)</f>
        <v>0</v>
      </c>
      <c r="AA566" s="36">
        <f>-$K566*IFERROR(INDEX('[1]salary allocation'!$E$6:$J$22,MATCH($H566,'[1]salary allocation'!$D$6:$D$22,0),MATCH(AA$3,'[1]salary allocation'!$E$3:$J$3,0)),0)</f>
        <v>0</v>
      </c>
      <c r="AB566" s="36">
        <f>-$K566*IFERROR(INDEX('[1]salary allocation'!$E$6:$J$22,MATCH($H566,'[1]salary allocation'!$D$6:$D$22,0),MATCH(AB$3,'[1]salary allocation'!$E$3:$J$3,0)),0)</f>
        <v>0</v>
      </c>
      <c r="AC566" s="39">
        <f>-$K566*IFERROR(INDEX('[1]salary allocation'!$E$6:$J$22,MATCH($H566,'[1]salary allocation'!$D$6:$D$22,0),MATCH(AC$3,'[1]salary allocation'!$E$3:$J$3,0)),0)</f>
        <v>0</v>
      </c>
      <c r="AD566" s="38"/>
      <c r="AE566" s="37"/>
      <c r="AF566" s="36"/>
      <c r="AG566" s="36">
        <f>-K566</f>
        <v>9171184</v>
      </c>
      <c r="AH566" s="2">
        <f>K566+SUM(O566:AC566)</f>
        <v>0</v>
      </c>
      <c r="AI566" s="2">
        <f>K566+SUM(AF566:AG566)</f>
        <v>0</v>
      </c>
    </row>
    <row r="567" spans="1:35" x14ac:dyDescent="0.2">
      <c r="A567" s="23" t="s">
        <v>3</v>
      </c>
      <c r="B567" s="22" t="s">
        <v>297</v>
      </c>
      <c r="H567" s="11" t="s">
        <v>47</v>
      </c>
      <c r="I567" s="11" t="s">
        <v>320</v>
      </c>
      <c r="K567" s="35">
        <v>-15358734</v>
      </c>
      <c r="L567" s="12">
        <v>82025</v>
      </c>
      <c r="M567" s="11" t="str">
        <f>LEFT(I567,(LEN(LEFT(I567,FIND(";",I567)))-8))</f>
        <v>VNHBC</v>
      </c>
      <c r="N567" s="11"/>
      <c r="O567" s="36">
        <f>-$K567*IFERROR(INDEX('[1]salary allocation'!$E$6:$J$22,MATCH($H567,'[1]salary allocation'!$D$6:$D$22,0),MATCH(O$3,'[1]salary allocation'!$E$3:$J$3,0)),0)</f>
        <v>0</v>
      </c>
      <c r="P567" s="36">
        <f>-$K567*IFERROR(INDEX('[1]salary allocation'!$E$6:$J$22,MATCH($H567,'[1]salary allocation'!$D$6:$D$22,0),MATCH(P$3,'[1]salary allocation'!$E$3:$J$3,0)),0)</f>
        <v>0</v>
      </c>
      <c r="Q567" s="36">
        <f>-$K567*IFERROR(INDEX('[1]salary allocation'!$E$6:$J$22,MATCH($H567,'[1]salary allocation'!$D$6:$D$22,0),MATCH(Q$3,'[1]salary allocation'!$E$3:$J$3,0)),0)</f>
        <v>0</v>
      </c>
      <c r="R567" s="36">
        <f>-$K567*IFERROR(INDEX('[1]salary allocation'!$E$6:$J$22,MATCH($H567,'[1]salary allocation'!$D$6:$D$22,0),MATCH(R$3,'[1]salary allocation'!$E$3:$J$3,0)),0)</f>
        <v>0</v>
      </c>
      <c r="S567" s="36">
        <f>-$K567*IFERROR(INDEX('[1]salary allocation'!$E$6:$J$22,MATCH($H567,'[1]salary allocation'!$D$6:$D$22,0),MATCH(S$3,'[1]salary allocation'!$E$3:$J$3,0)),0)</f>
        <v>3071746.8000000003</v>
      </c>
      <c r="T567" s="36">
        <f>-$K567*IFERROR(INDEX('[1]salary allocation'!$E$6:$J$22,MATCH($H567,'[1]salary allocation'!$D$6:$D$22,0),MATCH(T$3,'[1]salary allocation'!$E$3:$J$3,0)),0)</f>
        <v>3071746.8000000003</v>
      </c>
      <c r="U567" s="36">
        <f>-$K567*IFERROR(INDEX('[1]salary allocation'!$E$6:$J$22,MATCH($H567,'[1]salary allocation'!$D$6:$D$22,0),MATCH(U$3,'[1]salary allocation'!$E$3:$J$3,0)),0)</f>
        <v>3071746.8000000003</v>
      </c>
      <c r="V567" s="36">
        <f>-$K567*IFERROR(INDEX('[1]salary allocation'!$E$6:$J$22,MATCH($H567,'[1]salary allocation'!$D$6:$D$22,0),MATCH(V$3,'[1]salary allocation'!$E$3:$J$3,0)),0)</f>
        <v>0</v>
      </c>
      <c r="W567" s="36">
        <f>-$K567*IFERROR(INDEX('[1]salary allocation'!$E$6:$J$22,MATCH($H567,'[1]salary allocation'!$D$6:$D$22,0),MATCH(W$3,'[1]salary allocation'!$E$3:$J$3,0)),0)</f>
        <v>6143493.6000000006</v>
      </c>
      <c r="X567" s="36">
        <f>-$K567*IFERROR(INDEX('[1]salary allocation'!$E$6:$J$22,MATCH($H567,'[1]salary allocation'!$D$6:$D$22,0),MATCH(X$3,'[1]salary allocation'!$E$3:$J$3,0)),0)</f>
        <v>0</v>
      </c>
      <c r="Y567" s="36">
        <f>-$K567*IFERROR(INDEX('[1]salary allocation'!$E$6:$J$22,MATCH($H567,'[1]salary allocation'!$D$6:$D$22,0),MATCH(Y$3,'[1]salary allocation'!$E$3:$J$3,0)),0)</f>
        <v>0</v>
      </c>
      <c r="Z567" s="36">
        <f>-$K567*IFERROR(INDEX('[1]salary allocation'!$E$6:$J$22,MATCH($H567,'[1]salary allocation'!$D$6:$D$22,0),MATCH(Z$3,'[1]salary allocation'!$E$3:$J$3,0)),0)</f>
        <v>0</v>
      </c>
      <c r="AA567" s="36">
        <f>-$K567*IFERROR(INDEX('[1]salary allocation'!$E$6:$J$22,MATCH($H567,'[1]salary allocation'!$D$6:$D$22,0),MATCH(AA$3,'[1]salary allocation'!$E$3:$J$3,0)),0)</f>
        <v>0</v>
      </c>
      <c r="AB567" s="36">
        <f>-$K567*IFERROR(INDEX('[1]salary allocation'!$E$6:$J$22,MATCH($H567,'[1]salary allocation'!$D$6:$D$22,0),MATCH(AB$3,'[1]salary allocation'!$E$3:$J$3,0)),0)</f>
        <v>0</v>
      </c>
      <c r="AC567" s="39">
        <f>-$K567*IFERROR(INDEX('[1]salary allocation'!$E$6:$J$22,MATCH($H567,'[1]salary allocation'!$D$6:$D$22,0),MATCH(AC$3,'[1]salary allocation'!$E$3:$J$3,0)),0)</f>
        <v>0</v>
      </c>
      <c r="AD567" s="38"/>
      <c r="AE567" s="37"/>
      <c r="AF567" s="36">
        <f>-$K567</f>
        <v>15358734</v>
      </c>
      <c r="AG567" s="36"/>
      <c r="AH567" s="2">
        <f>K567+SUM(O567:AC567)</f>
        <v>0</v>
      </c>
      <c r="AI567" s="2">
        <f>K567+SUM(AF567:AG567)</f>
        <v>0</v>
      </c>
    </row>
    <row r="568" spans="1:35" x14ac:dyDescent="0.2">
      <c r="A568" s="23" t="s">
        <v>3</v>
      </c>
      <c r="B568" s="22" t="s">
        <v>297</v>
      </c>
      <c r="H568" s="11" t="s">
        <v>173</v>
      </c>
      <c r="I568" s="11" t="s">
        <v>319</v>
      </c>
      <c r="K568" s="35">
        <v>0</v>
      </c>
      <c r="L568" s="12">
        <v>82025</v>
      </c>
      <c r="M568" s="11" t="str">
        <f>LEFT(I568,(LEN(LEFT(I568,FIND(";",I568)))-8))</f>
        <v>VNELC</v>
      </c>
      <c r="N568" s="11"/>
      <c r="O568" s="36">
        <f>-$K568*IFERROR(INDEX('[1]salary allocation'!$E$6:$J$22,MATCH($H568,'[1]salary allocation'!$D$6:$D$22,0),MATCH(O$3,'[1]salary allocation'!$E$3:$J$3,0)),0)</f>
        <v>0</v>
      </c>
      <c r="P568" s="36">
        <f>-$K568*IFERROR(INDEX('[1]salary allocation'!$E$6:$J$22,MATCH($H568,'[1]salary allocation'!$D$6:$D$22,0),MATCH(P$3,'[1]salary allocation'!$E$3:$J$3,0)),0)</f>
        <v>0</v>
      </c>
      <c r="Q568" s="36">
        <f>-$K568*IFERROR(INDEX('[1]salary allocation'!$E$6:$J$22,MATCH($H568,'[1]salary allocation'!$D$6:$D$22,0),MATCH(Q$3,'[1]salary allocation'!$E$3:$J$3,0)),0)</f>
        <v>0</v>
      </c>
      <c r="R568" s="36">
        <f>-$K568*IFERROR(INDEX('[1]salary allocation'!$E$6:$J$22,MATCH($H568,'[1]salary allocation'!$D$6:$D$22,0),MATCH(R$3,'[1]salary allocation'!$E$3:$J$3,0)),0)</f>
        <v>0</v>
      </c>
      <c r="S568" s="36">
        <f>-$K568*IFERROR(INDEX('[1]salary allocation'!$E$6:$J$22,MATCH($H568,'[1]salary allocation'!$D$6:$D$22,0),MATCH(S$3,'[1]salary allocation'!$E$3:$J$3,0)),0)</f>
        <v>0</v>
      </c>
      <c r="T568" s="36">
        <f>-$K568*IFERROR(INDEX('[1]salary allocation'!$E$6:$J$22,MATCH($H568,'[1]salary allocation'!$D$6:$D$22,0),MATCH(T$3,'[1]salary allocation'!$E$3:$J$3,0)),0)</f>
        <v>0</v>
      </c>
      <c r="U568" s="36">
        <f>-$K568*IFERROR(INDEX('[1]salary allocation'!$E$6:$J$22,MATCH($H568,'[1]salary allocation'!$D$6:$D$22,0),MATCH(U$3,'[1]salary allocation'!$E$3:$J$3,0)),0)</f>
        <v>0</v>
      </c>
      <c r="V568" s="36">
        <f>-$K568*IFERROR(INDEX('[1]salary allocation'!$E$6:$J$22,MATCH($H568,'[1]salary allocation'!$D$6:$D$22,0),MATCH(V$3,'[1]salary allocation'!$E$3:$J$3,0)),0)</f>
        <v>0</v>
      </c>
      <c r="W568" s="36">
        <f>-$K568*IFERROR(INDEX('[1]salary allocation'!$E$6:$J$22,MATCH($H568,'[1]salary allocation'!$D$6:$D$22,0),MATCH(W$3,'[1]salary allocation'!$E$3:$J$3,0)),0)</f>
        <v>0</v>
      </c>
      <c r="X568" s="36">
        <f>-$K568*IFERROR(INDEX('[1]salary allocation'!$E$6:$J$22,MATCH($H568,'[1]salary allocation'!$D$6:$D$22,0),MATCH(X$3,'[1]salary allocation'!$E$3:$J$3,0)),0)</f>
        <v>0</v>
      </c>
      <c r="Y568" s="36">
        <f>-$K568*IFERROR(INDEX('[1]salary allocation'!$E$6:$J$22,MATCH($H568,'[1]salary allocation'!$D$6:$D$22,0),MATCH(Y$3,'[1]salary allocation'!$E$3:$J$3,0)),0)</f>
        <v>0</v>
      </c>
      <c r="Z568" s="36">
        <f>-$K568*IFERROR(INDEX('[1]salary allocation'!$E$6:$J$22,MATCH($H568,'[1]salary allocation'!$D$6:$D$22,0),MATCH(Z$3,'[1]salary allocation'!$E$3:$J$3,0)),0)</f>
        <v>0</v>
      </c>
      <c r="AA568" s="36">
        <f>-$K568*IFERROR(INDEX('[1]salary allocation'!$E$6:$J$22,MATCH($H568,'[1]salary allocation'!$D$6:$D$22,0),MATCH(AA$3,'[1]salary allocation'!$E$3:$J$3,0)),0)</f>
        <v>0</v>
      </c>
      <c r="AB568" s="36">
        <f>-$K568*IFERROR(INDEX('[1]salary allocation'!$E$6:$J$22,MATCH($H568,'[1]salary allocation'!$D$6:$D$22,0),MATCH(AB$3,'[1]salary allocation'!$E$3:$J$3,0)),0)</f>
        <v>0</v>
      </c>
      <c r="AC568" s="39">
        <f>-$K568*IFERROR(INDEX('[1]salary allocation'!$E$6:$J$22,MATCH($H568,'[1]salary allocation'!$D$6:$D$22,0),MATCH(AC$3,'[1]salary allocation'!$E$3:$J$3,0)),0)</f>
        <v>0</v>
      </c>
      <c r="AD568" s="38"/>
      <c r="AE568" s="37"/>
      <c r="AF568" s="36"/>
      <c r="AG568" s="36">
        <f>-$K568</f>
        <v>0</v>
      </c>
      <c r="AH568" s="2">
        <f>K568+SUM(O568:AC568)</f>
        <v>0</v>
      </c>
      <c r="AI568" s="2">
        <f>K568+SUM(AF568:AG568)</f>
        <v>0</v>
      </c>
    </row>
    <row r="569" spans="1:35" x14ac:dyDescent="0.2">
      <c r="A569" s="23" t="s">
        <v>3</v>
      </c>
      <c r="B569" s="22" t="s">
        <v>297</v>
      </c>
      <c r="H569" s="11" t="s">
        <v>45</v>
      </c>
      <c r="I569" s="11" t="s">
        <v>318</v>
      </c>
      <c r="K569" s="35">
        <v>-6610787</v>
      </c>
      <c r="L569" s="12">
        <v>82025</v>
      </c>
      <c r="M569" s="11" t="str">
        <f>LEFT(I569,(LEN(LEFT(I569,FIND(";",I569)))-9))</f>
        <v>VNHBC</v>
      </c>
      <c r="N569" s="11"/>
      <c r="O569" s="36">
        <f>-$K569*IFERROR(INDEX('[1]salary allocation'!$E$6:$J$22,MATCH($H569,'[1]salary allocation'!$D$6:$D$22,0),MATCH(O$3,'[1]salary allocation'!$E$3:$J$3,0)),0)</f>
        <v>0</v>
      </c>
      <c r="P569" s="36">
        <f>-$K569*IFERROR(INDEX('[1]salary allocation'!$E$6:$J$22,MATCH($H569,'[1]salary allocation'!$D$6:$D$22,0),MATCH(P$3,'[1]salary allocation'!$E$3:$J$3,0)),0)</f>
        <v>0</v>
      </c>
      <c r="Q569" s="36">
        <f>-$K569*IFERROR(INDEX('[1]salary allocation'!$E$6:$J$22,MATCH($H569,'[1]salary allocation'!$D$6:$D$22,0),MATCH(Q$3,'[1]salary allocation'!$E$3:$J$3,0)),0)</f>
        <v>0</v>
      </c>
      <c r="R569" s="36">
        <f>-$K569*IFERROR(INDEX('[1]salary allocation'!$E$6:$J$22,MATCH($H569,'[1]salary allocation'!$D$6:$D$22,0),MATCH(R$3,'[1]salary allocation'!$E$3:$J$3,0)),0)</f>
        <v>0</v>
      </c>
      <c r="S569" s="36">
        <f>-$K569*IFERROR(INDEX('[1]salary allocation'!$E$6:$J$22,MATCH($H569,'[1]salary allocation'!$D$6:$D$22,0),MATCH(S$3,'[1]salary allocation'!$E$3:$J$3,0)),0)</f>
        <v>1322157.4000000001</v>
      </c>
      <c r="T569" s="36">
        <f>-$K569*IFERROR(INDEX('[1]salary allocation'!$E$6:$J$22,MATCH($H569,'[1]salary allocation'!$D$6:$D$22,0),MATCH(T$3,'[1]salary allocation'!$E$3:$J$3,0)),0)</f>
        <v>1322157.4000000001</v>
      </c>
      <c r="U569" s="36">
        <f>-$K569*IFERROR(INDEX('[1]salary allocation'!$E$6:$J$22,MATCH($H569,'[1]salary allocation'!$D$6:$D$22,0),MATCH(U$3,'[1]salary allocation'!$E$3:$J$3,0)),0)</f>
        <v>1322157.4000000001</v>
      </c>
      <c r="V569" s="36">
        <f>-$K569*IFERROR(INDEX('[1]salary allocation'!$E$6:$J$22,MATCH($H569,'[1]salary allocation'!$D$6:$D$22,0),MATCH(V$3,'[1]salary allocation'!$E$3:$J$3,0)),0)</f>
        <v>0</v>
      </c>
      <c r="W569" s="36">
        <f>-$K569*IFERROR(INDEX('[1]salary allocation'!$E$6:$J$22,MATCH($H569,'[1]salary allocation'!$D$6:$D$22,0),MATCH(W$3,'[1]salary allocation'!$E$3:$J$3,0)),0)</f>
        <v>2644314.8000000003</v>
      </c>
      <c r="X569" s="36">
        <f>-$K569*IFERROR(INDEX('[1]salary allocation'!$E$6:$J$22,MATCH($H569,'[1]salary allocation'!$D$6:$D$22,0),MATCH(X$3,'[1]salary allocation'!$E$3:$J$3,0)),0)</f>
        <v>0</v>
      </c>
      <c r="Y569" s="36">
        <f>-$K569*IFERROR(INDEX('[1]salary allocation'!$E$6:$J$22,MATCH($H569,'[1]salary allocation'!$D$6:$D$22,0),MATCH(Y$3,'[1]salary allocation'!$E$3:$J$3,0)),0)</f>
        <v>0</v>
      </c>
      <c r="Z569" s="36">
        <f>-$K569*IFERROR(INDEX('[1]salary allocation'!$E$6:$J$22,MATCH($H569,'[1]salary allocation'!$D$6:$D$22,0),MATCH(Z$3,'[1]salary allocation'!$E$3:$J$3,0)),0)</f>
        <v>0</v>
      </c>
      <c r="AA569" s="36">
        <f>-$K569*IFERROR(INDEX('[1]salary allocation'!$E$6:$J$22,MATCH($H569,'[1]salary allocation'!$D$6:$D$22,0),MATCH(AA$3,'[1]salary allocation'!$E$3:$J$3,0)),0)</f>
        <v>0</v>
      </c>
      <c r="AB569" s="36">
        <f>-$K569*IFERROR(INDEX('[1]salary allocation'!$E$6:$J$22,MATCH($H569,'[1]salary allocation'!$D$6:$D$22,0),MATCH(AB$3,'[1]salary allocation'!$E$3:$J$3,0)),0)</f>
        <v>0</v>
      </c>
      <c r="AC569" s="39">
        <f>-$K569*IFERROR(INDEX('[1]salary allocation'!$E$6:$J$22,MATCH($H569,'[1]salary allocation'!$D$6:$D$22,0),MATCH(AC$3,'[1]salary allocation'!$E$3:$J$3,0)),0)</f>
        <v>0</v>
      </c>
      <c r="AD569" s="38"/>
      <c r="AE569" s="37"/>
      <c r="AF569" s="36"/>
      <c r="AG569" s="36">
        <f>-K569</f>
        <v>6610787</v>
      </c>
      <c r="AH569" s="2">
        <f>K569+SUM(O569:AC569)</f>
        <v>0</v>
      </c>
      <c r="AI569" s="2">
        <f>K569+SUM(AF569:AG569)</f>
        <v>0</v>
      </c>
    </row>
    <row r="570" spans="1:35" x14ac:dyDescent="0.2">
      <c r="A570" s="23" t="s">
        <v>3</v>
      </c>
      <c r="B570" s="22" t="s">
        <v>297</v>
      </c>
      <c r="H570" s="11" t="s">
        <v>43</v>
      </c>
      <c r="I570" s="11" t="s">
        <v>317</v>
      </c>
      <c r="K570" s="35">
        <v>-15153216</v>
      </c>
      <c r="L570" s="12">
        <v>82025</v>
      </c>
      <c r="M570" s="11" t="str">
        <f>LEFT(I570,(LEN(LEFT(I570,FIND(";",I570)))-8))</f>
        <v>VNMOET</v>
      </c>
      <c r="N570" s="11"/>
      <c r="O570" s="36">
        <f>-$K570*IFERROR(INDEX('[1]salary allocation'!$E$6:$J$22,MATCH($H570,'[1]salary allocation'!$D$6:$D$22,0),MATCH(O$3,'[1]salary allocation'!$E$3:$J$3,0)),0)</f>
        <v>0</v>
      </c>
      <c r="P570" s="36">
        <f>-$K570*IFERROR(INDEX('[1]salary allocation'!$E$6:$J$22,MATCH($H570,'[1]salary allocation'!$D$6:$D$22,0),MATCH(P$3,'[1]salary allocation'!$E$3:$J$3,0)),0)</f>
        <v>0</v>
      </c>
      <c r="Q570" s="36">
        <f>-$K570*IFERROR(INDEX('[1]salary allocation'!$E$6:$J$22,MATCH($H570,'[1]salary allocation'!$D$6:$D$22,0),MATCH(Q$3,'[1]salary allocation'!$E$3:$J$3,0)),0)</f>
        <v>0</v>
      </c>
      <c r="R570" s="36">
        <f>-$K570*IFERROR(INDEX('[1]salary allocation'!$E$6:$J$22,MATCH($H570,'[1]salary allocation'!$D$6:$D$22,0),MATCH(R$3,'[1]salary allocation'!$E$3:$J$3,0)),0)</f>
        <v>0</v>
      </c>
      <c r="S570" s="36">
        <f>-$K570*IFERROR(INDEX('[1]salary allocation'!$E$6:$J$22,MATCH($H570,'[1]salary allocation'!$D$6:$D$22,0),MATCH(S$3,'[1]salary allocation'!$E$3:$J$3,0)),0)</f>
        <v>3030643.2</v>
      </c>
      <c r="T570" s="36">
        <f>-$K570*IFERROR(INDEX('[1]salary allocation'!$E$6:$J$22,MATCH($H570,'[1]salary allocation'!$D$6:$D$22,0),MATCH(T$3,'[1]salary allocation'!$E$3:$J$3,0)),0)</f>
        <v>3030643.2</v>
      </c>
      <c r="U570" s="36">
        <f>-$K570*IFERROR(INDEX('[1]salary allocation'!$E$6:$J$22,MATCH($H570,'[1]salary allocation'!$D$6:$D$22,0),MATCH(U$3,'[1]salary allocation'!$E$3:$J$3,0)),0)</f>
        <v>3030643.2</v>
      </c>
      <c r="V570" s="36">
        <f>-$K570*IFERROR(INDEX('[1]salary allocation'!$E$6:$J$22,MATCH($H570,'[1]salary allocation'!$D$6:$D$22,0),MATCH(V$3,'[1]salary allocation'!$E$3:$J$3,0)),0)</f>
        <v>0</v>
      </c>
      <c r="W570" s="36">
        <f>-$K570*IFERROR(INDEX('[1]salary allocation'!$E$6:$J$22,MATCH($H570,'[1]salary allocation'!$D$6:$D$22,0),MATCH(W$3,'[1]salary allocation'!$E$3:$J$3,0)),0)</f>
        <v>6061286.4000000004</v>
      </c>
      <c r="X570" s="36">
        <f>-$K570*IFERROR(INDEX('[1]salary allocation'!$E$6:$J$22,MATCH($H570,'[1]salary allocation'!$D$6:$D$22,0),MATCH(X$3,'[1]salary allocation'!$E$3:$J$3,0)),0)</f>
        <v>0</v>
      </c>
      <c r="Y570" s="36">
        <f>-$K570*IFERROR(INDEX('[1]salary allocation'!$E$6:$J$22,MATCH($H570,'[1]salary allocation'!$D$6:$D$22,0),MATCH(Y$3,'[1]salary allocation'!$E$3:$J$3,0)),0)</f>
        <v>0</v>
      </c>
      <c r="Z570" s="36">
        <f>-$K570*IFERROR(INDEX('[1]salary allocation'!$E$6:$J$22,MATCH($H570,'[1]salary allocation'!$D$6:$D$22,0),MATCH(Z$3,'[1]salary allocation'!$E$3:$J$3,0)),0)</f>
        <v>0</v>
      </c>
      <c r="AA570" s="36">
        <f>-$K570*IFERROR(INDEX('[1]salary allocation'!$E$6:$J$22,MATCH($H570,'[1]salary allocation'!$D$6:$D$22,0),MATCH(AA$3,'[1]salary allocation'!$E$3:$J$3,0)),0)</f>
        <v>0</v>
      </c>
      <c r="AB570" s="36">
        <f>-$K570*IFERROR(INDEX('[1]salary allocation'!$E$6:$J$22,MATCH($H570,'[1]salary allocation'!$D$6:$D$22,0),MATCH(AB$3,'[1]salary allocation'!$E$3:$J$3,0)),0)</f>
        <v>0</v>
      </c>
      <c r="AC570" s="39">
        <f>-$K570*IFERROR(INDEX('[1]salary allocation'!$E$6:$J$22,MATCH($H570,'[1]salary allocation'!$D$6:$D$22,0),MATCH(AC$3,'[1]salary allocation'!$E$3:$J$3,0)),0)</f>
        <v>0</v>
      </c>
      <c r="AD570" s="38"/>
      <c r="AE570" s="37"/>
      <c r="AF570" s="36">
        <f>-$K570</f>
        <v>15153216</v>
      </c>
      <c r="AG570" s="36"/>
      <c r="AH570" s="2">
        <f>K570+SUM(O570:AC570)</f>
        <v>0</v>
      </c>
      <c r="AI570" s="2">
        <f>K570+SUM(AF570:AG570)</f>
        <v>0</v>
      </c>
    </row>
    <row r="571" spans="1:35" x14ac:dyDescent="0.2">
      <c r="A571" s="23" t="s">
        <v>3</v>
      </c>
      <c r="B571" s="22" t="s">
        <v>297</v>
      </c>
      <c r="H571" s="11" t="s">
        <v>41</v>
      </c>
      <c r="I571" s="11" t="s">
        <v>316</v>
      </c>
      <c r="K571" s="35">
        <v>-15097556</v>
      </c>
      <c r="L571" s="12">
        <v>82025</v>
      </c>
      <c r="M571" s="11" t="str">
        <f>LEFT(I571,(LEN(LEFT(I571,FIND(";",I571)))-8))</f>
        <v>VNMOET</v>
      </c>
      <c r="N571" s="11"/>
      <c r="O571" s="36">
        <f>-$K571*IFERROR(INDEX('[1]salary allocation'!$E$6:$J$22,MATCH($H571,'[1]salary allocation'!$D$6:$D$22,0),MATCH(O$3,'[1]salary allocation'!$E$3:$J$3,0)),0)</f>
        <v>0</v>
      </c>
      <c r="P571" s="36">
        <f>-$K571*IFERROR(INDEX('[1]salary allocation'!$E$6:$J$22,MATCH($H571,'[1]salary allocation'!$D$6:$D$22,0),MATCH(P$3,'[1]salary allocation'!$E$3:$J$3,0)),0)</f>
        <v>0</v>
      </c>
      <c r="Q571" s="36">
        <f>-$K571*IFERROR(INDEX('[1]salary allocation'!$E$6:$J$22,MATCH($H571,'[1]salary allocation'!$D$6:$D$22,0),MATCH(Q$3,'[1]salary allocation'!$E$3:$J$3,0)),0)</f>
        <v>0</v>
      </c>
      <c r="R571" s="36">
        <f>-$K571*IFERROR(INDEX('[1]salary allocation'!$E$6:$J$22,MATCH($H571,'[1]salary allocation'!$D$6:$D$22,0),MATCH(R$3,'[1]salary allocation'!$E$3:$J$3,0)),0)</f>
        <v>0</v>
      </c>
      <c r="S571" s="36">
        <f>-$K571*IFERROR(INDEX('[1]salary allocation'!$E$6:$J$22,MATCH($H571,'[1]salary allocation'!$D$6:$D$22,0),MATCH(S$3,'[1]salary allocation'!$E$3:$J$3,0)),0)</f>
        <v>0</v>
      </c>
      <c r="T571" s="36">
        <f>-$K571*IFERROR(INDEX('[1]salary allocation'!$E$6:$J$22,MATCH($H571,'[1]salary allocation'!$D$6:$D$22,0),MATCH(T$3,'[1]salary allocation'!$E$3:$J$3,0)),0)</f>
        <v>0</v>
      </c>
      <c r="U571" s="36">
        <f>-$K571*IFERROR(INDEX('[1]salary allocation'!$E$6:$J$22,MATCH($H571,'[1]salary allocation'!$D$6:$D$22,0),MATCH(U$3,'[1]salary allocation'!$E$3:$J$3,0)),0)</f>
        <v>0</v>
      </c>
      <c r="V571" s="36">
        <f>-$K571*IFERROR(INDEX('[1]salary allocation'!$E$6:$J$22,MATCH($H571,'[1]salary allocation'!$D$6:$D$22,0),MATCH(V$3,'[1]salary allocation'!$E$3:$J$3,0)),0)</f>
        <v>0</v>
      </c>
      <c r="W571" s="36">
        <f>-$K571*IFERROR(INDEX('[1]salary allocation'!$E$6:$J$22,MATCH($H571,'[1]salary allocation'!$D$6:$D$22,0),MATCH(W$3,'[1]salary allocation'!$E$3:$J$3,0)),0)</f>
        <v>15097556</v>
      </c>
      <c r="X571" s="36">
        <f>-$K571*IFERROR(INDEX('[1]salary allocation'!$E$6:$J$22,MATCH($H571,'[1]salary allocation'!$D$6:$D$22,0),MATCH(X$3,'[1]salary allocation'!$E$3:$J$3,0)),0)</f>
        <v>0</v>
      </c>
      <c r="Y571" s="36">
        <f>-$K571*IFERROR(INDEX('[1]salary allocation'!$E$6:$J$22,MATCH($H571,'[1]salary allocation'!$D$6:$D$22,0),MATCH(Y$3,'[1]salary allocation'!$E$3:$J$3,0)),0)</f>
        <v>0</v>
      </c>
      <c r="Z571" s="36">
        <f>-$K571*IFERROR(INDEX('[1]salary allocation'!$E$6:$J$22,MATCH($H571,'[1]salary allocation'!$D$6:$D$22,0),MATCH(Z$3,'[1]salary allocation'!$E$3:$J$3,0)),0)</f>
        <v>0</v>
      </c>
      <c r="AA571" s="36">
        <f>-$K571*IFERROR(INDEX('[1]salary allocation'!$E$6:$J$22,MATCH($H571,'[1]salary allocation'!$D$6:$D$22,0),MATCH(AA$3,'[1]salary allocation'!$E$3:$J$3,0)),0)</f>
        <v>0</v>
      </c>
      <c r="AB571" s="36">
        <f>-$K571*IFERROR(INDEX('[1]salary allocation'!$E$6:$J$22,MATCH($H571,'[1]salary allocation'!$D$6:$D$22,0),MATCH(AB$3,'[1]salary allocation'!$E$3:$J$3,0)),0)</f>
        <v>0</v>
      </c>
      <c r="AC571" s="39">
        <f>-$K571*IFERROR(INDEX('[1]salary allocation'!$E$6:$J$22,MATCH($H571,'[1]salary allocation'!$D$6:$D$22,0),MATCH(AC$3,'[1]salary allocation'!$E$3:$J$3,0)),0)</f>
        <v>0</v>
      </c>
      <c r="AD571" s="38"/>
      <c r="AE571" s="37"/>
      <c r="AF571" s="36">
        <f>-$K571</f>
        <v>15097556</v>
      </c>
      <c r="AG571" s="36"/>
      <c r="AH571" s="2">
        <f>K571+SUM(O571:AC571)</f>
        <v>0</v>
      </c>
      <c r="AI571" s="2">
        <f>K571+SUM(AF571:AG571)</f>
        <v>0</v>
      </c>
    </row>
    <row r="572" spans="1:35" x14ac:dyDescent="0.2">
      <c r="A572" s="23" t="s">
        <v>3</v>
      </c>
      <c r="B572" s="22" t="s">
        <v>297</v>
      </c>
      <c r="H572" s="11" t="s">
        <v>39</v>
      </c>
      <c r="I572" s="11" t="s">
        <v>315</v>
      </c>
      <c r="K572" s="35">
        <v>-15153216</v>
      </c>
      <c r="L572" s="12">
        <v>82025</v>
      </c>
      <c r="M572" s="11" t="str">
        <f>LEFT(I572,(LEN(LEFT(I572,FIND(";",I572)))-8))</f>
        <v>VNMOET</v>
      </c>
      <c r="N572" s="11"/>
      <c r="O572" s="36">
        <f>-$K572*IFERROR(INDEX('[1]salary allocation'!$E$6:$J$22,MATCH($H572,'[1]salary allocation'!$D$6:$D$22,0),MATCH(O$3,'[1]salary allocation'!$E$3:$J$3,0)),0)</f>
        <v>0</v>
      </c>
      <c r="P572" s="36">
        <f>-$K572*IFERROR(INDEX('[1]salary allocation'!$E$6:$J$22,MATCH($H572,'[1]salary allocation'!$D$6:$D$22,0),MATCH(P$3,'[1]salary allocation'!$E$3:$J$3,0)),0)</f>
        <v>0</v>
      </c>
      <c r="Q572" s="36">
        <f>-$K572*IFERROR(INDEX('[1]salary allocation'!$E$6:$J$22,MATCH($H572,'[1]salary allocation'!$D$6:$D$22,0),MATCH(Q$3,'[1]salary allocation'!$E$3:$J$3,0)),0)</f>
        <v>0</v>
      </c>
      <c r="R572" s="36">
        <f>-$K572*IFERROR(INDEX('[1]salary allocation'!$E$6:$J$22,MATCH($H572,'[1]salary allocation'!$D$6:$D$22,0),MATCH(R$3,'[1]salary allocation'!$E$3:$J$3,0)),0)</f>
        <v>0</v>
      </c>
      <c r="S572" s="36">
        <f>-$K572*IFERROR(INDEX('[1]salary allocation'!$E$6:$J$22,MATCH($H572,'[1]salary allocation'!$D$6:$D$22,0),MATCH(S$3,'[1]salary allocation'!$E$3:$J$3,0)),0)</f>
        <v>0</v>
      </c>
      <c r="T572" s="36">
        <f>-$K572*IFERROR(INDEX('[1]salary allocation'!$E$6:$J$22,MATCH($H572,'[1]salary allocation'!$D$6:$D$22,0),MATCH(T$3,'[1]salary allocation'!$E$3:$J$3,0)),0)</f>
        <v>0</v>
      </c>
      <c r="U572" s="36">
        <f>-$K572*IFERROR(INDEX('[1]salary allocation'!$E$6:$J$22,MATCH($H572,'[1]salary allocation'!$D$6:$D$22,0),MATCH(U$3,'[1]salary allocation'!$E$3:$J$3,0)),0)</f>
        <v>0</v>
      </c>
      <c r="V572" s="36">
        <f>-$K572*IFERROR(INDEX('[1]salary allocation'!$E$6:$J$22,MATCH($H572,'[1]salary allocation'!$D$6:$D$22,0),MATCH(V$3,'[1]salary allocation'!$E$3:$J$3,0)),0)</f>
        <v>0</v>
      </c>
      <c r="W572" s="36">
        <f>-$K572*IFERROR(INDEX('[1]salary allocation'!$E$6:$J$22,MATCH($H572,'[1]salary allocation'!$D$6:$D$22,0),MATCH(W$3,'[1]salary allocation'!$E$3:$J$3,0)),0)</f>
        <v>15153216</v>
      </c>
      <c r="X572" s="36">
        <f>-$K572*IFERROR(INDEX('[1]salary allocation'!$E$6:$J$22,MATCH($H572,'[1]salary allocation'!$D$6:$D$22,0),MATCH(X$3,'[1]salary allocation'!$E$3:$J$3,0)),0)</f>
        <v>0</v>
      </c>
      <c r="Y572" s="36">
        <f>-$K572*IFERROR(INDEX('[1]salary allocation'!$E$6:$J$22,MATCH($H572,'[1]salary allocation'!$D$6:$D$22,0),MATCH(Y$3,'[1]salary allocation'!$E$3:$J$3,0)),0)</f>
        <v>0</v>
      </c>
      <c r="Z572" s="36">
        <f>-$K572*IFERROR(INDEX('[1]salary allocation'!$E$6:$J$22,MATCH($H572,'[1]salary allocation'!$D$6:$D$22,0),MATCH(Z$3,'[1]salary allocation'!$E$3:$J$3,0)),0)</f>
        <v>0</v>
      </c>
      <c r="AA572" s="36">
        <f>-$K572*IFERROR(INDEX('[1]salary allocation'!$E$6:$J$22,MATCH($H572,'[1]salary allocation'!$D$6:$D$22,0),MATCH(AA$3,'[1]salary allocation'!$E$3:$J$3,0)),0)</f>
        <v>0</v>
      </c>
      <c r="AB572" s="36">
        <f>-$K572*IFERROR(INDEX('[1]salary allocation'!$E$6:$J$22,MATCH($H572,'[1]salary allocation'!$D$6:$D$22,0),MATCH(AB$3,'[1]salary allocation'!$E$3:$J$3,0)),0)</f>
        <v>0</v>
      </c>
      <c r="AC572" s="39">
        <f>-$K572*IFERROR(INDEX('[1]salary allocation'!$E$6:$J$22,MATCH($H572,'[1]salary allocation'!$D$6:$D$22,0),MATCH(AC$3,'[1]salary allocation'!$E$3:$J$3,0)),0)</f>
        <v>0</v>
      </c>
      <c r="AD572" s="38"/>
      <c r="AE572" s="37"/>
      <c r="AF572" s="36">
        <f>-$K572</f>
        <v>15153216</v>
      </c>
      <c r="AG572" s="36"/>
      <c r="AH572" s="2">
        <f>K572+SUM(O572:AC572)</f>
        <v>0</v>
      </c>
      <c r="AI572" s="2">
        <f>K572+SUM(AF572:AG572)</f>
        <v>0</v>
      </c>
    </row>
    <row r="573" spans="1:35" x14ac:dyDescent="0.2">
      <c r="A573" s="23" t="s">
        <v>3</v>
      </c>
      <c r="B573" s="22" t="s">
        <v>297</v>
      </c>
      <c r="H573" s="11" t="s">
        <v>37</v>
      </c>
      <c r="I573" s="11" t="s">
        <v>314</v>
      </c>
      <c r="K573" s="35">
        <v>-14557442</v>
      </c>
      <c r="L573" s="12">
        <v>82025</v>
      </c>
      <c r="M573" s="11" t="str">
        <f>LEFT(I573,(LEN(LEFT(I573,FIND(";",I573)))-8))</f>
        <v>VNOther</v>
      </c>
      <c r="N573" s="11"/>
      <c r="O573" s="36">
        <f>-$K573*IFERROR(INDEX('[1]salary allocation'!$E$6:$J$22,MATCH($H573,'[1]salary allocation'!$D$6:$D$22,0),MATCH(O$3,'[1]salary allocation'!$E$3:$J$3,0)),0)</f>
        <v>0</v>
      </c>
      <c r="P573" s="36">
        <f>-$K573*IFERROR(INDEX('[1]salary allocation'!$E$6:$J$22,MATCH($H573,'[1]salary allocation'!$D$6:$D$22,0),MATCH(P$3,'[1]salary allocation'!$E$3:$J$3,0)),0)</f>
        <v>2183616.2999999998</v>
      </c>
      <c r="Q573" s="36">
        <f>-$K573*IFERROR(INDEX('[1]salary allocation'!$E$6:$J$22,MATCH($H573,'[1]salary allocation'!$D$6:$D$22,0),MATCH(Q$3,'[1]salary allocation'!$E$3:$J$3,0)),0)</f>
        <v>0</v>
      </c>
      <c r="R573" s="36">
        <f>-$K573*IFERROR(INDEX('[1]salary allocation'!$E$6:$J$22,MATCH($H573,'[1]salary allocation'!$D$6:$D$22,0),MATCH(R$3,'[1]salary allocation'!$E$3:$J$3,0)),0)</f>
        <v>0</v>
      </c>
      <c r="S573" s="36">
        <f>-$K573*IFERROR(INDEX('[1]salary allocation'!$E$6:$J$22,MATCH($H573,'[1]salary allocation'!$D$6:$D$22,0),MATCH(S$3,'[1]salary allocation'!$E$3:$J$3,0)),0)</f>
        <v>2474765.1399999997</v>
      </c>
      <c r="T573" s="36">
        <f>-$K573*IFERROR(INDEX('[1]salary allocation'!$E$6:$J$22,MATCH($H573,'[1]salary allocation'!$D$6:$D$22,0),MATCH(T$3,'[1]salary allocation'!$E$3:$J$3,0)),0)</f>
        <v>2474765.1399999997</v>
      </c>
      <c r="U573" s="36">
        <f>-$K573*IFERROR(INDEX('[1]salary allocation'!$E$6:$J$22,MATCH($H573,'[1]salary allocation'!$D$6:$D$22,0),MATCH(U$3,'[1]salary allocation'!$E$3:$J$3,0)),0)</f>
        <v>2474765.1399999997</v>
      </c>
      <c r="V573" s="36">
        <f>-$K573*IFERROR(INDEX('[1]salary allocation'!$E$6:$J$22,MATCH($H573,'[1]salary allocation'!$D$6:$D$22,0),MATCH(V$3,'[1]salary allocation'!$E$3:$J$3,0)),0)</f>
        <v>0</v>
      </c>
      <c r="W573" s="36">
        <f>-$K573*IFERROR(INDEX('[1]salary allocation'!$E$6:$J$22,MATCH($H573,'[1]salary allocation'!$D$6:$D$22,0),MATCH(W$3,'[1]salary allocation'!$E$3:$J$3,0)),0)</f>
        <v>4949530.2799999993</v>
      </c>
      <c r="X573" s="36">
        <f>-$K573*IFERROR(INDEX('[1]salary allocation'!$E$6:$J$22,MATCH($H573,'[1]salary allocation'!$D$6:$D$22,0),MATCH(X$3,'[1]salary allocation'!$E$3:$J$3,0)),0)</f>
        <v>0</v>
      </c>
      <c r="Y573" s="36">
        <f>-$K573*IFERROR(INDEX('[1]salary allocation'!$E$6:$J$22,MATCH($H573,'[1]salary allocation'!$D$6:$D$22,0),MATCH(Y$3,'[1]salary allocation'!$E$3:$J$3,0)),0)</f>
        <v>0</v>
      </c>
      <c r="Z573" s="36">
        <f>-$K573*IFERROR(INDEX('[1]salary allocation'!$E$6:$J$22,MATCH($H573,'[1]salary allocation'!$D$6:$D$22,0),MATCH(Z$3,'[1]salary allocation'!$E$3:$J$3,0)),0)</f>
        <v>0</v>
      </c>
      <c r="AA573" s="36">
        <f>-$K573*IFERROR(INDEX('[1]salary allocation'!$E$6:$J$22,MATCH($H573,'[1]salary allocation'!$D$6:$D$22,0),MATCH(AA$3,'[1]salary allocation'!$E$3:$J$3,0)),0)</f>
        <v>0</v>
      </c>
      <c r="AB573" s="36">
        <f>-$K573*IFERROR(INDEX('[1]salary allocation'!$E$6:$J$22,MATCH($H573,'[1]salary allocation'!$D$6:$D$22,0),MATCH(AB$3,'[1]salary allocation'!$E$3:$J$3,0)),0)</f>
        <v>0</v>
      </c>
      <c r="AC573" s="39">
        <f>-$K573*IFERROR(INDEX('[1]salary allocation'!$E$6:$J$22,MATCH($H573,'[1]salary allocation'!$D$6:$D$22,0),MATCH(AC$3,'[1]salary allocation'!$E$3:$J$3,0)),0)</f>
        <v>0</v>
      </c>
      <c r="AD573" s="38"/>
      <c r="AE573" s="37"/>
      <c r="AF573" s="36">
        <f>-K573</f>
        <v>14557442</v>
      </c>
      <c r="AG573" s="36"/>
      <c r="AH573" s="2">
        <f>K573+SUM(O573:AC573)</f>
        <v>0</v>
      </c>
      <c r="AI573" s="2">
        <f>K573+SUM(AF573:AG573)</f>
        <v>0</v>
      </c>
    </row>
    <row r="574" spans="1:35" x14ac:dyDescent="0.2">
      <c r="A574" s="23" t="s">
        <v>3</v>
      </c>
      <c r="B574" s="22" t="s">
        <v>297</v>
      </c>
      <c r="H574" s="11" t="s">
        <v>35</v>
      </c>
      <c r="I574" s="11" t="s">
        <v>313</v>
      </c>
      <c r="K574" s="35">
        <v>-15584054</v>
      </c>
      <c r="L574" s="12">
        <v>82025</v>
      </c>
      <c r="M574" s="11" t="str">
        <f>LEFT(I574,(LEN(LEFT(I574,FIND(";",I574)))-8))</f>
        <v>VNOther</v>
      </c>
      <c r="N574" s="11"/>
      <c r="O574" s="36">
        <f>-$K574*IFERROR(INDEX('[1]salary allocation'!$E$6:$J$22,MATCH($H574,'[1]salary allocation'!$D$6:$D$22,0),MATCH(O$3,'[1]salary allocation'!$E$3:$J$3,0)),0)</f>
        <v>0</v>
      </c>
      <c r="P574" s="36">
        <f>-$K574*IFERROR(INDEX('[1]salary allocation'!$E$6:$J$22,MATCH($H574,'[1]salary allocation'!$D$6:$D$22,0),MATCH(P$3,'[1]salary allocation'!$E$3:$J$3,0)),0)</f>
        <v>2337608.1</v>
      </c>
      <c r="Q574" s="36">
        <f>-$K574*IFERROR(INDEX('[1]salary allocation'!$E$6:$J$22,MATCH($H574,'[1]salary allocation'!$D$6:$D$22,0),MATCH(Q$3,'[1]salary allocation'!$E$3:$J$3,0)),0)</f>
        <v>0</v>
      </c>
      <c r="R574" s="36">
        <f>-$K574*IFERROR(INDEX('[1]salary allocation'!$E$6:$J$22,MATCH($H574,'[1]salary allocation'!$D$6:$D$22,0),MATCH(R$3,'[1]salary allocation'!$E$3:$J$3,0)),0)</f>
        <v>0</v>
      </c>
      <c r="S574" s="36">
        <f>-$K574*IFERROR(INDEX('[1]salary allocation'!$E$6:$J$22,MATCH($H574,'[1]salary allocation'!$D$6:$D$22,0),MATCH(S$3,'[1]salary allocation'!$E$3:$J$3,0)),0)</f>
        <v>2649289.1799999997</v>
      </c>
      <c r="T574" s="36">
        <f>-$K574*IFERROR(INDEX('[1]salary allocation'!$E$6:$J$22,MATCH($H574,'[1]salary allocation'!$D$6:$D$22,0),MATCH(T$3,'[1]salary allocation'!$E$3:$J$3,0)),0)</f>
        <v>2649289.1799999997</v>
      </c>
      <c r="U574" s="36">
        <f>-$K574*IFERROR(INDEX('[1]salary allocation'!$E$6:$J$22,MATCH($H574,'[1]salary allocation'!$D$6:$D$22,0),MATCH(U$3,'[1]salary allocation'!$E$3:$J$3,0)),0)</f>
        <v>2649289.1799999997</v>
      </c>
      <c r="V574" s="36">
        <f>-$K574*IFERROR(INDEX('[1]salary allocation'!$E$6:$J$22,MATCH($H574,'[1]salary allocation'!$D$6:$D$22,0),MATCH(V$3,'[1]salary allocation'!$E$3:$J$3,0)),0)</f>
        <v>0</v>
      </c>
      <c r="W574" s="36">
        <f>-$K574*IFERROR(INDEX('[1]salary allocation'!$E$6:$J$22,MATCH($H574,'[1]salary allocation'!$D$6:$D$22,0),MATCH(W$3,'[1]salary allocation'!$E$3:$J$3,0)),0)</f>
        <v>5298578.3599999994</v>
      </c>
      <c r="X574" s="36">
        <f>-$K574*IFERROR(INDEX('[1]salary allocation'!$E$6:$J$22,MATCH($H574,'[1]salary allocation'!$D$6:$D$22,0),MATCH(X$3,'[1]salary allocation'!$E$3:$J$3,0)),0)</f>
        <v>0</v>
      </c>
      <c r="Y574" s="36">
        <f>-$K574*IFERROR(INDEX('[1]salary allocation'!$E$6:$J$22,MATCH($H574,'[1]salary allocation'!$D$6:$D$22,0),MATCH(Y$3,'[1]salary allocation'!$E$3:$J$3,0)),0)</f>
        <v>0</v>
      </c>
      <c r="Z574" s="36">
        <f>-$K574*IFERROR(INDEX('[1]salary allocation'!$E$6:$J$22,MATCH($H574,'[1]salary allocation'!$D$6:$D$22,0),MATCH(Z$3,'[1]salary allocation'!$E$3:$J$3,0)),0)</f>
        <v>0</v>
      </c>
      <c r="AA574" s="36">
        <f>-$K574*IFERROR(INDEX('[1]salary allocation'!$E$6:$J$22,MATCH($H574,'[1]salary allocation'!$D$6:$D$22,0),MATCH(AA$3,'[1]salary allocation'!$E$3:$J$3,0)),0)</f>
        <v>0</v>
      </c>
      <c r="AB574" s="36">
        <f>-$K574*IFERROR(INDEX('[1]salary allocation'!$E$6:$J$22,MATCH($H574,'[1]salary allocation'!$D$6:$D$22,0),MATCH(AB$3,'[1]salary allocation'!$E$3:$J$3,0)),0)</f>
        <v>0</v>
      </c>
      <c r="AC574" s="39">
        <f>-$K574*IFERROR(INDEX('[1]salary allocation'!$E$6:$J$22,MATCH($H574,'[1]salary allocation'!$D$6:$D$22,0),MATCH(AC$3,'[1]salary allocation'!$E$3:$J$3,0)),0)</f>
        <v>0</v>
      </c>
      <c r="AD574" s="38"/>
      <c r="AE574" s="37"/>
      <c r="AF574" s="36">
        <f>-$K574</f>
        <v>15584054</v>
      </c>
      <c r="AG574" s="36"/>
      <c r="AH574" s="2">
        <f>K574+SUM(O574:AC574)</f>
        <v>0</v>
      </c>
      <c r="AI574" s="2">
        <f>K574+SUM(AF574:AG574)</f>
        <v>0</v>
      </c>
    </row>
    <row r="575" spans="1:35" x14ac:dyDescent="0.2">
      <c r="A575" s="23" t="s">
        <v>3</v>
      </c>
      <c r="B575" s="22" t="s">
        <v>297</v>
      </c>
      <c r="H575" s="11" t="s">
        <v>121</v>
      </c>
      <c r="I575" s="11" t="s">
        <v>312</v>
      </c>
      <c r="K575" s="35">
        <v>-4308352</v>
      </c>
      <c r="L575" s="12">
        <v>82025</v>
      </c>
      <c r="M575" s="11" t="str">
        <f>LEFT(I575,(LEN(LEFT(I575,FIND(";",I575)))-8))</f>
        <v>VNLA</v>
      </c>
      <c r="N575" s="11"/>
      <c r="O575" s="4">
        <f>IF($M575=O$3,-$K575,0)</f>
        <v>0</v>
      </c>
      <c r="P575" s="4">
        <f>IF($M575=P$3,-$K575,0)</f>
        <v>0</v>
      </c>
      <c r="Q575" s="4">
        <f>IF($M575=Q$3,-$K575,0)</f>
        <v>0</v>
      </c>
      <c r="R575" s="4">
        <f>IF($M575=R$3,-$K575,0)</f>
        <v>0</v>
      </c>
      <c r="S575" s="4">
        <f>IF($M575=S$3,-$K575,0)</f>
        <v>0</v>
      </c>
      <c r="T575" s="4">
        <f>IF($M575=T$3,-$K575,0)</f>
        <v>0</v>
      </c>
      <c r="U575" s="4">
        <f>IF($M575=U$3,-$K575,0)</f>
        <v>0</v>
      </c>
      <c r="V575" s="4">
        <f>IF($M575=V$3,-$K575,0)</f>
        <v>0</v>
      </c>
      <c r="W575" s="4">
        <f>IF($M575=W$3,-$K575,0)</f>
        <v>0</v>
      </c>
      <c r="X575" s="4">
        <f>IF($M575=X$3,-$K575,0)</f>
        <v>4308352</v>
      </c>
      <c r="Y575" s="4">
        <f>IF($M575=Y$3,-$K575,0)</f>
        <v>0</v>
      </c>
      <c r="Z575" s="4">
        <f>IF($M575=Z$3,-$K575,0)</f>
        <v>0</v>
      </c>
      <c r="AA575" s="4">
        <f>IF($M575=AA$3,-$K575,0)</f>
        <v>0</v>
      </c>
      <c r="AB575" s="4">
        <f>IF($M575=AB$3,-$K575,0)</f>
        <v>0</v>
      </c>
      <c r="AC575" s="10">
        <f>IF($M575=AC$3,-$K575,0)</f>
        <v>0</v>
      </c>
      <c r="AD575" s="9"/>
      <c r="AE575" s="8"/>
      <c r="AF575" s="4"/>
      <c r="AG575" s="4">
        <f>-$K575</f>
        <v>4308352</v>
      </c>
      <c r="AH575" s="2">
        <f>K575+SUM(O575:AC575)</f>
        <v>0</v>
      </c>
      <c r="AI575" s="2">
        <f>K575+SUM(AF575:AG575)</f>
        <v>0</v>
      </c>
    </row>
    <row r="576" spans="1:35" x14ac:dyDescent="0.2">
      <c r="A576" s="23" t="s">
        <v>3</v>
      </c>
      <c r="B576" s="22" t="s">
        <v>297</v>
      </c>
      <c r="H576" s="11" t="s">
        <v>33</v>
      </c>
      <c r="I576" s="11" t="s">
        <v>311</v>
      </c>
      <c r="K576" s="35">
        <v>-3984832</v>
      </c>
      <c r="L576" s="12">
        <v>82025</v>
      </c>
      <c r="M576" s="11" t="str">
        <f>LEFT(I576,(LEN(LEFT(I576,FIND(";",I576)))-8))</f>
        <v>VNDN</v>
      </c>
      <c r="N576" s="11"/>
      <c r="O576" s="4">
        <f>IF($M576=O$3,-$K576,0)</f>
        <v>0</v>
      </c>
      <c r="P576" s="4">
        <f>IF($M576=P$3,-$K576,0)</f>
        <v>0</v>
      </c>
      <c r="Q576" s="4">
        <f>IF($M576=Q$3,-$K576,0)</f>
        <v>0</v>
      </c>
      <c r="R576" s="4">
        <f>IF($M576=R$3,-$K576,0)</f>
        <v>0</v>
      </c>
      <c r="S576" s="4">
        <f>IF($M576=S$3,-$K576,0)</f>
        <v>3984832</v>
      </c>
      <c r="T576" s="4">
        <f>IF($M576=T$3,-$K576,0)</f>
        <v>0</v>
      </c>
      <c r="U576" s="4">
        <f>IF($M576=U$3,-$K576,0)</f>
        <v>0</v>
      </c>
      <c r="V576" s="4">
        <f>IF($M576=V$3,-$K576,0)</f>
        <v>0</v>
      </c>
      <c r="W576" s="4">
        <f>IF($M576=W$3,-$K576,0)</f>
        <v>0</v>
      </c>
      <c r="X576" s="4">
        <f>IF($M576=X$3,-$K576,0)</f>
        <v>0</v>
      </c>
      <c r="Y576" s="4">
        <f>IF($M576=Y$3,-$K576,0)</f>
        <v>0</v>
      </c>
      <c r="Z576" s="4">
        <f>IF($M576=Z$3,-$K576,0)</f>
        <v>0</v>
      </c>
      <c r="AA576" s="4">
        <f>IF($M576=AA$3,-$K576,0)</f>
        <v>0</v>
      </c>
      <c r="AB576" s="4">
        <f>IF($M576=AB$3,-$K576,0)</f>
        <v>0</v>
      </c>
      <c r="AC576" s="10">
        <f>IF($M576=AC$3,-$K576,0)</f>
        <v>0</v>
      </c>
      <c r="AD576" s="9"/>
      <c r="AE576" s="8"/>
      <c r="AF576" s="4"/>
      <c r="AG576" s="4">
        <f>-$K576</f>
        <v>3984832</v>
      </c>
      <c r="AH576" s="2">
        <f>K576+SUM(O576:AC576)</f>
        <v>0</v>
      </c>
      <c r="AI576" s="2">
        <f>K576+SUM(AF576:AG576)</f>
        <v>0</v>
      </c>
    </row>
    <row r="577" spans="1:35" x14ac:dyDescent="0.2">
      <c r="A577" s="23" t="s">
        <v>3</v>
      </c>
      <c r="B577" s="22" t="s">
        <v>297</v>
      </c>
      <c r="H577" s="11" t="s">
        <v>31</v>
      </c>
      <c r="I577" s="11" t="s">
        <v>310</v>
      </c>
      <c r="K577" s="35">
        <v>-5064512</v>
      </c>
      <c r="L577" s="12">
        <v>82025</v>
      </c>
      <c r="M577" s="11" t="str">
        <f>LEFT(I577,(LEN(LEFT(I577,FIND(";",I577)))-8))</f>
        <v>VNDN</v>
      </c>
      <c r="N577" s="11"/>
      <c r="O577" s="4">
        <f>IF($M577=O$3,-$K577,0)</f>
        <v>0</v>
      </c>
      <c r="P577" s="4">
        <f>IF($M577=P$3,-$K577,0)</f>
        <v>0</v>
      </c>
      <c r="Q577" s="4">
        <f>IF($M577=Q$3,-$K577,0)</f>
        <v>0</v>
      </c>
      <c r="R577" s="4">
        <f>IF($M577=R$3,-$K577,0)</f>
        <v>0</v>
      </c>
      <c r="S577" s="4">
        <f>IF($M577=S$3,-$K577,0)</f>
        <v>5064512</v>
      </c>
      <c r="T577" s="4">
        <f>IF($M577=T$3,-$K577,0)</f>
        <v>0</v>
      </c>
      <c r="U577" s="4">
        <f>IF($M577=U$3,-$K577,0)</f>
        <v>0</v>
      </c>
      <c r="V577" s="4">
        <f>IF($M577=V$3,-$K577,0)</f>
        <v>0</v>
      </c>
      <c r="W577" s="4">
        <f>IF($M577=W$3,-$K577,0)</f>
        <v>0</v>
      </c>
      <c r="X577" s="4">
        <f>IF($M577=X$3,-$K577,0)</f>
        <v>0</v>
      </c>
      <c r="Y577" s="4">
        <f>IF($M577=Y$3,-$K577,0)</f>
        <v>0</v>
      </c>
      <c r="Z577" s="4">
        <f>IF($M577=Z$3,-$K577,0)</f>
        <v>0</v>
      </c>
      <c r="AA577" s="4">
        <f>IF($M577=AA$3,-$K577,0)</f>
        <v>0</v>
      </c>
      <c r="AB577" s="4">
        <f>IF($M577=AB$3,-$K577,0)</f>
        <v>0</v>
      </c>
      <c r="AC577" s="10">
        <f>IF($M577=AC$3,-$K577,0)</f>
        <v>0</v>
      </c>
      <c r="AD577" s="9"/>
      <c r="AE577" s="8"/>
      <c r="AF577" s="4"/>
      <c r="AG577" s="4">
        <f>-$K577</f>
        <v>5064512</v>
      </c>
      <c r="AH577" s="2">
        <f>K577+SUM(O577:AC577)</f>
        <v>0</v>
      </c>
      <c r="AI577" s="2">
        <f>K577+SUM(AF577:AG577)</f>
        <v>0</v>
      </c>
    </row>
    <row r="578" spans="1:35" x14ac:dyDescent="0.2">
      <c r="A578" s="23" t="s">
        <v>3</v>
      </c>
      <c r="B578" s="22" t="s">
        <v>297</v>
      </c>
      <c r="H578" s="11" t="s">
        <v>29</v>
      </c>
      <c r="I578" s="11" t="s">
        <v>309</v>
      </c>
      <c r="K578" s="35">
        <v>-6516352</v>
      </c>
      <c r="L578" s="12">
        <v>82025</v>
      </c>
      <c r="M578" s="11" t="str">
        <f>LEFT(I578,(LEN(LEFT(I578,FIND(";",I578)))-8))</f>
        <v>VNDN</v>
      </c>
      <c r="N578" s="11"/>
      <c r="O578" s="4">
        <f>IF($M578=O$3,-$K578,0)</f>
        <v>0</v>
      </c>
      <c r="P578" s="4">
        <f>IF($M578=P$3,-$K578,0)</f>
        <v>0</v>
      </c>
      <c r="Q578" s="4">
        <f>IF($M578=Q$3,-$K578,0)</f>
        <v>0</v>
      </c>
      <c r="R578" s="4">
        <f>IF($M578=R$3,-$K578,0)</f>
        <v>0</v>
      </c>
      <c r="S578" s="4">
        <f>IF($M578=S$3,-$K578,0)</f>
        <v>6516352</v>
      </c>
      <c r="T578" s="4">
        <f>IF($M578=T$3,-$K578,0)</f>
        <v>0</v>
      </c>
      <c r="U578" s="4">
        <f>IF($M578=U$3,-$K578,0)</f>
        <v>0</v>
      </c>
      <c r="V578" s="4">
        <f>IF($M578=V$3,-$K578,0)</f>
        <v>0</v>
      </c>
      <c r="W578" s="4">
        <f>IF($M578=W$3,-$K578,0)</f>
        <v>0</v>
      </c>
      <c r="X578" s="4">
        <f>IF($M578=X$3,-$K578,0)</f>
        <v>0</v>
      </c>
      <c r="Y578" s="4">
        <f>IF($M578=Y$3,-$K578,0)</f>
        <v>0</v>
      </c>
      <c r="Z578" s="4">
        <f>IF($M578=Z$3,-$K578,0)</f>
        <v>0</v>
      </c>
      <c r="AA578" s="4">
        <f>IF($M578=AA$3,-$K578,0)</f>
        <v>0</v>
      </c>
      <c r="AB578" s="4">
        <f>IF($M578=AB$3,-$K578,0)</f>
        <v>0</v>
      </c>
      <c r="AC578" s="10">
        <f>IF($M578=AC$3,-$K578,0)</f>
        <v>0</v>
      </c>
      <c r="AD578" s="9"/>
      <c r="AE578" s="8"/>
      <c r="AF578" s="4"/>
      <c r="AG578" s="4">
        <f>-$K578</f>
        <v>6516352</v>
      </c>
      <c r="AH578" s="2">
        <f>K578+SUM(O578:AC578)</f>
        <v>0</v>
      </c>
      <c r="AI578" s="2">
        <f>K578+SUM(AF578:AG578)</f>
        <v>0</v>
      </c>
    </row>
    <row r="579" spans="1:35" x14ac:dyDescent="0.2">
      <c r="A579" s="23" t="s">
        <v>3</v>
      </c>
      <c r="B579" s="22" t="s">
        <v>297</v>
      </c>
      <c r="H579" s="11" t="s">
        <v>27</v>
      </c>
      <c r="I579" s="11" t="s">
        <v>308</v>
      </c>
      <c r="K579" s="35">
        <v>-4564352</v>
      </c>
      <c r="L579" s="12">
        <v>82025</v>
      </c>
      <c r="M579" s="11" t="str">
        <f>LEFT(I579,(LEN(LEFT(I579,FIND(";",I579)))-8))</f>
        <v>VNDN</v>
      </c>
      <c r="N579" s="11"/>
      <c r="O579" s="4">
        <f>IF($M579=O$3,-$K579,0)</f>
        <v>0</v>
      </c>
      <c r="P579" s="4">
        <f>IF($M579=P$3,-$K579,0)</f>
        <v>0</v>
      </c>
      <c r="Q579" s="4">
        <f>IF($M579=Q$3,-$K579,0)</f>
        <v>0</v>
      </c>
      <c r="R579" s="4">
        <f>IF($M579=R$3,-$K579,0)</f>
        <v>0</v>
      </c>
      <c r="S579" s="4">
        <f>IF($M579=S$3,-$K579,0)</f>
        <v>4564352</v>
      </c>
      <c r="T579" s="4">
        <f>IF($M579=T$3,-$K579,0)</f>
        <v>0</v>
      </c>
      <c r="U579" s="4">
        <f>IF($M579=U$3,-$K579,0)</f>
        <v>0</v>
      </c>
      <c r="V579" s="4">
        <f>IF($M579=V$3,-$K579,0)</f>
        <v>0</v>
      </c>
      <c r="W579" s="4">
        <f>IF($M579=W$3,-$K579,0)</f>
        <v>0</v>
      </c>
      <c r="X579" s="4">
        <f>IF($M579=X$3,-$K579,0)</f>
        <v>0</v>
      </c>
      <c r="Y579" s="4">
        <f>IF($M579=Y$3,-$K579,0)</f>
        <v>0</v>
      </c>
      <c r="Z579" s="4">
        <f>IF($M579=Z$3,-$K579,0)</f>
        <v>0</v>
      </c>
      <c r="AA579" s="4">
        <f>IF($M579=AA$3,-$K579,0)</f>
        <v>0</v>
      </c>
      <c r="AB579" s="4">
        <f>IF($M579=AB$3,-$K579,0)</f>
        <v>0</v>
      </c>
      <c r="AC579" s="10">
        <f>IF($M579=AC$3,-$K579,0)</f>
        <v>0</v>
      </c>
      <c r="AD579" s="9"/>
      <c r="AE579" s="8"/>
      <c r="AF579" s="4"/>
      <c r="AG579" s="4">
        <f>-$K579</f>
        <v>4564352</v>
      </c>
      <c r="AH579" s="2">
        <f>K579+SUM(O579:AC579)</f>
        <v>0</v>
      </c>
      <c r="AI579" s="2">
        <f>K579+SUM(AF579:AG579)</f>
        <v>0</v>
      </c>
    </row>
    <row r="580" spans="1:35" x14ac:dyDescent="0.2">
      <c r="A580" s="23" t="s">
        <v>3</v>
      </c>
      <c r="B580" s="22" t="s">
        <v>297</v>
      </c>
      <c r="H580" s="11" t="s">
        <v>25</v>
      </c>
      <c r="I580" s="11" t="s">
        <v>307</v>
      </c>
      <c r="K580" s="35">
        <v>0</v>
      </c>
      <c r="L580" s="12">
        <v>82025</v>
      </c>
      <c r="M580" s="11" t="str">
        <f>LEFT(I580,(LEN(LEFT(I580,FIND(";",I580)))-8))</f>
        <v>VNQN</v>
      </c>
      <c r="N580" s="11"/>
      <c r="O580" s="4">
        <f>IF($M580=O$3,-$K580,0)</f>
        <v>0</v>
      </c>
      <c r="P580" s="4">
        <f>IF($M580=P$3,-$K580,0)</f>
        <v>0</v>
      </c>
      <c r="Q580" s="4">
        <f>IF($M580=Q$3,-$K580,0)</f>
        <v>0</v>
      </c>
      <c r="R580" s="4">
        <f>IF($M580=R$3,-$K580,0)</f>
        <v>0</v>
      </c>
      <c r="S580" s="4">
        <f>IF($M580=S$3,-$K580,0)</f>
        <v>0</v>
      </c>
      <c r="T580" s="4">
        <f>IF($M580=T$3,-$K580,0)</f>
        <v>0</v>
      </c>
      <c r="U580" s="4">
        <f>IF($M580=U$3,-$K580,0)</f>
        <v>0</v>
      </c>
      <c r="V580" s="4">
        <f>IF($M580=V$3,-$K580,0)</f>
        <v>0</v>
      </c>
      <c r="W580" s="4">
        <f>IF($M580=W$3,-$K580,0)</f>
        <v>0</v>
      </c>
      <c r="X580" s="4">
        <f>IF($M580=X$3,-$K580,0)</f>
        <v>0</v>
      </c>
      <c r="Y580" s="4">
        <f>IF($M580=Y$3,-$K580,0)</f>
        <v>0</v>
      </c>
      <c r="Z580" s="4">
        <f>IF($M580=Z$3,-$K580,0)</f>
        <v>0</v>
      </c>
      <c r="AA580" s="4">
        <f>IF($M580=AA$3,-$K580,0)</f>
        <v>0</v>
      </c>
      <c r="AB580" s="4">
        <f>IF($M580=AB$3,-$K580,0)</f>
        <v>0</v>
      </c>
      <c r="AC580" s="10">
        <f>IF($M580=AC$3,-$K580,0)</f>
        <v>0</v>
      </c>
      <c r="AD580" s="9"/>
      <c r="AE580" s="8"/>
      <c r="AF580" s="4"/>
      <c r="AG580" s="4">
        <f>-$K580</f>
        <v>0</v>
      </c>
      <c r="AH580" s="2">
        <f>K580+SUM(O580:AC580)</f>
        <v>0</v>
      </c>
      <c r="AI580" s="2">
        <f>K580+SUM(AF580:AG580)</f>
        <v>0</v>
      </c>
    </row>
    <row r="581" spans="1:35" x14ac:dyDescent="0.2">
      <c r="A581" s="23" t="s">
        <v>3</v>
      </c>
      <c r="B581" s="22" t="s">
        <v>297</v>
      </c>
      <c r="H581" s="11" t="s">
        <v>81</v>
      </c>
      <c r="I581" s="11" t="s">
        <v>306</v>
      </c>
      <c r="K581" s="35">
        <v>-4069952</v>
      </c>
      <c r="L581" s="12">
        <v>82025</v>
      </c>
      <c r="M581" s="11" t="str">
        <f>LEFT(I581,(LEN(LEFT(I581,FIND(";",I581)))-8))</f>
        <v>VNQN</v>
      </c>
      <c r="N581" s="11"/>
      <c r="O581" s="4">
        <f>IF($M581=O$3,-$K581,0)</f>
        <v>0</v>
      </c>
      <c r="P581" s="4">
        <f>IF($M581=P$3,-$K581,0)</f>
        <v>0</v>
      </c>
      <c r="Q581" s="4">
        <f>IF($M581=Q$3,-$K581,0)</f>
        <v>0</v>
      </c>
      <c r="R581" s="4">
        <f>IF($M581=R$3,-$K581,0)</f>
        <v>0</v>
      </c>
      <c r="S581" s="4">
        <f>IF($M581=S$3,-$K581,0)</f>
        <v>0</v>
      </c>
      <c r="T581" s="4">
        <f>IF($M581=T$3,-$K581,0)</f>
        <v>4069952</v>
      </c>
      <c r="U581" s="4">
        <f>IF($M581=U$3,-$K581,0)</f>
        <v>0</v>
      </c>
      <c r="V581" s="4">
        <f>IF($M581=V$3,-$K581,0)</f>
        <v>0</v>
      </c>
      <c r="W581" s="4">
        <f>IF($M581=W$3,-$K581,0)</f>
        <v>0</v>
      </c>
      <c r="X581" s="4">
        <f>IF($M581=X$3,-$K581,0)</f>
        <v>0</v>
      </c>
      <c r="Y581" s="4">
        <f>IF($M581=Y$3,-$K581,0)</f>
        <v>0</v>
      </c>
      <c r="Z581" s="4">
        <f>IF($M581=Z$3,-$K581,0)</f>
        <v>0</v>
      </c>
      <c r="AA581" s="4">
        <f>IF($M581=AA$3,-$K581,0)</f>
        <v>0</v>
      </c>
      <c r="AB581" s="4">
        <f>IF($M581=AB$3,-$K581,0)</f>
        <v>0</v>
      </c>
      <c r="AC581" s="10">
        <f>IF($M581=AC$3,-$K581,0)</f>
        <v>0</v>
      </c>
      <c r="AD581" s="9"/>
      <c r="AE581" s="8"/>
      <c r="AF581" s="4"/>
      <c r="AG581" s="4">
        <f>-$K581</f>
        <v>4069952</v>
      </c>
      <c r="AH581" s="2">
        <f>K581+SUM(O581:AC581)</f>
        <v>0</v>
      </c>
      <c r="AI581" s="2">
        <f>K581+SUM(AF581:AG581)</f>
        <v>0</v>
      </c>
    </row>
    <row r="582" spans="1:35" x14ac:dyDescent="0.2">
      <c r="A582" s="23" t="s">
        <v>3</v>
      </c>
      <c r="B582" s="22" t="s">
        <v>297</v>
      </c>
      <c r="H582" s="11" t="s">
        <v>23</v>
      </c>
      <c r="I582" s="11" t="s">
        <v>305</v>
      </c>
      <c r="K582" s="35">
        <v>-4069952</v>
      </c>
      <c r="L582" s="12">
        <v>82025</v>
      </c>
      <c r="M582" s="11" t="str">
        <f>LEFT(I582,(LEN(LEFT(I582,FIND(";",I582)))-8))</f>
        <v>VNHD</v>
      </c>
      <c r="N582" s="11"/>
      <c r="O582" s="4">
        <f>IF($M582=O$3,-$K582,0)</f>
        <v>0</v>
      </c>
      <c r="P582" s="4">
        <f>IF($M582=P$3,-$K582,0)</f>
        <v>0</v>
      </c>
      <c r="Q582" s="4">
        <f>IF($M582=Q$3,-$K582,0)</f>
        <v>0</v>
      </c>
      <c r="R582" s="4">
        <f>IF($M582=R$3,-$K582,0)</f>
        <v>0</v>
      </c>
      <c r="S582" s="4">
        <f>IF($M582=S$3,-$K582,0)</f>
        <v>0</v>
      </c>
      <c r="T582" s="4">
        <f>IF($M582=T$3,-$K582,0)</f>
        <v>0</v>
      </c>
      <c r="U582" s="4">
        <f>IF($M582=U$3,-$K582,0)</f>
        <v>4069952</v>
      </c>
      <c r="V582" s="4">
        <f>IF($M582=V$3,-$K582,0)</f>
        <v>0</v>
      </c>
      <c r="W582" s="4">
        <f>IF($M582=W$3,-$K582,0)</f>
        <v>0</v>
      </c>
      <c r="X582" s="4">
        <f>IF($M582=X$3,-$K582,0)</f>
        <v>0</v>
      </c>
      <c r="Y582" s="4">
        <f>IF($M582=Y$3,-$K582,0)</f>
        <v>0</v>
      </c>
      <c r="Z582" s="4">
        <f>IF($M582=Z$3,-$K582,0)</f>
        <v>0</v>
      </c>
      <c r="AA582" s="4">
        <f>IF($M582=AA$3,-$K582,0)</f>
        <v>0</v>
      </c>
      <c r="AB582" s="4">
        <f>IF($M582=AB$3,-$K582,0)</f>
        <v>0</v>
      </c>
      <c r="AC582" s="10">
        <f>IF($M582=AC$3,-$K582,0)</f>
        <v>0</v>
      </c>
      <c r="AD582" s="9"/>
      <c r="AE582" s="8"/>
      <c r="AF582" s="4"/>
      <c r="AG582" s="4">
        <f>-$K582</f>
        <v>4069952</v>
      </c>
      <c r="AH582" s="2">
        <f>K582+SUM(O582:AC582)</f>
        <v>0</v>
      </c>
      <c r="AI582" s="2">
        <f>K582+SUM(AF582:AG582)</f>
        <v>0</v>
      </c>
    </row>
    <row r="583" spans="1:35" x14ac:dyDescent="0.2">
      <c r="A583" s="23" t="s">
        <v>3</v>
      </c>
      <c r="B583" s="22" t="s">
        <v>297</v>
      </c>
      <c r="H583" s="11" t="s">
        <v>21</v>
      </c>
      <c r="I583" s="11" t="s">
        <v>304</v>
      </c>
      <c r="K583" s="35">
        <v>-4564352</v>
      </c>
      <c r="L583" s="12">
        <v>82025</v>
      </c>
      <c r="M583" s="11" t="str">
        <f>LEFT(I583,(LEN(LEFT(I583,FIND(";",I583)))-8))</f>
        <v>VNHCM</v>
      </c>
      <c r="N583" s="11"/>
      <c r="O583" s="4">
        <f>IF($M583=O$3,-$K583,0)</f>
        <v>0</v>
      </c>
      <c r="P583" s="4">
        <f>IF($M583=P$3,-$K583,0)</f>
        <v>0</v>
      </c>
      <c r="Q583" s="4">
        <f>IF($M583=Q$3,-$K583,0)</f>
        <v>0</v>
      </c>
      <c r="R583" s="4">
        <f>IF($M583=R$3,-$K583,0)</f>
        <v>0</v>
      </c>
      <c r="S583" s="4">
        <f>IF($M583=S$3,-$K583,0)</f>
        <v>0</v>
      </c>
      <c r="T583" s="4">
        <f>IF($M583=T$3,-$K583,0)</f>
        <v>0</v>
      </c>
      <c r="U583" s="4">
        <f>IF($M583=U$3,-$K583,0)</f>
        <v>0</v>
      </c>
      <c r="V583" s="4">
        <f>IF($M583=V$3,-$K583,0)</f>
        <v>0</v>
      </c>
      <c r="W583" s="4">
        <f>IF($M583=W$3,-$K583,0)</f>
        <v>0</v>
      </c>
      <c r="X583" s="4">
        <f>IF($M583=X$3,-$K583,0)</f>
        <v>0</v>
      </c>
      <c r="Y583" s="4">
        <f>IF($M583=Y$3,-$K583,0)</f>
        <v>4564352</v>
      </c>
      <c r="Z583" s="4">
        <f>IF($M583=Z$3,-$K583,0)</f>
        <v>0</v>
      </c>
      <c r="AA583" s="4">
        <f>IF($M583=AA$3,-$K583,0)</f>
        <v>0</v>
      </c>
      <c r="AB583" s="4">
        <f>IF($M583=AB$3,-$K583,0)</f>
        <v>0</v>
      </c>
      <c r="AC583" s="10">
        <f>IF($M583=AC$3,-$K583,0)</f>
        <v>0</v>
      </c>
      <c r="AD583" s="9"/>
      <c r="AE583" s="8"/>
      <c r="AF583" s="4"/>
      <c r="AG583" s="4">
        <f>-$K583</f>
        <v>4564352</v>
      </c>
      <c r="AH583" s="2">
        <f>K583+SUM(O583:AC583)</f>
        <v>0</v>
      </c>
      <c r="AI583" s="2">
        <f>K583+SUM(AF583:AG583)</f>
        <v>0</v>
      </c>
    </row>
    <row r="584" spans="1:35" x14ac:dyDescent="0.2">
      <c r="A584" s="23" t="s">
        <v>3</v>
      </c>
      <c r="B584" s="22" t="s">
        <v>297</v>
      </c>
      <c r="H584" s="11" t="s">
        <v>156</v>
      </c>
      <c r="I584" s="11" t="s">
        <v>303</v>
      </c>
      <c r="K584" s="35">
        <v>0</v>
      </c>
      <c r="L584" s="12">
        <v>82025</v>
      </c>
      <c r="M584" s="11" t="str">
        <f>LEFT(I584,(LEN(LEFT(I584,FIND(";",I584)))-8))</f>
        <v>VNBG</v>
      </c>
      <c r="N584" s="11"/>
      <c r="O584" s="4">
        <f>IF($M584=O$3,-$K584,0)</f>
        <v>0</v>
      </c>
      <c r="P584" s="4">
        <f>IF($M584=P$3,-$K584,0)</f>
        <v>0</v>
      </c>
      <c r="Q584" s="4">
        <f>IF($M584=Q$3,-$K584,0)</f>
        <v>0</v>
      </c>
      <c r="R584" s="4">
        <f>IF($M584=R$3,-$K584,0)</f>
        <v>0</v>
      </c>
      <c r="S584" s="4">
        <f>IF($M584=S$3,-$K584,0)</f>
        <v>0</v>
      </c>
      <c r="T584" s="4">
        <f>IF($M584=T$3,-$K584,0)</f>
        <v>0</v>
      </c>
      <c r="U584" s="4">
        <f>IF($M584=U$3,-$K584,0)</f>
        <v>0</v>
      </c>
      <c r="V584" s="4">
        <f>IF($M584=V$3,-$K584,0)</f>
        <v>0</v>
      </c>
      <c r="W584" s="4">
        <f>IF($M584=W$3,-$K584,0)</f>
        <v>0</v>
      </c>
      <c r="X584" s="4">
        <f>IF($M584=X$3,-$K584,0)</f>
        <v>0</v>
      </c>
      <c r="Y584" s="4">
        <f>IF($M584=Y$3,-$K584,0)</f>
        <v>0</v>
      </c>
      <c r="Z584" s="4">
        <f>IF($M584=Z$3,-$K584,0)</f>
        <v>0</v>
      </c>
      <c r="AA584" s="4">
        <f>IF($M584=AA$3,-$K584,0)</f>
        <v>0</v>
      </c>
      <c r="AB584" s="4">
        <f>IF($M584=AB$3,-$K584,0)</f>
        <v>0</v>
      </c>
      <c r="AC584" s="10">
        <f>IF($M584=AC$3,-$K584,0)</f>
        <v>0</v>
      </c>
      <c r="AD584" s="9"/>
      <c r="AE584" s="8"/>
      <c r="AF584" s="4"/>
      <c r="AG584" s="4"/>
      <c r="AH584" s="2">
        <f>K584+SUM(O584:AC584)</f>
        <v>0</v>
      </c>
      <c r="AI584" s="2">
        <f>K584+SUM(AF584:AG584)</f>
        <v>0</v>
      </c>
    </row>
    <row r="585" spans="1:35" x14ac:dyDescent="0.2">
      <c r="A585" s="23" t="s">
        <v>3</v>
      </c>
      <c r="B585" s="22" t="s">
        <v>297</v>
      </c>
      <c r="H585" s="11" t="s">
        <v>19</v>
      </c>
      <c r="I585" s="11" t="s">
        <v>302</v>
      </c>
      <c r="K585" s="35">
        <v>-4564352</v>
      </c>
      <c r="L585" s="12">
        <v>82025</v>
      </c>
      <c r="M585" s="11" t="str">
        <f>LEFT(I585,(LEN(LEFT(I585,FIND(";",I585)))-8))</f>
        <v>VNQN</v>
      </c>
      <c r="N585" s="11"/>
      <c r="O585" s="4">
        <f>IF($M585=O$3,-$K585,0)</f>
        <v>0</v>
      </c>
      <c r="P585" s="4">
        <f>IF($M585=P$3,-$K585,0)</f>
        <v>0</v>
      </c>
      <c r="Q585" s="4">
        <f>IF($M585=Q$3,-$K585,0)</f>
        <v>0</v>
      </c>
      <c r="R585" s="4">
        <f>IF($M585=R$3,-$K585,0)</f>
        <v>0</v>
      </c>
      <c r="S585" s="4">
        <f>IF($M585=S$3,-$K585,0)</f>
        <v>0</v>
      </c>
      <c r="T585" s="4">
        <f>IF($M585=T$3,-$K585,0)</f>
        <v>4564352</v>
      </c>
      <c r="U585" s="4">
        <f>IF($M585=U$3,-$K585,0)</f>
        <v>0</v>
      </c>
      <c r="V585" s="4">
        <f>IF($M585=V$3,-$K585,0)</f>
        <v>0</v>
      </c>
      <c r="W585" s="4">
        <f>IF($M585=W$3,-$K585,0)</f>
        <v>0</v>
      </c>
      <c r="X585" s="4">
        <f>IF($M585=X$3,-$K585,0)</f>
        <v>0</v>
      </c>
      <c r="Y585" s="4">
        <f>IF($M585=Y$3,-$K585,0)</f>
        <v>0</v>
      </c>
      <c r="Z585" s="4">
        <f>IF($M585=Z$3,-$K585,0)</f>
        <v>0</v>
      </c>
      <c r="AA585" s="4">
        <f>IF($M585=AA$3,-$K585,0)</f>
        <v>0</v>
      </c>
      <c r="AB585" s="4">
        <f>IF($M585=AB$3,-$K585,0)</f>
        <v>0</v>
      </c>
      <c r="AC585" s="10">
        <f>IF($M585=AC$3,-$K585,0)</f>
        <v>0</v>
      </c>
      <c r="AD585" s="9"/>
      <c r="AE585" s="8"/>
      <c r="AF585" s="4"/>
      <c r="AG585" s="4">
        <f>-$K585</f>
        <v>4564352</v>
      </c>
      <c r="AH585" s="2">
        <f>K585+SUM(O585:AC585)</f>
        <v>0</v>
      </c>
      <c r="AI585" s="2">
        <f>K585+SUM(AF585:AG585)</f>
        <v>0</v>
      </c>
    </row>
    <row r="586" spans="1:35" x14ac:dyDescent="0.2">
      <c r="A586" s="23" t="s">
        <v>3</v>
      </c>
      <c r="B586" s="22" t="s">
        <v>297</v>
      </c>
      <c r="H586" s="11" t="s">
        <v>153</v>
      </c>
      <c r="I586" s="11" t="s">
        <v>301</v>
      </c>
      <c r="K586" s="35">
        <v>0</v>
      </c>
      <c r="L586" s="12">
        <v>82025</v>
      </c>
      <c r="M586" s="11" t="str">
        <f>LEFT(I586,(LEN(LEFT(I586,FIND(";",I586)))-8))</f>
        <v>VNBN</v>
      </c>
      <c r="N586" s="11"/>
      <c r="O586" s="4">
        <f>IF($M586=O$3,-$K586,0)</f>
        <v>0</v>
      </c>
      <c r="P586" s="4">
        <f>IF($M586=P$3,-$K586,0)</f>
        <v>0</v>
      </c>
      <c r="Q586" s="4">
        <f>IF($M586=Q$3,-$K586,0)</f>
        <v>0</v>
      </c>
      <c r="R586" s="4">
        <f>IF($M586=R$3,-$K586,0)</f>
        <v>0</v>
      </c>
      <c r="S586" s="4">
        <f>IF($M586=S$3,-$K586,0)</f>
        <v>0</v>
      </c>
      <c r="T586" s="4">
        <f>IF($M586=T$3,-$K586,0)</f>
        <v>0</v>
      </c>
      <c r="U586" s="4">
        <f>IF($M586=U$3,-$K586,0)</f>
        <v>0</v>
      </c>
      <c r="V586" s="4">
        <f>IF($M586=V$3,-$K586,0)</f>
        <v>0</v>
      </c>
      <c r="W586" s="4">
        <f>IF($M586=W$3,-$K586,0)</f>
        <v>0</v>
      </c>
      <c r="X586" s="4">
        <f>IF($M586=X$3,-$K586,0)</f>
        <v>0</v>
      </c>
      <c r="Y586" s="4">
        <f>IF($M586=Y$3,-$K586,0)</f>
        <v>0</v>
      </c>
      <c r="Z586" s="4">
        <f>IF($M586=Z$3,-$K586,0)</f>
        <v>0</v>
      </c>
      <c r="AA586" s="4">
        <f>IF($M586=AA$3,-$K586,0)</f>
        <v>0</v>
      </c>
      <c r="AB586" s="4">
        <f>IF($M586=AB$3,-$K586,0)</f>
        <v>0</v>
      </c>
      <c r="AC586" s="10">
        <f>IF($M586=AC$3,-$K586,0)</f>
        <v>0</v>
      </c>
      <c r="AD586" s="9"/>
      <c r="AE586" s="8"/>
      <c r="AF586" s="4"/>
      <c r="AG586" s="4"/>
      <c r="AH586" s="2">
        <f>K586+SUM(O586:AC586)</f>
        <v>0</v>
      </c>
      <c r="AI586" s="2">
        <f>K586+SUM(AF586:AG586)</f>
        <v>0</v>
      </c>
    </row>
    <row r="587" spans="1:35" x14ac:dyDescent="0.2">
      <c r="A587" s="23" t="s">
        <v>3</v>
      </c>
      <c r="B587" s="22" t="s">
        <v>297</v>
      </c>
      <c r="H587" s="11" t="s">
        <v>151</v>
      </c>
      <c r="I587" s="11" t="s">
        <v>300</v>
      </c>
      <c r="K587" s="35">
        <v>0</v>
      </c>
      <c r="L587" s="12">
        <v>82025</v>
      </c>
      <c r="M587" s="11" t="str">
        <f>LEFT(I587,(LEN(LEFT(I587,FIND(";",I587)))-8))</f>
        <v>VNQN</v>
      </c>
      <c r="N587" s="11"/>
      <c r="O587" s="4">
        <f>IF($M587=O$3,-$K587,0)</f>
        <v>0</v>
      </c>
      <c r="P587" s="4">
        <f>IF($M587=P$3,-$K587,0)</f>
        <v>0</v>
      </c>
      <c r="Q587" s="4">
        <f>IF($M587=Q$3,-$K587,0)</f>
        <v>0</v>
      </c>
      <c r="R587" s="4">
        <f>IF($M587=R$3,-$K587,0)</f>
        <v>0</v>
      </c>
      <c r="S587" s="4">
        <f>IF($M587=S$3,-$K587,0)</f>
        <v>0</v>
      </c>
      <c r="T587" s="4">
        <f>IF($M587=T$3,-$K587,0)</f>
        <v>0</v>
      </c>
      <c r="U587" s="4">
        <f>IF($M587=U$3,-$K587,0)</f>
        <v>0</v>
      </c>
      <c r="V587" s="4">
        <f>IF($M587=V$3,-$K587,0)</f>
        <v>0</v>
      </c>
      <c r="W587" s="4">
        <f>IF($M587=W$3,-$K587,0)</f>
        <v>0</v>
      </c>
      <c r="X587" s="4">
        <f>IF($M587=X$3,-$K587,0)</f>
        <v>0</v>
      </c>
      <c r="Y587" s="4">
        <f>IF($M587=Y$3,-$K587,0)</f>
        <v>0</v>
      </c>
      <c r="Z587" s="4">
        <f>IF($M587=Z$3,-$K587,0)</f>
        <v>0</v>
      </c>
      <c r="AA587" s="4">
        <f>IF($M587=AA$3,-$K587,0)</f>
        <v>0</v>
      </c>
      <c r="AB587" s="4">
        <f>IF($M587=AB$3,-$K587,0)</f>
        <v>0</v>
      </c>
      <c r="AC587" s="10">
        <f>IF($M587=AC$3,-$K587,0)</f>
        <v>0</v>
      </c>
      <c r="AD587" s="9"/>
      <c r="AE587" s="8"/>
      <c r="AF587" s="4"/>
      <c r="AG587" s="4">
        <f>-$K587</f>
        <v>0</v>
      </c>
      <c r="AH587" s="2">
        <f>K587+SUM(O587:AC587)</f>
        <v>0</v>
      </c>
      <c r="AI587" s="2">
        <f>K587+SUM(AF587:AG587)</f>
        <v>0</v>
      </c>
    </row>
    <row r="588" spans="1:35" x14ac:dyDescent="0.2">
      <c r="A588" s="23" t="s">
        <v>3</v>
      </c>
      <c r="B588" s="22" t="s">
        <v>297</v>
      </c>
      <c r="H588" s="11" t="s">
        <v>76</v>
      </c>
      <c r="I588" s="11" t="s">
        <v>299</v>
      </c>
      <c r="K588" s="35">
        <v>0</v>
      </c>
      <c r="L588" s="12">
        <v>82025</v>
      </c>
      <c r="M588" s="11" t="str">
        <f>LEFT(I588,(LEN(LEFT(I588,FIND(";",I588)))-8))</f>
        <v>VNMOET</v>
      </c>
      <c r="N588" s="11"/>
      <c r="O588" s="4">
        <f>IF($M588=O$3,-$K588,0)</f>
        <v>0</v>
      </c>
      <c r="P588" s="4">
        <f>IF($M588=P$3,-$K588,0)</f>
        <v>0</v>
      </c>
      <c r="Q588" s="4">
        <f>IF($M588=Q$3,-$K588,0)</f>
        <v>0</v>
      </c>
      <c r="R588" s="4">
        <f>IF($M588=R$3,-$K588,0)</f>
        <v>0</v>
      </c>
      <c r="S588" s="4">
        <f>IF($M588=S$3,-$K588,0)</f>
        <v>0</v>
      </c>
      <c r="T588" s="4">
        <f>IF($M588=T$3,-$K588,0)</f>
        <v>0</v>
      </c>
      <c r="U588" s="4">
        <f>IF($M588=U$3,-$K588,0)</f>
        <v>0</v>
      </c>
      <c r="V588" s="4">
        <f>IF($M588=V$3,-$K588,0)</f>
        <v>0</v>
      </c>
      <c r="W588" s="4">
        <f>IF($M588=W$3,-$K588,0)</f>
        <v>0</v>
      </c>
      <c r="X588" s="4">
        <f>IF($M588=X$3,-$K588,0)</f>
        <v>0</v>
      </c>
      <c r="Y588" s="4">
        <f>IF($M588=Y$3,-$K588,0)</f>
        <v>0</v>
      </c>
      <c r="Z588" s="4">
        <f>IF($M588=Z$3,-$K588,0)</f>
        <v>0</v>
      </c>
      <c r="AA588" s="4">
        <f>IF($M588=AA$3,-$K588,0)</f>
        <v>0</v>
      </c>
      <c r="AB588" s="4">
        <f>IF($M588=AB$3,-$K588,0)</f>
        <v>0</v>
      </c>
      <c r="AC588" s="10">
        <f>IF($M588=AC$3,-$K588,0)</f>
        <v>0</v>
      </c>
      <c r="AD588" s="9"/>
      <c r="AE588" s="8"/>
      <c r="AF588" s="4">
        <f>-$K588</f>
        <v>0</v>
      </c>
      <c r="AG588" s="4"/>
      <c r="AH588" s="2">
        <f>K588+SUM(O588:AC588)</f>
        <v>0</v>
      </c>
      <c r="AI588" s="2">
        <f>K588+SUM(AF588:AG588)</f>
        <v>0</v>
      </c>
    </row>
    <row r="589" spans="1:35" x14ac:dyDescent="0.2">
      <c r="A589" s="23" t="s">
        <v>3</v>
      </c>
      <c r="B589" s="22" t="s">
        <v>297</v>
      </c>
      <c r="H589" s="11" t="s">
        <v>17</v>
      </c>
      <c r="I589" s="11" t="s">
        <v>298</v>
      </c>
      <c r="K589" s="35">
        <v>-3604352</v>
      </c>
      <c r="L589" s="12">
        <v>82025</v>
      </c>
      <c r="M589" s="11" t="str">
        <f>LEFT(I589,(LEN(LEFT(I589,FIND(";",I589)))-8))</f>
        <v>VNQN</v>
      </c>
      <c r="N589" s="11"/>
      <c r="O589" s="4">
        <f>IF($M589=O$3,-$K589,0)</f>
        <v>0</v>
      </c>
      <c r="P589" s="4">
        <f>IF($M589=P$3,-$K589,0)</f>
        <v>0</v>
      </c>
      <c r="Q589" s="4">
        <f>IF($M589=Q$3,-$K589,0)</f>
        <v>0</v>
      </c>
      <c r="R589" s="4">
        <f>IF($M589=R$3,-$K589,0)</f>
        <v>0</v>
      </c>
      <c r="S589" s="4">
        <f>IF($M589=S$3,-$K589,0)</f>
        <v>0</v>
      </c>
      <c r="T589" s="4">
        <f>IF($M589=T$3,-$K589,0)</f>
        <v>3604352</v>
      </c>
      <c r="U589" s="4">
        <f>IF($M589=U$3,-$K589,0)</f>
        <v>0</v>
      </c>
      <c r="V589" s="4">
        <f>IF($M589=V$3,-$K589,0)</f>
        <v>0</v>
      </c>
      <c r="W589" s="4">
        <f>IF($M589=W$3,-$K589,0)</f>
        <v>0</v>
      </c>
      <c r="X589" s="4">
        <f>IF($M589=X$3,-$K589,0)</f>
        <v>0</v>
      </c>
      <c r="Y589" s="4">
        <f>IF($M589=Y$3,-$K589,0)</f>
        <v>0</v>
      </c>
      <c r="Z589" s="4">
        <f>IF($M589=Z$3,-$K589,0)</f>
        <v>0</v>
      </c>
      <c r="AA589" s="4">
        <f>IF($M589=AA$3,-$K589,0)</f>
        <v>0</v>
      </c>
      <c r="AB589" s="4">
        <f>IF($M589=AB$3,-$K589,0)</f>
        <v>0</v>
      </c>
      <c r="AC589" s="10">
        <f>IF($M589=AC$3,-$K589,0)</f>
        <v>0</v>
      </c>
      <c r="AD589" s="9"/>
      <c r="AE589" s="8"/>
      <c r="AF589" s="4"/>
      <c r="AG589" s="4">
        <f>-$K589</f>
        <v>3604352</v>
      </c>
      <c r="AH589" s="2">
        <f>K589+SUM(O589:AC589)</f>
        <v>0</v>
      </c>
      <c r="AI589" s="2">
        <f>K589+SUM(AF589:AG589)</f>
        <v>0</v>
      </c>
    </row>
    <row r="590" spans="1:35" x14ac:dyDescent="0.2">
      <c r="A590" s="23" t="s">
        <v>3</v>
      </c>
      <c r="B590" s="22" t="s">
        <v>297</v>
      </c>
      <c r="H590" s="11" t="s">
        <v>11</v>
      </c>
      <c r="I590" s="11" t="s">
        <v>296</v>
      </c>
      <c r="K590" s="35">
        <v>-3976000</v>
      </c>
      <c r="L590" s="12">
        <v>82025</v>
      </c>
      <c r="M590" s="11" t="str">
        <f>LEFT(I590,(LEN(LEFT(I590,FIND(";",I590)))-8))</f>
        <v>VNQN</v>
      </c>
      <c r="N590" s="11"/>
      <c r="O590" s="4">
        <f>IF($M590=O$3,-$K590,0)</f>
        <v>0</v>
      </c>
      <c r="P590" s="4">
        <f>IF($M590=P$3,-$K590,0)</f>
        <v>0</v>
      </c>
      <c r="Q590" s="4">
        <f>IF($M590=Q$3,-$K590,0)</f>
        <v>0</v>
      </c>
      <c r="R590" s="4">
        <f>IF($M590=R$3,-$K590,0)</f>
        <v>0</v>
      </c>
      <c r="S590" s="4">
        <f>IF($M590=S$3,-$K590,0)</f>
        <v>0</v>
      </c>
      <c r="T590" s="4">
        <f>IF($M590=T$3,-$K590,0)</f>
        <v>3976000</v>
      </c>
      <c r="U590" s="4">
        <f>IF($M590=U$3,-$K590,0)</f>
        <v>0</v>
      </c>
      <c r="V590" s="4">
        <f>IF($M590=V$3,-$K590,0)</f>
        <v>0</v>
      </c>
      <c r="W590" s="4">
        <f>IF($M590=W$3,-$K590,0)</f>
        <v>0</v>
      </c>
      <c r="X590" s="4">
        <f>IF($M590=X$3,-$K590,0)</f>
        <v>0</v>
      </c>
      <c r="Y590" s="4">
        <f>IF($M590=Y$3,-$K590,0)</f>
        <v>0</v>
      </c>
      <c r="Z590" s="4">
        <f>IF($M590=Z$3,-$K590,0)</f>
        <v>0</v>
      </c>
      <c r="AA590" s="4">
        <f>IF($M590=AA$3,-$K590,0)</f>
        <v>0</v>
      </c>
      <c r="AB590" s="4">
        <f>IF($M590=AB$3,-$K590,0)</f>
        <v>0</v>
      </c>
      <c r="AC590" s="10">
        <f>IF($M590=AC$3,-$K590,0)</f>
        <v>0</v>
      </c>
      <c r="AD590" s="9"/>
      <c r="AE590" s="8"/>
      <c r="AF590" s="4"/>
      <c r="AG590" s="4">
        <f>-$K590</f>
        <v>3976000</v>
      </c>
      <c r="AH590" s="2">
        <f>K590+SUM(O590:AC590)</f>
        <v>0</v>
      </c>
      <c r="AI590" s="2">
        <f>K590+SUM(AF590:AG590)</f>
        <v>0</v>
      </c>
    </row>
    <row r="591" spans="1:35" s="25" customFormat="1" x14ac:dyDescent="0.2">
      <c r="A591" s="30" t="s">
        <v>99</v>
      </c>
      <c r="B591" s="33"/>
      <c r="H591" s="30"/>
      <c r="I591" s="30"/>
      <c r="K591" s="32"/>
      <c r="L591" s="31"/>
      <c r="M591" s="30"/>
      <c r="N591" s="30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9"/>
      <c r="AD591" s="28"/>
      <c r="AE591" s="27"/>
      <c r="AF591" s="26"/>
      <c r="AG591" s="26"/>
      <c r="AH591" s="26"/>
      <c r="AI591" s="2">
        <f>K591+SUM(AF591:AG591)</f>
        <v>0</v>
      </c>
    </row>
    <row r="592" spans="1:35" x14ac:dyDescent="0.2">
      <c r="A592" s="11" t="s">
        <v>61</v>
      </c>
      <c r="B592" s="22" t="s">
        <v>264</v>
      </c>
      <c r="H592" s="11" t="s">
        <v>135</v>
      </c>
      <c r="I592" s="11" t="s">
        <v>295</v>
      </c>
      <c r="K592" s="13">
        <v>-48096056</v>
      </c>
      <c r="L592" s="12">
        <v>92025</v>
      </c>
      <c r="M592" s="11" t="str">
        <f>LEFT(I592,(LEN(LEFT(I592,FIND(";",I592)))-8))</f>
        <v>VNOther</v>
      </c>
      <c r="N592" s="11"/>
      <c r="O592" s="15">
        <f>-$K592*IFERROR(INDEX('[1]salary allocation-v2'!$E$6:$J$22,MATCH($H592,'[1]salary allocation-v2'!$D$6:$D$22,0),MATCH(O$3,'[1]salary allocation-v2'!$E$3:$J$3,0)),0)</f>
        <v>0</v>
      </c>
      <c r="P592" s="15">
        <f>-$K592*IFERROR(INDEX('[1]salary allocation-v2'!$E$6:$J$22,MATCH($H592,'[1]salary allocation-v2'!$D$6:$D$22,0),MATCH(P$3,'[1]salary allocation-v2'!$E$3:$J$3,0)),0)</f>
        <v>0</v>
      </c>
      <c r="Q592" s="15">
        <f>-$K592*IFERROR(INDEX('[1]salary allocation-v2'!$E$6:$J$22,MATCH($H592,'[1]salary allocation-v2'!$D$6:$D$22,0),MATCH(Q$3,'[1]salary allocation-v2'!$E$3:$J$3,0)),0)</f>
        <v>0</v>
      </c>
      <c r="R592" s="15">
        <f>-$K592*IFERROR(INDEX('[1]salary allocation-v2'!$E$6:$J$22,MATCH($H592,'[1]salary allocation-v2'!$D$6:$D$22,0),MATCH(R$3,'[1]salary allocation-v2'!$E$3:$J$3,0)),0)</f>
        <v>0</v>
      </c>
      <c r="S592" s="15">
        <f>-$K592*IFERROR(INDEX('[1]salary allocation-v2'!$E$6:$J$22,MATCH($H592,'[1]salary allocation-v2'!$D$6:$D$22,0),MATCH(S$3,'[1]salary allocation-v2'!$E$3:$J$3,0)),0)</f>
        <v>4809605.6000000006</v>
      </c>
      <c r="T592" s="15">
        <f>-$K592*IFERROR(INDEX('[1]salary allocation-v2'!$E$6:$J$22,MATCH($H592,'[1]salary allocation-v2'!$D$6:$D$22,0),MATCH(T$3,'[1]salary allocation-v2'!$E$3:$J$3,0)),0)</f>
        <v>4809605.6000000006</v>
      </c>
      <c r="U592" s="15">
        <f>-$K592*IFERROR(INDEX('[1]salary allocation-v2'!$E$6:$J$22,MATCH($H592,'[1]salary allocation-v2'!$D$6:$D$22,0),MATCH(U$3,'[1]salary allocation-v2'!$E$3:$J$3,0)),0)</f>
        <v>4809605.6000000006</v>
      </c>
      <c r="V592" s="15">
        <f>-$K592*IFERROR(INDEX('[1]salary allocation-v2'!$E$6:$J$22,MATCH($H592,'[1]salary allocation-v2'!$D$6:$D$22,0),MATCH(V$3,'[1]salary allocation-v2'!$E$3:$J$3,0)),0)</f>
        <v>0</v>
      </c>
      <c r="W592" s="15">
        <f>-$K592*IFERROR(INDEX('[1]salary allocation-v2'!$E$6:$J$22,MATCH($H592,'[1]salary allocation-v2'!$D$6:$D$22,0),MATCH(W$3,'[1]salary allocation-v2'!$E$3:$J$3,0)),0)</f>
        <v>33667239.199999996</v>
      </c>
      <c r="X592" s="15">
        <f>-$K592*IFERROR(INDEX('[1]salary allocation-v2'!$E$6:$J$22,MATCH($H592,'[1]salary allocation-v2'!$D$6:$D$22,0),MATCH(X$3,'[1]salary allocation-v2'!$E$3:$J$3,0)),0)</f>
        <v>0</v>
      </c>
      <c r="Y592" s="15">
        <f>-$K592*IFERROR(INDEX('[1]salary allocation-v2'!$E$6:$J$22,MATCH($H592,'[1]salary allocation-v2'!$D$6:$D$22,0),MATCH(Y$3,'[1]salary allocation-v2'!$E$3:$J$3,0)),0)</f>
        <v>0</v>
      </c>
      <c r="Z592" s="15">
        <f>-$K592*IFERROR(INDEX('[1]salary allocation-v2'!$E$6:$J$22,MATCH($H592,'[1]salary allocation-v2'!$D$6:$D$22,0),MATCH(Z$3,'[1]salary allocation-v2'!$E$3:$J$3,0)),0)</f>
        <v>0</v>
      </c>
      <c r="AA592" s="15">
        <f>-$K592*IFERROR(INDEX('[1]salary allocation-v2'!$E$6:$J$22,MATCH($H592,'[1]salary allocation-v2'!$D$6:$D$22,0),MATCH(AA$3,'[1]salary allocation-v2'!$E$3:$J$3,0)),0)</f>
        <v>0</v>
      </c>
      <c r="AB592" s="15">
        <f>-$K592*IFERROR(INDEX('[1]salary allocation-v2'!$E$6:$J$22,MATCH($H592,'[1]salary allocation-v2'!$D$6:$D$22,0),MATCH(AB$3,'[1]salary allocation-v2'!$E$3:$J$3,0)),0)</f>
        <v>0</v>
      </c>
      <c r="AC592" s="18">
        <f>-$K592*IFERROR(INDEX('[1]salary allocation-v2'!$E$6:$J$22,MATCH($H592,'[1]salary allocation-v2'!$D$6:$D$22,0),MATCH(AC$3,'[1]salary allocation-v2'!$E$3:$J$3,0)),0)</f>
        <v>0</v>
      </c>
      <c r="AD592" s="17"/>
      <c r="AE592" s="16"/>
      <c r="AF592" s="15">
        <f>-$K592</f>
        <v>48096056</v>
      </c>
      <c r="AG592" s="15"/>
      <c r="AH592" s="2">
        <f>K592+SUM(O592:AC592)</f>
        <v>0</v>
      </c>
      <c r="AI592" s="2">
        <f>K592+SUM(AF592:AG592)</f>
        <v>0</v>
      </c>
    </row>
    <row r="593" spans="1:35" x14ac:dyDescent="0.2">
      <c r="A593" s="11" t="s">
        <v>61</v>
      </c>
      <c r="B593" s="22" t="s">
        <v>264</v>
      </c>
      <c r="H593" s="11" t="s">
        <v>57</v>
      </c>
      <c r="I593" s="11" t="s">
        <v>294</v>
      </c>
      <c r="K593" s="13">
        <v>-20049119</v>
      </c>
      <c r="L593" s="12">
        <v>92025</v>
      </c>
      <c r="M593" s="11" t="str">
        <f>LEFT(I593,(LEN(LEFT(I593,FIND(";",I593)))-8))</f>
        <v>VNOther</v>
      </c>
      <c r="N593" s="11"/>
      <c r="O593" s="15">
        <f>-$K593*IFERROR(INDEX('[1]salary allocation-v2'!$E$6:$J$22,MATCH($H593,'[1]salary allocation-v2'!$D$6:$D$22,0),MATCH(O$3,'[1]salary allocation-v2'!$E$3:$J$3,0)),0)</f>
        <v>0</v>
      </c>
      <c r="P593" s="15">
        <f>-$K593*IFERROR(INDEX('[1]salary allocation-v2'!$E$6:$J$22,MATCH($H593,'[1]salary allocation-v2'!$D$6:$D$22,0),MATCH(P$3,'[1]salary allocation-v2'!$E$3:$J$3,0)),0)</f>
        <v>10024559.5</v>
      </c>
      <c r="Q593" s="15">
        <f>-$K593*IFERROR(INDEX('[1]salary allocation-v2'!$E$6:$J$22,MATCH($H593,'[1]salary allocation-v2'!$D$6:$D$22,0),MATCH(Q$3,'[1]salary allocation-v2'!$E$3:$J$3,0)),0)</f>
        <v>0</v>
      </c>
      <c r="R593" s="15">
        <f>-$K593*IFERROR(INDEX('[1]salary allocation-v2'!$E$6:$J$22,MATCH($H593,'[1]salary allocation-v2'!$D$6:$D$22,0),MATCH(R$3,'[1]salary allocation-v2'!$E$3:$J$3,0)),0)</f>
        <v>0</v>
      </c>
      <c r="S593" s="15">
        <f>-$K593*IFERROR(INDEX('[1]salary allocation-v2'!$E$6:$J$22,MATCH($H593,'[1]salary allocation-v2'!$D$6:$D$22,0),MATCH(S$3,'[1]salary allocation-v2'!$E$3:$J$3,0)),0)</f>
        <v>2004911.9000000001</v>
      </c>
      <c r="T593" s="15">
        <f>-$K593*IFERROR(INDEX('[1]salary allocation-v2'!$E$6:$J$22,MATCH($H593,'[1]salary allocation-v2'!$D$6:$D$22,0),MATCH(T$3,'[1]salary allocation-v2'!$E$3:$J$3,0)),0)</f>
        <v>2004911.9000000001</v>
      </c>
      <c r="U593" s="15">
        <f>-$K593*IFERROR(INDEX('[1]salary allocation-v2'!$E$6:$J$22,MATCH($H593,'[1]salary allocation-v2'!$D$6:$D$22,0),MATCH(U$3,'[1]salary allocation-v2'!$E$3:$J$3,0)),0)</f>
        <v>2004911.9000000001</v>
      </c>
      <c r="V593" s="15">
        <f>-$K593*IFERROR(INDEX('[1]salary allocation-v2'!$E$6:$J$22,MATCH($H593,'[1]salary allocation-v2'!$D$6:$D$22,0),MATCH(V$3,'[1]salary allocation-v2'!$E$3:$J$3,0)),0)</f>
        <v>0</v>
      </c>
      <c r="W593" s="15">
        <f>-$K593*IFERROR(INDEX('[1]salary allocation-v2'!$E$6:$J$22,MATCH($H593,'[1]salary allocation-v2'!$D$6:$D$22,0),MATCH(W$3,'[1]salary allocation-v2'!$E$3:$J$3,0)),0)</f>
        <v>4009823.8000000003</v>
      </c>
      <c r="X593" s="15">
        <f>-$K593*IFERROR(INDEX('[1]salary allocation-v2'!$E$6:$J$22,MATCH($H593,'[1]salary allocation-v2'!$D$6:$D$22,0),MATCH(X$3,'[1]salary allocation-v2'!$E$3:$J$3,0)),0)</f>
        <v>0</v>
      </c>
      <c r="Y593" s="15">
        <f>-$K593*IFERROR(INDEX('[1]salary allocation-v2'!$E$6:$J$22,MATCH($H593,'[1]salary allocation-v2'!$D$6:$D$22,0),MATCH(Y$3,'[1]salary allocation-v2'!$E$3:$J$3,0)),0)</f>
        <v>0</v>
      </c>
      <c r="Z593" s="15">
        <f>-$K593*IFERROR(INDEX('[1]salary allocation-v2'!$E$6:$J$22,MATCH($H593,'[1]salary allocation-v2'!$D$6:$D$22,0),MATCH(Z$3,'[1]salary allocation-v2'!$E$3:$J$3,0)),0)</f>
        <v>0</v>
      </c>
      <c r="AA593" s="15">
        <f>-$K593*IFERROR(INDEX('[1]salary allocation-v2'!$E$6:$J$22,MATCH($H593,'[1]salary allocation-v2'!$D$6:$D$22,0),MATCH(AA$3,'[1]salary allocation-v2'!$E$3:$J$3,0)),0)</f>
        <v>0</v>
      </c>
      <c r="AB593" s="15">
        <f>-$K593*IFERROR(INDEX('[1]salary allocation-v2'!$E$6:$J$22,MATCH($H593,'[1]salary allocation-v2'!$D$6:$D$22,0),MATCH(AB$3,'[1]salary allocation-v2'!$E$3:$J$3,0)),0)</f>
        <v>0</v>
      </c>
      <c r="AC593" s="18">
        <f>-$K593*IFERROR(INDEX('[1]salary allocation-v2'!$E$6:$J$22,MATCH($H593,'[1]salary allocation-v2'!$D$6:$D$22,0),MATCH(AC$3,'[1]salary allocation-v2'!$E$3:$J$3,0)),0)</f>
        <v>0</v>
      </c>
      <c r="AD593" s="17"/>
      <c r="AE593" s="16"/>
      <c r="AF593" s="15">
        <f>-$K593</f>
        <v>20049119</v>
      </c>
      <c r="AG593" s="15"/>
      <c r="AH593" s="2">
        <f>K593+SUM(O593:AC593)</f>
        <v>0</v>
      </c>
      <c r="AI593" s="2">
        <f>K593+SUM(AF593:AG593)</f>
        <v>0</v>
      </c>
    </row>
    <row r="594" spans="1:35" x14ac:dyDescent="0.2">
      <c r="A594" s="11" t="s">
        <v>61</v>
      </c>
      <c r="B594" s="22" t="s">
        <v>264</v>
      </c>
      <c r="H594" s="11" t="s">
        <v>55</v>
      </c>
      <c r="I594" s="11" t="s">
        <v>293</v>
      </c>
      <c r="K594" s="13">
        <v>-8730008</v>
      </c>
      <c r="L594" s="12">
        <v>92025</v>
      </c>
      <c r="M594" s="11" t="str">
        <f>LEFT(I594,(LEN(LEFT(I594,FIND(";",I594)))-8))</f>
        <v>VNHBC</v>
      </c>
      <c r="N594" s="11"/>
      <c r="O594" s="15">
        <f>-$K594*IFERROR(INDEX('[1]salary allocation-v2'!$E$6:$J$22,MATCH($H594,'[1]salary allocation-v2'!$D$6:$D$22,0),MATCH(O$3,'[1]salary allocation-v2'!$E$3:$J$3,0)),0)</f>
        <v>0</v>
      </c>
      <c r="P594" s="15">
        <f>-$K594*IFERROR(INDEX('[1]salary allocation-v2'!$E$6:$J$22,MATCH($H594,'[1]salary allocation-v2'!$D$6:$D$22,0),MATCH(P$3,'[1]salary allocation-v2'!$E$3:$J$3,0)),0)</f>
        <v>0</v>
      </c>
      <c r="Q594" s="15">
        <f>-$K594*IFERROR(INDEX('[1]salary allocation-v2'!$E$6:$J$22,MATCH($H594,'[1]salary allocation-v2'!$D$6:$D$22,0),MATCH(Q$3,'[1]salary allocation-v2'!$E$3:$J$3,0)),0)</f>
        <v>0</v>
      </c>
      <c r="R594" s="15">
        <f>-$K594*IFERROR(INDEX('[1]salary allocation-v2'!$E$6:$J$22,MATCH($H594,'[1]salary allocation-v2'!$D$6:$D$22,0),MATCH(R$3,'[1]salary allocation-v2'!$E$3:$J$3,0)),0)</f>
        <v>0</v>
      </c>
      <c r="S594" s="15">
        <f>-$K594*IFERROR(INDEX('[1]salary allocation-v2'!$E$6:$J$22,MATCH($H594,'[1]salary allocation-v2'!$D$6:$D$22,0),MATCH(S$3,'[1]salary allocation-v2'!$E$3:$J$3,0)),0)</f>
        <v>1746001.6</v>
      </c>
      <c r="T594" s="15">
        <f>-$K594*IFERROR(INDEX('[1]salary allocation-v2'!$E$6:$J$22,MATCH($H594,'[1]salary allocation-v2'!$D$6:$D$22,0),MATCH(T$3,'[1]salary allocation-v2'!$E$3:$J$3,0)),0)</f>
        <v>1746001.6</v>
      </c>
      <c r="U594" s="15">
        <f>-$K594*IFERROR(INDEX('[1]salary allocation-v2'!$E$6:$J$22,MATCH($H594,'[1]salary allocation-v2'!$D$6:$D$22,0),MATCH(U$3,'[1]salary allocation-v2'!$E$3:$J$3,0)),0)</f>
        <v>1746001.6</v>
      </c>
      <c r="V594" s="15">
        <f>-$K594*IFERROR(INDEX('[1]salary allocation-v2'!$E$6:$J$22,MATCH($H594,'[1]salary allocation-v2'!$D$6:$D$22,0),MATCH(V$3,'[1]salary allocation-v2'!$E$3:$J$3,0)),0)</f>
        <v>0</v>
      </c>
      <c r="W594" s="15">
        <f>-$K594*IFERROR(INDEX('[1]salary allocation-v2'!$E$6:$J$22,MATCH($H594,'[1]salary allocation-v2'!$D$6:$D$22,0),MATCH(W$3,'[1]salary allocation-v2'!$E$3:$J$3,0)),0)</f>
        <v>3492003.2</v>
      </c>
      <c r="X594" s="15">
        <f>-$K594*IFERROR(INDEX('[1]salary allocation-v2'!$E$6:$J$22,MATCH($H594,'[1]salary allocation-v2'!$D$6:$D$22,0),MATCH(X$3,'[1]salary allocation-v2'!$E$3:$J$3,0)),0)</f>
        <v>0</v>
      </c>
      <c r="Y594" s="15">
        <f>-$K594*IFERROR(INDEX('[1]salary allocation-v2'!$E$6:$J$22,MATCH($H594,'[1]salary allocation-v2'!$D$6:$D$22,0),MATCH(Y$3,'[1]salary allocation-v2'!$E$3:$J$3,0)),0)</f>
        <v>0</v>
      </c>
      <c r="Z594" s="15">
        <f>-$K594*IFERROR(INDEX('[1]salary allocation-v2'!$E$6:$J$22,MATCH($H594,'[1]salary allocation-v2'!$D$6:$D$22,0),MATCH(Z$3,'[1]salary allocation-v2'!$E$3:$J$3,0)),0)</f>
        <v>0</v>
      </c>
      <c r="AA594" s="15">
        <f>-$K594*IFERROR(INDEX('[1]salary allocation-v2'!$E$6:$J$22,MATCH($H594,'[1]salary allocation-v2'!$D$6:$D$22,0),MATCH(AA$3,'[1]salary allocation-v2'!$E$3:$J$3,0)),0)</f>
        <v>0</v>
      </c>
      <c r="AB594" s="15">
        <f>-$K594*IFERROR(INDEX('[1]salary allocation-v2'!$E$6:$J$22,MATCH($H594,'[1]salary allocation-v2'!$D$6:$D$22,0),MATCH(AB$3,'[1]salary allocation-v2'!$E$3:$J$3,0)),0)</f>
        <v>0</v>
      </c>
      <c r="AC594" s="18">
        <f>-$K594*IFERROR(INDEX('[1]salary allocation-v2'!$E$6:$J$22,MATCH($H594,'[1]salary allocation-v2'!$D$6:$D$22,0),MATCH(AC$3,'[1]salary allocation-v2'!$E$3:$J$3,0)),0)</f>
        <v>0</v>
      </c>
      <c r="AD594" s="17"/>
      <c r="AE594" s="16"/>
      <c r="AF594" s="15"/>
      <c r="AG594" s="15">
        <f>-$K594</f>
        <v>8730008</v>
      </c>
      <c r="AH594" s="2">
        <f>K594+SUM(O594:AC594)</f>
        <v>0</v>
      </c>
      <c r="AI594" s="2">
        <f>K594+SUM(AF594:AG594)</f>
        <v>0</v>
      </c>
    </row>
    <row r="595" spans="1:35" x14ac:dyDescent="0.2">
      <c r="A595" s="11" t="s">
        <v>61</v>
      </c>
      <c r="B595" s="22" t="s">
        <v>264</v>
      </c>
      <c r="H595" s="11" t="s">
        <v>53</v>
      </c>
      <c r="I595" s="11" t="s">
        <v>292</v>
      </c>
      <c r="K595" s="13">
        <v>-5264225</v>
      </c>
      <c r="L595" s="12">
        <v>92025</v>
      </c>
      <c r="M595" s="11" t="str">
        <f>LEFT(I595,(LEN(LEFT(I595,FIND(";",I595)))-8))</f>
        <v>VNOther</v>
      </c>
      <c r="N595" s="11"/>
      <c r="O595" s="15">
        <f>-$K595*IFERROR(INDEX('[1]salary allocation-v2'!$E$6:$J$22,MATCH($H595,'[1]salary allocation-v2'!$D$6:$D$22,0),MATCH(O$3,'[1]salary allocation-v2'!$E$3:$J$3,0)),0)</f>
        <v>0</v>
      </c>
      <c r="P595" s="15">
        <f>-$K595*IFERROR(INDEX('[1]salary allocation-v2'!$E$6:$J$22,MATCH($H595,'[1]salary allocation-v2'!$D$6:$D$22,0),MATCH(P$3,'[1]salary allocation-v2'!$E$3:$J$3,0)),0)</f>
        <v>0</v>
      </c>
      <c r="Q595" s="15">
        <f>-$K595*IFERROR(INDEX('[1]salary allocation-v2'!$E$6:$J$22,MATCH($H595,'[1]salary allocation-v2'!$D$6:$D$22,0),MATCH(Q$3,'[1]salary allocation-v2'!$E$3:$J$3,0)),0)</f>
        <v>0</v>
      </c>
      <c r="R595" s="15">
        <f>-$K595*IFERROR(INDEX('[1]salary allocation-v2'!$E$6:$J$22,MATCH($H595,'[1]salary allocation-v2'!$D$6:$D$22,0),MATCH(R$3,'[1]salary allocation-v2'!$E$3:$J$3,0)),0)</f>
        <v>0</v>
      </c>
      <c r="S595" s="15">
        <f>-$K595*IFERROR(INDEX('[1]salary allocation-v2'!$E$6:$J$22,MATCH($H595,'[1]salary allocation-v2'!$D$6:$D$22,0),MATCH(S$3,'[1]salary allocation-v2'!$E$3:$J$3,0)),0)</f>
        <v>894918.24999999988</v>
      </c>
      <c r="T595" s="15">
        <f>-$K595*IFERROR(INDEX('[1]salary allocation-v2'!$E$6:$J$22,MATCH($H595,'[1]salary allocation-v2'!$D$6:$D$22,0),MATCH(T$3,'[1]salary allocation-v2'!$E$3:$J$3,0)),0)</f>
        <v>894918.24999999988</v>
      </c>
      <c r="U595" s="15">
        <f>-$K595*IFERROR(INDEX('[1]salary allocation-v2'!$E$6:$J$22,MATCH($H595,'[1]salary allocation-v2'!$D$6:$D$22,0),MATCH(U$3,'[1]salary allocation-v2'!$E$3:$J$3,0)),0)</f>
        <v>894918.24999999988</v>
      </c>
      <c r="V595" s="15">
        <f>-$K595*IFERROR(INDEX('[1]salary allocation-v2'!$E$6:$J$22,MATCH($H595,'[1]salary allocation-v2'!$D$6:$D$22,0),MATCH(V$3,'[1]salary allocation-v2'!$E$3:$J$3,0)),0)</f>
        <v>0</v>
      </c>
      <c r="W595" s="15">
        <f>-$K595*IFERROR(INDEX('[1]salary allocation-v2'!$E$6:$J$22,MATCH($H595,'[1]salary allocation-v2'!$D$6:$D$22,0),MATCH(W$3,'[1]salary allocation-v2'!$E$3:$J$3,0)),0)</f>
        <v>2579470.25</v>
      </c>
      <c r="X595" s="15">
        <f>-$K595*IFERROR(INDEX('[1]salary allocation-v2'!$E$6:$J$22,MATCH($H595,'[1]salary allocation-v2'!$D$6:$D$22,0),MATCH(X$3,'[1]salary allocation-v2'!$E$3:$J$3,0)),0)</f>
        <v>0</v>
      </c>
      <c r="Y595" s="15">
        <f>-$K595*IFERROR(INDEX('[1]salary allocation-v2'!$E$6:$J$22,MATCH($H595,'[1]salary allocation-v2'!$D$6:$D$22,0),MATCH(Y$3,'[1]salary allocation-v2'!$E$3:$J$3,0)),0)</f>
        <v>0</v>
      </c>
      <c r="Z595" s="15">
        <f>-$K595*IFERROR(INDEX('[1]salary allocation-v2'!$E$6:$J$22,MATCH($H595,'[1]salary allocation-v2'!$D$6:$D$22,0),MATCH(Z$3,'[1]salary allocation-v2'!$E$3:$J$3,0)),0)</f>
        <v>0</v>
      </c>
      <c r="AA595" s="15">
        <f>-$K595*IFERROR(INDEX('[1]salary allocation-v2'!$E$6:$J$22,MATCH($H595,'[1]salary allocation-v2'!$D$6:$D$22,0),MATCH(AA$3,'[1]salary allocation-v2'!$E$3:$J$3,0)),0)</f>
        <v>0</v>
      </c>
      <c r="AB595" s="15">
        <f>-$K595*IFERROR(INDEX('[1]salary allocation-v2'!$E$6:$J$22,MATCH($H595,'[1]salary allocation-v2'!$D$6:$D$22,0),MATCH(AB$3,'[1]salary allocation-v2'!$E$3:$J$3,0)),0)</f>
        <v>0</v>
      </c>
      <c r="AC595" s="18">
        <f>-$K595*IFERROR(INDEX('[1]salary allocation-v2'!$E$6:$J$22,MATCH($H595,'[1]salary allocation-v2'!$D$6:$D$22,0),MATCH(AC$3,'[1]salary allocation-v2'!$E$3:$J$3,0)),0)</f>
        <v>0</v>
      </c>
      <c r="AD595" s="17"/>
      <c r="AE595" s="16"/>
      <c r="AF595" s="15">
        <f>-$K595</f>
        <v>5264225</v>
      </c>
      <c r="AG595" s="15"/>
      <c r="AH595" s="2">
        <f>K595+SUM(O595:AC595)</f>
        <v>0</v>
      </c>
      <c r="AI595" s="2">
        <f>K595+SUM(AF595:AG595)</f>
        <v>0</v>
      </c>
    </row>
    <row r="596" spans="1:35" x14ac:dyDescent="0.2">
      <c r="A596" s="11" t="s">
        <v>61</v>
      </c>
      <c r="B596" s="22" t="s">
        <v>264</v>
      </c>
      <c r="H596" s="11" t="s">
        <v>51</v>
      </c>
      <c r="I596" s="11" t="s">
        <v>291</v>
      </c>
      <c r="K596" s="13">
        <v>-2265757</v>
      </c>
      <c r="L596" s="12">
        <v>92025</v>
      </c>
      <c r="M596" s="11" t="str">
        <f>LEFT(I596,(LEN(LEFT(I596,FIND(";",I596)))-8))</f>
        <v>VNOther</v>
      </c>
      <c r="N596" s="11"/>
      <c r="O596" s="15">
        <f>-$K596*IFERROR(INDEX('[1]salary allocation-v2'!$E$6:$J$22,MATCH($H596,'[1]salary allocation-v2'!$D$6:$D$22,0),MATCH(O$3,'[1]salary allocation-v2'!$E$3:$J$3,0)),0)</f>
        <v>0</v>
      </c>
      <c r="P596" s="15">
        <f>-$K596*IFERROR(INDEX('[1]salary allocation-v2'!$E$6:$J$22,MATCH($H596,'[1]salary allocation-v2'!$D$6:$D$22,0),MATCH(P$3,'[1]salary allocation-v2'!$E$3:$J$3,0)),0)</f>
        <v>0</v>
      </c>
      <c r="Q596" s="15">
        <f>-$K596*IFERROR(INDEX('[1]salary allocation-v2'!$E$6:$J$22,MATCH($H596,'[1]salary allocation-v2'!$D$6:$D$22,0),MATCH(Q$3,'[1]salary allocation-v2'!$E$3:$J$3,0)),0)</f>
        <v>0</v>
      </c>
      <c r="R596" s="15">
        <f>-$K596*IFERROR(INDEX('[1]salary allocation-v2'!$E$6:$J$22,MATCH($H596,'[1]salary allocation-v2'!$D$6:$D$22,0),MATCH(R$3,'[1]salary allocation-v2'!$E$3:$J$3,0)),0)</f>
        <v>0</v>
      </c>
      <c r="S596" s="15">
        <f>-$K596*IFERROR(INDEX('[1]salary allocation-v2'!$E$6:$J$22,MATCH($H596,'[1]salary allocation-v2'!$D$6:$D$22,0),MATCH(S$3,'[1]salary allocation-v2'!$E$3:$J$3,0)),0)</f>
        <v>226575.7</v>
      </c>
      <c r="T596" s="15">
        <f>-$K596*IFERROR(INDEX('[1]salary allocation-v2'!$E$6:$J$22,MATCH($H596,'[1]salary allocation-v2'!$D$6:$D$22,0),MATCH(T$3,'[1]salary allocation-v2'!$E$3:$J$3,0)),0)</f>
        <v>226575.7</v>
      </c>
      <c r="U596" s="15">
        <f>-$K596*IFERROR(INDEX('[1]salary allocation-v2'!$E$6:$J$22,MATCH($H596,'[1]salary allocation-v2'!$D$6:$D$22,0),MATCH(U$3,'[1]salary allocation-v2'!$E$3:$J$3,0)),0)</f>
        <v>226575.7</v>
      </c>
      <c r="V596" s="15">
        <f>-$K596*IFERROR(INDEX('[1]salary allocation-v2'!$E$6:$J$22,MATCH($H596,'[1]salary allocation-v2'!$D$6:$D$22,0),MATCH(V$3,'[1]salary allocation-v2'!$E$3:$J$3,0)),0)</f>
        <v>0</v>
      </c>
      <c r="W596" s="15">
        <f>-$K596*IFERROR(INDEX('[1]salary allocation-v2'!$E$6:$J$22,MATCH($H596,'[1]salary allocation-v2'!$D$6:$D$22,0),MATCH(W$3,'[1]salary allocation-v2'!$E$3:$J$3,0)),0)</f>
        <v>1586029.9</v>
      </c>
      <c r="X596" s="15">
        <f>-$K596*IFERROR(INDEX('[1]salary allocation-v2'!$E$6:$J$22,MATCH($H596,'[1]salary allocation-v2'!$D$6:$D$22,0),MATCH(X$3,'[1]salary allocation-v2'!$E$3:$J$3,0)),0)</f>
        <v>0</v>
      </c>
      <c r="Y596" s="15">
        <f>-$K596*IFERROR(INDEX('[1]salary allocation-v2'!$E$6:$J$22,MATCH($H596,'[1]salary allocation-v2'!$D$6:$D$22,0),MATCH(Y$3,'[1]salary allocation-v2'!$E$3:$J$3,0)),0)</f>
        <v>0</v>
      </c>
      <c r="Z596" s="15">
        <f>-$K596*IFERROR(INDEX('[1]salary allocation-v2'!$E$6:$J$22,MATCH($H596,'[1]salary allocation-v2'!$D$6:$D$22,0),MATCH(Z$3,'[1]salary allocation-v2'!$E$3:$J$3,0)),0)</f>
        <v>0</v>
      </c>
      <c r="AA596" s="15">
        <f>-$K596*IFERROR(INDEX('[1]salary allocation-v2'!$E$6:$J$22,MATCH($H596,'[1]salary allocation-v2'!$D$6:$D$22,0),MATCH(AA$3,'[1]salary allocation-v2'!$E$3:$J$3,0)),0)</f>
        <v>0</v>
      </c>
      <c r="AB596" s="15">
        <f>-$K596*IFERROR(INDEX('[1]salary allocation-v2'!$E$6:$J$22,MATCH($H596,'[1]salary allocation-v2'!$D$6:$D$22,0),MATCH(AB$3,'[1]salary allocation-v2'!$E$3:$J$3,0)),0)</f>
        <v>0</v>
      </c>
      <c r="AC596" s="18">
        <f>-$K596*IFERROR(INDEX('[1]salary allocation-v2'!$E$6:$J$22,MATCH($H596,'[1]salary allocation-v2'!$D$6:$D$22,0),MATCH(AC$3,'[1]salary allocation-v2'!$E$3:$J$3,0)),0)</f>
        <v>0</v>
      </c>
      <c r="AD596" s="17"/>
      <c r="AE596" s="16"/>
      <c r="AF596" s="15">
        <f>-$K596</f>
        <v>2265757</v>
      </c>
      <c r="AG596" s="15"/>
      <c r="AH596" s="2">
        <f>K596+SUM(O596:AC596)</f>
        <v>0</v>
      </c>
      <c r="AI596" s="2">
        <f>K596+SUM(AF596:AG596)</f>
        <v>0</v>
      </c>
    </row>
    <row r="597" spans="1:35" x14ac:dyDescent="0.2">
      <c r="A597" s="11" t="s">
        <v>61</v>
      </c>
      <c r="B597" s="22" t="s">
        <v>264</v>
      </c>
      <c r="H597" s="11" t="s">
        <v>49</v>
      </c>
      <c r="I597" s="11" t="s">
        <v>290</v>
      </c>
      <c r="K597" s="13">
        <v>-1354423</v>
      </c>
      <c r="L597" s="12">
        <v>92025</v>
      </c>
      <c r="M597" s="11" t="str">
        <f>LEFT(I597,(LEN(LEFT(I597,FIND(";",I597)))-8))</f>
        <v>VNMOET</v>
      </c>
      <c r="N597" s="11"/>
      <c r="O597" s="15">
        <f>-$K597*IFERROR(INDEX('[1]salary allocation-v2'!$E$6:$J$22,MATCH($H597,'[1]salary allocation-v2'!$D$6:$D$22,0),MATCH(O$3,'[1]salary allocation-v2'!$E$3:$J$3,0)),0)</f>
        <v>0</v>
      </c>
      <c r="P597" s="15">
        <f>-$K597*IFERROR(INDEX('[1]salary allocation-v2'!$E$6:$J$22,MATCH($H597,'[1]salary allocation-v2'!$D$6:$D$22,0),MATCH(P$3,'[1]salary allocation-v2'!$E$3:$J$3,0)),0)</f>
        <v>0</v>
      </c>
      <c r="Q597" s="15">
        <f>-$K597*IFERROR(INDEX('[1]salary allocation-v2'!$E$6:$J$22,MATCH($H597,'[1]salary allocation-v2'!$D$6:$D$22,0),MATCH(Q$3,'[1]salary allocation-v2'!$E$3:$J$3,0)),0)</f>
        <v>0</v>
      </c>
      <c r="R597" s="15">
        <f>-$K597*IFERROR(INDEX('[1]salary allocation-v2'!$E$6:$J$22,MATCH($H597,'[1]salary allocation-v2'!$D$6:$D$22,0),MATCH(R$3,'[1]salary allocation-v2'!$E$3:$J$3,0)),0)</f>
        <v>0</v>
      </c>
      <c r="S597" s="15">
        <f>-$K597*IFERROR(INDEX('[1]salary allocation-v2'!$E$6:$J$22,MATCH($H597,'[1]salary allocation-v2'!$D$6:$D$22,0),MATCH(S$3,'[1]salary allocation-v2'!$E$3:$J$3,0)),0)</f>
        <v>270884.60000000003</v>
      </c>
      <c r="T597" s="15">
        <f>-$K597*IFERROR(INDEX('[1]salary allocation-v2'!$E$6:$J$22,MATCH($H597,'[1]salary allocation-v2'!$D$6:$D$22,0),MATCH(T$3,'[1]salary allocation-v2'!$E$3:$J$3,0)),0)</f>
        <v>270884.60000000003</v>
      </c>
      <c r="U597" s="15">
        <f>-$K597*IFERROR(INDEX('[1]salary allocation-v2'!$E$6:$J$22,MATCH($H597,'[1]salary allocation-v2'!$D$6:$D$22,0),MATCH(U$3,'[1]salary allocation-v2'!$E$3:$J$3,0)),0)</f>
        <v>270884.60000000003</v>
      </c>
      <c r="V597" s="15">
        <f>-$K597*IFERROR(INDEX('[1]salary allocation-v2'!$E$6:$J$22,MATCH($H597,'[1]salary allocation-v2'!$D$6:$D$22,0),MATCH(V$3,'[1]salary allocation-v2'!$E$3:$J$3,0)),0)</f>
        <v>0</v>
      </c>
      <c r="W597" s="15">
        <f>-$K597*IFERROR(INDEX('[1]salary allocation-v2'!$E$6:$J$22,MATCH($H597,'[1]salary allocation-v2'!$D$6:$D$22,0),MATCH(W$3,'[1]salary allocation-v2'!$E$3:$J$3,0)),0)</f>
        <v>541769.20000000007</v>
      </c>
      <c r="X597" s="15">
        <f>-$K597*IFERROR(INDEX('[1]salary allocation-v2'!$E$6:$J$22,MATCH($H597,'[1]salary allocation-v2'!$D$6:$D$22,0),MATCH(X$3,'[1]salary allocation-v2'!$E$3:$J$3,0)),0)</f>
        <v>0</v>
      </c>
      <c r="Y597" s="15">
        <f>-$K597*IFERROR(INDEX('[1]salary allocation-v2'!$E$6:$J$22,MATCH($H597,'[1]salary allocation-v2'!$D$6:$D$22,0),MATCH(Y$3,'[1]salary allocation-v2'!$E$3:$J$3,0)),0)</f>
        <v>0</v>
      </c>
      <c r="Z597" s="15">
        <f>-$K597*IFERROR(INDEX('[1]salary allocation-v2'!$E$6:$J$22,MATCH($H597,'[1]salary allocation-v2'!$D$6:$D$22,0),MATCH(Z$3,'[1]salary allocation-v2'!$E$3:$J$3,0)),0)</f>
        <v>0</v>
      </c>
      <c r="AA597" s="15">
        <f>-$K597*IFERROR(INDEX('[1]salary allocation-v2'!$E$6:$J$22,MATCH($H597,'[1]salary allocation-v2'!$D$6:$D$22,0),MATCH(AA$3,'[1]salary allocation-v2'!$E$3:$J$3,0)),0)</f>
        <v>0</v>
      </c>
      <c r="AB597" s="15">
        <f>-$K597*IFERROR(INDEX('[1]salary allocation-v2'!$E$6:$J$22,MATCH($H597,'[1]salary allocation-v2'!$D$6:$D$22,0),MATCH(AB$3,'[1]salary allocation-v2'!$E$3:$J$3,0)),0)</f>
        <v>0</v>
      </c>
      <c r="AC597" s="18">
        <f>-$K597*IFERROR(INDEX('[1]salary allocation-v2'!$E$6:$J$22,MATCH($H597,'[1]salary allocation-v2'!$D$6:$D$22,0),MATCH(AC$3,'[1]salary allocation-v2'!$E$3:$J$3,0)),0)</f>
        <v>0</v>
      </c>
      <c r="AD597" s="17"/>
      <c r="AE597" s="16"/>
      <c r="AF597" s="15"/>
      <c r="AG597" s="15">
        <f>-K597</f>
        <v>1354423</v>
      </c>
      <c r="AH597" s="2">
        <f>K597+SUM(O597:AC597)</f>
        <v>0</v>
      </c>
      <c r="AI597" s="2">
        <f>K597+SUM(AF597:AG597)</f>
        <v>0</v>
      </c>
    </row>
    <row r="598" spans="1:35" x14ac:dyDescent="0.2">
      <c r="A598" s="11" t="s">
        <v>61</v>
      </c>
      <c r="B598" s="22" t="s">
        <v>264</v>
      </c>
      <c r="H598" s="11" t="s">
        <v>47</v>
      </c>
      <c r="I598" s="11" t="s">
        <v>289</v>
      </c>
      <c r="K598" s="13">
        <v>-4510431</v>
      </c>
      <c r="L598" s="12">
        <v>92025</v>
      </c>
      <c r="M598" s="11" t="str">
        <f>LEFT(I598,(LEN(LEFT(I598,FIND(";",I598)))-8))</f>
        <v>VNHBC</v>
      </c>
      <c r="N598" s="11"/>
      <c r="O598" s="15">
        <f>-$K598*IFERROR(INDEX('[1]salary allocation-v2'!$E$6:$J$22,MATCH($H598,'[1]salary allocation-v2'!$D$6:$D$22,0),MATCH(O$3,'[1]salary allocation-v2'!$E$3:$J$3,0)),0)</f>
        <v>0</v>
      </c>
      <c r="P598" s="15">
        <f>-$K598*IFERROR(INDEX('[1]salary allocation-v2'!$E$6:$J$22,MATCH($H598,'[1]salary allocation-v2'!$D$6:$D$22,0),MATCH(P$3,'[1]salary allocation-v2'!$E$3:$J$3,0)),0)</f>
        <v>0</v>
      </c>
      <c r="Q598" s="15">
        <f>-$K598*IFERROR(INDEX('[1]salary allocation-v2'!$E$6:$J$22,MATCH($H598,'[1]salary allocation-v2'!$D$6:$D$22,0),MATCH(Q$3,'[1]salary allocation-v2'!$E$3:$J$3,0)),0)</f>
        <v>0</v>
      </c>
      <c r="R598" s="15">
        <f>-$K598*IFERROR(INDEX('[1]salary allocation-v2'!$E$6:$J$22,MATCH($H598,'[1]salary allocation-v2'!$D$6:$D$22,0),MATCH(R$3,'[1]salary allocation-v2'!$E$3:$J$3,0)),0)</f>
        <v>0</v>
      </c>
      <c r="S598" s="15">
        <f>-$K598*IFERROR(INDEX('[1]salary allocation-v2'!$E$6:$J$22,MATCH($H598,'[1]salary allocation-v2'!$D$6:$D$22,0),MATCH(S$3,'[1]salary allocation-v2'!$E$3:$J$3,0)),0)</f>
        <v>902086.20000000007</v>
      </c>
      <c r="T598" s="15">
        <f>-$K598*IFERROR(INDEX('[1]salary allocation-v2'!$E$6:$J$22,MATCH($H598,'[1]salary allocation-v2'!$D$6:$D$22,0),MATCH(T$3,'[1]salary allocation-v2'!$E$3:$J$3,0)),0)</f>
        <v>902086.20000000007</v>
      </c>
      <c r="U598" s="15">
        <f>-$K598*IFERROR(INDEX('[1]salary allocation-v2'!$E$6:$J$22,MATCH($H598,'[1]salary allocation-v2'!$D$6:$D$22,0),MATCH(U$3,'[1]salary allocation-v2'!$E$3:$J$3,0)),0)</f>
        <v>902086.20000000007</v>
      </c>
      <c r="V598" s="15">
        <f>-$K598*IFERROR(INDEX('[1]salary allocation-v2'!$E$6:$J$22,MATCH($H598,'[1]salary allocation-v2'!$D$6:$D$22,0),MATCH(V$3,'[1]salary allocation-v2'!$E$3:$J$3,0)),0)</f>
        <v>0</v>
      </c>
      <c r="W598" s="15">
        <f>-$K598*IFERROR(INDEX('[1]salary allocation-v2'!$E$6:$J$22,MATCH($H598,'[1]salary allocation-v2'!$D$6:$D$22,0),MATCH(W$3,'[1]salary allocation-v2'!$E$3:$J$3,0)),0)</f>
        <v>1804172.4000000001</v>
      </c>
      <c r="X598" s="15">
        <f>-$K598*IFERROR(INDEX('[1]salary allocation-v2'!$E$6:$J$22,MATCH($H598,'[1]salary allocation-v2'!$D$6:$D$22,0),MATCH(X$3,'[1]salary allocation-v2'!$E$3:$J$3,0)),0)</f>
        <v>0</v>
      </c>
      <c r="Y598" s="15">
        <f>-$K598*IFERROR(INDEX('[1]salary allocation-v2'!$E$6:$J$22,MATCH($H598,'[1]salary allocation-v2'!$D$6:$D$22,0),MATCH(Y$3,'[1]salary allocation-v2'!$E$3:$J$3,0)),0)</f>
        <v>0</v>
      </c>
      <c r="Z598" s="15">
        <f>-$K598*IFERROR(INDEX('[1]salary allocation-v2'!$E$6:$J$22,MATCH($H598,'[1]salary allocation-v2'!$D$6:$D$22,0),MATCH(Z$3,'[1]salary allocation-v2'!$E$3:$J$3,0)),0)</f>
        <v>0</v>
      </c>
      <c r="AA598" s="15">
        <f>-$K598*IFERROR(INDEX('[1]salary allocation-v2'!$E$6:$J$22,MATCH($H598,'[1]salary allocation-v2'!$D$6:$D$22,0),MATCH(AA$3,'[1]salary allocation-v2'!$E$3:$J$3,0)),0)</f>
        <v>0</v>
      </c>
      <c r="AB598" s="15">
        <f>-$K598*IFERROR(INDEX('[1]salary allocation-v2'!$E$6:$J$22,MATCH($H598,'[1]salary allocation-v2'!$D$6:$D$22,0),MATCH(AB$3,'[1]salary allocation-v2'!$E$3:$J$3,0)),0)</f>
        <v>0</v>
      </c>
      <c r="AC598" s="18">
        <f>-$K598*IFERROR(INDEX('[1]salary allocation-v2'!$E$6:$J$22,MATCH($H598,'[1]salary allocation-v2'!$D$6:$D$22,0),MATCH(AC$3,'[1]salary allocation-v2'!$E$3:$J$3,0)),0)</f>
        <v>0</v>
      </c>
      <c r="AD598" s="17"/>
      <c r="AE598" s="16"/>
      <c r="AF598" s="15">
        <f>-$K598</f>
        <v>4510431</v>
      </c>
      <c r="AG598" s="15"/>
      <c r="AH598" s="2">
        <f>K598+SUM(O598:AC598)</f>
        <v>0</v>
      </c>
      <c r="AI598" s="2">
        <f>K598+SUM(AF598:AG598)</f>
        <v>0</v>
      </c>
    </row>
    <row r="599" spans="1:35" x14ac:dyDescent="0.2">
      <c r="A599" s="11" t="s">
        <v>61</v>
      </c>
      <c r="B599" s="22" t="s">
        <v>264</v>
      </c>
      <c r="H599" s="11" t="s">
        <v>173</v>
      </c>
      <c r="I599" s="11" t="s">
        <v>288</v>
      </c>
      <c r="K599" s="13">
        <v>0</v>
      </c>
      <c r="L599" s="12">
        <v>92025</v>
      </c>
      <c r="M599" s="11" t="str">
        <f>LEFT(I599,(LEN(LEFT(I599,FIND(";",I599)))-8))</f>
        <v>VNELC</v>
      </c>
      <c r="N599" s="11"/>
      <c r="O599" s="15">
        <f>-$K599*IFERROR(INDEX('[1]salary allocation-v2'!$E$6:$J$22,MATCH($H599,'[1]salary allocation-v2'!$D$6:$D$22,0),MATCH(O$3,'[1]salary allocation-v2'!$E$3:$J$3,0)),0)</f>
        <v>0</v>
      </c>
      <c r="P599" s="15">
        <f>-$K599*IFERROR(INDEX('[1]salary allocation-v2'!$E$6:$J$22,MATCH($H599,'[1]salary allocation-v2'!$D$6:$D$22,0),MATCH(P$3,'[1]salary allocation-v2'!$E$3:$J$3,0)),0)</f>
        <v>0</v>
      </c>
      <c r="Q599" s="15">
        <f>-$K599*IFERROR(INDEX('[1]salary allocation-v2'!$E$6:$J$22,MATCH($H599,'[1]salary allocation-v2'!$D$6:$D$22,0),MATCH(Q$3,'[1]salary allocation-v2'!$E$3:$J$3,0)),0)</f>
        <v>0</v>
      </c>
      <c r="R599" s="15">
        <f>-$K599*IFERROR(INDEX('[1]salary allocation-v2'!$E$6:$J$22,MATCH($H599,'[1]salary allocation-v2'!$D$6:$D$22,0),MATCH(R$3,'[1]salary allocation-v2'!$E$3:$J$3,0)),0)</f>
        <v>0</v>
      </c>
      <c r="S599" s="15">
        <f>-$K599*IFERROR(INDEX('[1]salary allocation-v2'!$E$6:$J$22,MATCH($H599,'[1]salary allocation-v2'!$D$6:$D$22,0),MATCH(S$3,'[1]salary allocation-v2'!$E$3:$J$3,0)),0)</f>
        <v>0</v>
      </c>
      <c r="T599" s="15">
        <f>-$K599*IFERROR(INDEX('[1]salary allocation-v2'!$E$6:$J$22,MATCH($H599,'[1]salary allocation-v2'!$D$6:$D$22,0),MATCH(T$3,'[1]salary allocation-v2'!$E$3:$J$3,0)),0)</f>
        <v>0</v>
      </c>
      <c r="U599" s="15">
        <f>-$K599*IFERROR(INDEX('[1]salary allocation-v2'!$E$6:$J$22,MATCH($H599,'[1]salary allocation-v2'!$D$6:$D$22,0),MATCH(U$3,'[1]salary allocation-v2'!$E$3:$J$3,0)),0)</f>
        <v>0</v>
      </c>
      <c r="V599" s="15">
        <f>-$K599*IFERROR(INDEX('[1]salary allocation-v2'!$E$6:$J$22,MATCH($H599,'[1]salary allocation-v2'!$D$6:$D$22,0),MATCH(V$3,'[1]salary allocation-v2'!$E$3:$J$3,0)),0)</f>
        <v>0</v>
      </c>
      <c r="W599" s="15">
        <f>-$K599*IFERROR(INDEX('[1]salary allocation-v2'!$E$6:$J$22,MATCH($H599,'[1]salary allocation-v2'!$D$6:$D$22,0),MATCH(W$3,'[1]salary allocation-v2'!$E$3:$J$3,0)),0)</f>
        <v>0</v>
      </c>
      <c r="X599" s="15">
        <f>-$K599*IFERROR(INDEX('[1]salary allocation-v2'!$E$6:$J$22,MATCH($H599,'[1]salary allocation-v2'!$D$6:$D$22,0),MATCH(X$3,'[1]salary allocation-v2'!$E$3:$J$3,0)),0)</f>
        <v>0</v>
      </c>
      <c r="Y599" s="15">
        <f>-$K599*IFERROR(INDEX('[1]salary allocation-v2'!$E$6:$J$22,MATCH($H599,'[1]salary allocation-v2'!$D$6:$D$22,0),MATCH(Y$3,'[1]salary allocation-v2'!$E$3:$J$3,0)),0)</f>
        <v>0</v>
      </c>
      <c r="Z599" s="15">
        <f>-$K599*IFERROR(INDEX('[1]salary allocation-v2'!$E$6:$J$22,MATCH($H599,'[1]salary allocation-v2'!$D$6:$D$22,0),MATCH(Z$3,'[1]salary allocation-v2'!$E$3:$J$3,0)),0)</f>
        <v>0</v>
      </c>
      <c r="AA599" s="15">
        <f>-$K599*IFERROR(INDEX('[1]salary allocation-v2'!$E$6:$J$22,MATCH($H599,'[1]salary allocation-v2'!$D$6:$D$22,0),MATCH(AA$3,'[1]salary allocation-v2'!$E$3:$J$3,0)),0)</f>
        <v>0</v>
      </c>
      <c r="AB599" s="15">
        <f>-$K599*IFERROR(INDEX('[1]salary allocation-v2'!$E$6:$J$22,MATCH($H599,'[1]salary allocation-v2'!$D$6:$D$22,0),MATCH(AB$3,'[1]salary allocation-v2'!$E$3:$J$3,0)),0)</f>
        <v>0</v>
      </c>
      <c r="AC599" s="18">
        <f>-$K599*IFERROR(INDEX('[1]salary allocation-v2'!$E$6:$J$22,MATCH($H599,'[1]salary allocation-v2'!$D$6:$D$22,0),MATCH(AC$3,'[1]salary allocation-v2'!$E$3:$J$3,0)),0)</f>
        <v>0</v>
      </c>
      <c r="AD599" s="17"/>
      <c r="AE599" s="16"/>
      <c r="AF599" s="15"/>
      <c r="AG599" s="15">
        <f>-$K599</f>
        <v>0</v>
      </c>
      <c r="AH599" s="2">
        <f>K599+SUM(O599:AC599)</f>
        <v>0</v>
      </c>
      <c r="AI599" s="2">
        <f>K599+SUM(AF599:AG599)</f>
        <v>0</v>
      </c>
    </row>
    <row r="600" spans="1:35" x14ac:dyDescent="0.2">
      <c r="A600" s="11" t="s">
        <v>61</v>
      </c>
      <c r="B600" s="22" t="s">
        <v>264</v>
      </c>
      <c r="H600" s="11" t="s">
        <v>45</v>
      </c>
      <c r="I600" s="11" t="s">
        <v>287</v>
      </c>
      <c r="K600" s="13">
        <v>-132090</v>
      </c>
      <c r="L600" s="12">
        <v>92025</v>
      </c>
      <c r="M600" s="11" t="str">
        <f>LEFT(I600,(LEN(LEFT(I600,FIND(";",I600)))-9))</f>
        <v>VNHBC</v>
      </c>
      <c r="N600" s="11"/>
      <c r="O600" s="15">
        <f>-$K600*IFERROR(INDEX('[1]salary allocation-v2'!$E$6:$J$22,MATCH($H600,'[1]salary allocation-v2'!$D$6:$D$22,0),MATCH(O$3,'[1]salary allocation-v2'!$E$3:$J$3,0)),0)</f>
        <v>0</v>
      </c>
      <c r="P600" s="15">
        <f>-$K600*IFERROR(INDEX('[1]salary allocation-v2'!$E$6:$J$22,MATCH($H600,'[1]salary allocation-v2'!$D$6:$D$22,0),MATCH(P$3,'[1]salary allocation-v2'!$E$3:$J$3,0)),0)</f>
        <v>0</v>
      </c>
      <c r="Q600" s="15">
        <f>-$K600*IFERROR(INDEX('[1]salary allocation-v2'!$E$6:$J$22,MATCH($H600,'[1]salary allocation-v2'!$D$6:$D$22,0),MATCH(Q$3,'[1]salary allocation-v2'!$E$3:$J$3,0)),0)</f>
        <v>0</v>
      </c>
      <c r="R600" s="15">
        <f>-$K600*IFERROR(INDEX('[1]salary allocation-v2'!$E$6:$J$22,MATCH($H600,'[1]salary allocation-v2'!$D$6:$D$22,0),MATCH(R$3,'[1]salary allocation-v2'!$E$3:$J$3,0)),0)</f>
        <v>0</v>
      </c>
      <c r="S600" s="15">
        <f>-$K600*IFERROR(INDEX('[1]salary allocation-v2'!$E$6:$J$22,MATCH($H600,'[1]salary allocation-v2'!$D$6:$D$22,0),MATCH(S$3,'[1]salary allocation-v2'!$E$3:$J$3,0)),0)</f>
        <v>26418</v>
      </c>
      <c r="T600" s="15">
        <f>-$K600*IFERROR(INDEX('[1]salary allocation-v2'!$E$6:$J$22,MATCH($H600,'[1]salary allocation-v2'!$D$6:$D$22,0),MATCH(T$3,'[1]salary allocation-v2'!$E$3:$J$3,0)),0)</f>
        <v>26418</v>
      </c>
      <c r="U600" s="15">
        <f>-$K600*IFERROR(INDEX('[1]salary allocation-v2'!$E$6:$J$22,MATCH($H600,'[1]salary allocation-v2'!$D$6:$D$22,0),MATCH(U$3,'[1]salary allocation-v2'!$E$3:$J$3,0)),0)</f>
        <v>26418</v>
      </c>
      <c r="V600" s="15">
        <f>-$K600*IFERROR(INDEX('[1]salary allocation-v2'!$E$6:$J$22,MATCH($H600,'[1]salary allocation-v2'!$D$6:$D$22,0),MATCH(V$3,'[1]salary allocation-v2'!$E$3:$J$3,0)),0)</f>
        <v>0</v>
      </c>
      <c r="W600" s="15">
        <f>-$K600*IFERROR(INDEX('[1]salary allocation-v2'!$E$6:$J$22,MATCH($H600,'[1]salary allocation-v2'!$D$6:$D$22,0),MATCH(W$3,'[1]salary allocation-v2'!$E$3:$J$3,0)),0)</f>
        <v>52836</v>
      </c>
      <c r="X600" s="15">
        <f>-$K600*IFERROR(INDEX('[1]salary allocation-v2'!$E$6:$J$22,MATCH($H600,'[1]salary allocation-v2'!$D$6:$D$22,0),MATCH(X$3,'[1]salary allocation-v2'!$E$3:$J$3,0)),0)</f>
        <v>0</v>
      </c>
      <c r="Y600" s="15">
        <f>-$K600*IFERROR(INDEX('[1]salary allocation-v2'!$E$6:$J$22,MATCH($H600,'[1]salary allocation-v2'!$D$6:$D$22,0),MATCH(Y$3,'[1]salary allocation-v2'!$E$3:$J$3,0)),0)</f>
        <v>0</v>
      </c>
      <c r="Z600" s="15">
        <f>-$K600*IFERROR(INDEX('[1]salary allocation-v2'!$E$6:$J$22,MATCH($H600,'[1]salary allocation-v2'!$D$6:$D$22,0),MATCH(Z$3,'[1]salary allocation-v2'!$E$3:$J$3,0)),0)</f>
        <v>0</v>
      </c>
      <c r="AA600" s="15">
        <f>-$K600*IFERROR(INDEX('[1]salary allocation-v2'!$E$6:$J$22,MATCH($H600,'[1]salary allocation-v2'!$D$6:$D$22,0),MATCH(AA$3,'[1]salary allocation-v2'!$E$3:$J$3,0)),0)</f>
        <v>0</v>
      </c>
      <c r="AB600" s="15">
        <f>-$K600*IFERROR(INDEX('[1]salary allocation-v2'!$E$6:$J$22,MATCH($H600,'[1]salary allocation-v2'!$D$6:$D$22,0),MATCH(AB$3,'[1]salary allocation-v2'!$E$3:$J$3,0)),0)</f>
        <v>0</v>
      </c>
      <c r="AC600" s="18">
        <f>-$K600*IFERROR(INDEX('[1]salary allocation-v2'!$E$6:$J$22,MATCH($H600,'[1]salary allocation-v2'!$D$6:$D$22,0),MATCH(AC$3,'[1]salary allocation-v2'!$E$3:$J$3,0)),0)</f>
        <v>0</v>
      </c>
      <c r="AD600" s="17"/>
      <c r="AE600" s="16"/>
      <c r="AF600" s="15"/>
      <c r="AG600" s="15">
        <f>-K600</f>
        <v>132090</v>
      </c>
      <c r="AH600" s="2">
        <f>K600+SUM(O600:AC600)</f>
        <v>0</v>
      </c>
      <c r="AI600" s="2">
        <f>K600+SUM(AF600:AG600)</f>
        <v>0</v>
      </c>
    </row>
    <row r="601" spans="1:35" x14ac:dyDescent="0.2">
      <c r="A601" s="11" t="s">
        <v>61</v>
      </c>
      <c r="B601" s="22" t="s">
        <v>264</v>
      </c>
      <c r="H601" s="11" t="s">
        <v>43</v>
      </c>
      <c r="I601" s="11" t="s">
        <v>286</v>
      </c>
      <c r="K601" s="13">
        <v>-5262948</v>
      </c>
      <c r="L601" s="12">
        <v>92025</v>
      </c>
      <c r="M601" s="11" t="str">
        <f>LEFT(I601,(LEN(LEFT(I601,FIND(";",I601)))-8))</f>
        <v>VNMOET</v>
      </c>
      <c r="N601" s="11"/>
      <c r="O601" s="15">
        <f>-$K601*IFERROR(INDEX('[1]salary allocation-v2'!$E$6:$J$22,MATCH($H601,'[1]salary allocation-v2'!$D$6:$D$22,0),MATCH(O$3,'[1]salary allocation-v2'!$E$3:$J$3,0)),0)</f>
        <v>0</v>
      </c>
      <c r="P601" s="15">
        <f>-$K601*IFERROR(INDEX('[1]salary allocation-v2'!$E$6:$J$22,MATCH($H601,'[1]salary allocation-v2'!$D$6:$D$22,0),MATCH(P$3,'[1]salary allocation-v2'!$E$3:$J$3,0)),0)</f>
        <v>0</v>
      </c>
      <c r="Q601" s="15">
        <f>-$K601*IFERROR(INDEX('[1]salary allocation-v2'!$E$6:$J$22,MATCH($H601,'[1]salary allocation-v2'!$D$6:$D$22,0),MATCH(Q$3,'[1]salary allocation-v2'!$E$3:$J$3,0)),0)</f>
        <v>0</v>
      </c>
      <c r="R601" s="15">
        <f>-$K601*IFERROR(INDEX('[1]salary allocation-v2'!$E$6:$J$22,MATCH($H601,'[1]salary allocation-v2'!$D$6:$D$22,0),MATCH(R$3,'[1]salary allocation-v2'!$E$3:$J$3,0)),0)</f>
        <v>0</v>
      </c>
      <c r="S601" s="15">
        <f>-$K601*IFERROR(INDEX('[1]salary allocation-v2'!$E$6:$J$22,MATCH($H601,'[1]salary allocation-v2'!$D$6:$D$22,0),MATCH(S$3,'[1]salary allocation-v2'!$E$3:$J$3,0)),0)</f>
        <v>1052589.6000000001</v>
      </c>
      <c r="T601" s="15">
        <f>-$K601*IFERROR(INDEX('[1]salary allocation-v2'!$E$6:$J$22,MATCH($H601,'[1]salary allocation-v2'!$D$6:$D$22,0),MATCH(T$3,'[1]salary allocation-v2'!$E$3:$J$3,0)),0)</f>
        <v>1052589.6000000001</v>
      </c>
      <c r="U601" s="15">
        <f>-$K601*IFERROR(INDEX('[1]salary allocation-v2'!$E$6:$J$22,MATCH($H601,'[1]salary allocation-v2'!$D$6:$D$22,0),MATCH(U$3,'[1]salary allocation-v2'!$E$3:$J$3,0)),0)</f>
        <v>1052589.6000000001</v>
      </c>
      <c r="V601" s="15">
        <f>-$K601*IFERROR(INDEX('[1]salary allocation-v2'!$E$6:$J$22,MATCH($H601,'[1]salary allocation-v2'!$D$6:$D$22,0),MATCH(V$3,'[1]salary allocation-v2'!$E$3:$J$3,0)),0)</f>
        <v>0</v>
      </c>
      <c r="W601" s="15">
        <f>-$K601*IFERROR(INDEX('[1]salary allocation-v2'!$E$6:$J$22,MATCH($H601,'[1]salary allocation-v2'!$D$6:$D$22,0),MATCH(W$3,'[1]salary allocation-v2'!$E$3:$J$3,0)),0)</f>
        <v>2105179.2000000002</v>
      </c>
      <c r="X601" s="15">
        <f>-$K601*IFERROR(INDEX('[1]salary allocation-v2'!$E$6:$J$22,MATCH($H601,'[1]salary allocation-v2'!$D$6:$D$22,0),MATCH(X$3,'[1]salary allocation-v2'!$E$3:$J$3,0)),0)</f>
        <v>0</v>
      </c>
      <c r="Y601" s="15">
        <f>-$K601*IFERROR(INDEX('[1]salary allocation-v2'!$E$6:$J$22,MATCH($H601,'[1]salary allocation-v2'!$D$6:$D$22,0),MATCH(Y$3,'[1]salary allocation-v2'!$E$3:$J$3,0)),0)</f>
        <v>0</v>
      </c>
      <c r="Z601" s="15">
        <f>-$K601*IFERROR(INDEX('[1]salary allocation-v2'!$E$6:$J$22,MATCH($H601,'[1]salary allocation-v2'!$D$6:$D$22,0),MATCH(Z$3,'[1]salary allocation-v2'!$E$3:$J$3,0)),0)</f>
        <v>0</v>
      </c>
      <c r="AA601" s="15">
        <f>-$K601*IFERROR(INDEX('[1]salary allocation-v2'!$E$6:$J$22,MATCH($H601,'[1]salary allocation-v2'!$D$6:$D$22,0),MATCH(AA$3,'[1]salary allocation-v2'!$E$3:$J$3,0)),0)</f>
        <v>0</v>
      </c>
      <c r="AB601" s="15">
        <f>-$K601*IFERROR(INDEX('[1]salary allocation-v2'!$E$6:$J$22,MATCH($H601,'[1]salary allocation-v2'!$D$6:$D$22,0),MATCH(AB$3,'[1]salary allocation-v2'!$E$3:$J$3,0)),0)</f>
        <v>0</v>
      </c>
      <c r="AC601" s="18">
        <f>-$K601*IFERROR(INDEX('[1]salary allocation-v2'!$E$6:$J$22,MATCH($H601,'[1]salary allocation-v2'!$D$6:$D$22,0),MATCH(AC$3,'[1]salary allocation-v2'!$E$3:$J$3,0)),0)</f>
        <v>0</v>
      </c>
      <c r="AD601" s="17"/>
      <c r="AE601" s="16"/>
      <c r="AF601" s="15">
        <f>-$K601</f>
        <v>5262948</v>
      </c>
      <c r="AG601" s="15"/>
      <c r="AH601" s="2">
        <f>K601+SUM(O601:AC601)</f>
        <v>0</v>
      </c>
      <c r="AI601" s="2">
        <f>K601+SUM(AF601:AG601)</f>
        <v>0</v>
      </c>
    </row>
    <row r="602" spans="1:35" x14ac:dyDescent="0.2">
      <c r="A602" s="11" t="s">
        <v>61</v>
      </c>
      <c r="B602" s="22" t="s">
        <v>264</v>
      </c>
      <c r="H602" s="11" t="s">
        <v>41</v>
      </c>
      <c r="I602" s="11" t="s">
        <v>285</v>
      </c>
      <c r="K602" s="13">
        <v>-4621380</v>
      </c>
      <c r="L602" s="12">
        <v>92025</v>
      </c>
      <c r="M602" s="11" t="str">
        <f>LEFT(I602,(LEN(LEFT(I602,FIND(";",I602)))-8))</f>
        <v>VNMOET</v>
      </c>
      <c r="N602" s="11"/>
      <c r="O602" s="15">
        <f>-$K602*IFERROR(INDEX('[1]salary allocation-v2'!$E$6:$J$22,MATCH($H602,'[1]salary allocation-v2'!$D$6:$D$22,0),MATCH(O$3,'[1]salary allocation-v2'!$E$3:$J$3,0)),0)</f>
        <v>0</v>
      </c>
      <c r="P602" s="15">
        <f>-$K602*IFERROR(INDEX('[1]salary allocation-v2'!$E$6:$J$22,MATCH($H602,'[1]salary allocation-v2'!$D$6:$D$22,0),MATCH(P$3,'[1]salary allocation-v2'!$E$3:$J$3,0)),0)</f>
        <v>0</v>
      </c>
      <c r="Q602" s="15">
        <f>-$K602*IFERROR(INDEX('[1]salary allocation-v2'!$E$6:$J$22,MATCH($H602,'[1]salary allocation-v2'!$D$6:$D$22,0),MATCH(Q$3,'[1]salary allocation-v2'!$E$3:$J$3,0)),0)</f>
        <v>0</v>
      </c>
      <c r="R602" s="15">
        <f>-$K602*IFERROR(INDEX('[1]salary allocation-v2'!$E$6:$J$22,MATCH($H602,'[1]salary allocation-v2'!$D$6:$D$22,0),MATCH(R$3,'[1]salary allocation-v2'!$E$3:$J$3,0)),0)</f>
        <v>0</v>
      </c>
      <c r="S602" s="15">
        <f>-$K602*IFERROR(INDEX('[1]salary allocation-v2'!$E$6:$J$22,MATCH($H602,'[1]salary allocation-v2'!$D$6:$D$22,0),MATCH(S$3,'[1]salary allocation-v2'!$E$3:$J$3,0)),0)</f>
        <v>0</v>
      </c>
      <c r="T602" s="15">
        <f>-$K602*IFERROR(INDEX('[1]salary allocation-v2'!$E$6:$J$22,MATCH($H602,'[1]salary allocation-v2'!$D$6:$D$22,0),MATCH(T$3,'[1]salary allocation-v2'!$E$3:$J$3,0)),0)</f>
        <v>0</v>
      </c>
      <c r="U602" s="15">
        <f>-$K602*IFERROR(INDEX('[1]salary allocation-v2'!$E$6:$J$22,MATCH($H602,'[1]salary allocation-v2'!$D$6:$D$22,0),MATCH(U$3,'[1]salary allocation-v2'!$E$3:$J$3,0)),0)</f>
        <v>0</v>
      </c>
      <c r="V602" s="15">
        <f>-$K602*IFERROR(INDEX('[1]salary allocation-v2'!$E$6:$J$22,MATCH($H602,'[1]salary allocation-v2'!$D$6:$D$22,0),MATCH(V$3,'[1]salary allocation-v2'!$E$3:$J$3,0)),0)</f>
        <v>0</v>
      </c>
      <c r="W602" s="15">
        <f>-$K602*IFERROR(INDEX('[1]salary allocation-v2'!$E$6:$J$22,MATCH($H602,'[1]salary allocation-v2'!$D$6:$D$22,0),MATCH(W$3,'[1]salary allocation-v2'!$E$3:$J$3,0)),0)</f>
        <v>4621380</v>
      </c>
      <c r="X602" s="15">
        <f>-$K602*IFERROR(INDEX('[1]salary allocation-v2'!$E$6:$J$22,MATCH($H602,'[1]salary allocation-v2'!$D$6:$D$22,0),MATCH(X$3,'[1]salary allocation-v2'!$E$3:$J$3,0)),0)</f>
        <v>0</v>
      </c>
      <c r="Y602" s="15">
        <f>-$K602*IFERROR(INDEX('[1]salary allocation-v2'!$E$6:$J$22,MATCH($H602,'[1]salary allocation-v2'!$D$6:$D$22,0),MATCH(Y$3,'[1]salary allocation-v2'!$E$3:$J$3,0)),0)</f>
        <v>0</v>
      </c>
      <c r="Z602" s="15">
        <f>-$K602*IFERROR(INDEX('[1]salary allocation-v2'!$E$6:$J$22,MATCH($H602,'[1]salary allocation-v2'!$D$6:$D$22,0),MATCH(Z$3,'[1]salary allocation-v2'!$E$3:$J$3,0)),0)</f>
        <v>0</v>
      </c>
      <c r="AA602" s="15">
        <f>-$K602*IFERROR(INDEX('[1]salary allocation-v2'!$E$6:$J$22,MATCH($H602,'[1]salary allocation-v2'!$D$6:$D$22,0),MATCH(AA$3,'[1]salary allocation-v2'!$E$3:$J$3,0)),0)</f>
        <v>0</v>
      </c>
      <c r="AB602" s="15">
        <f>-$K602*IFERROR(INDEX('[1]salary allocation-v2'!$E$6:$J$22,MATCH($H602,'[1]salary allocation-v2'!$D$6:$D$22,0),MATCH(AB$3,'[1]salary allocation-v2'!$E$3:$J$3,0)),0)</f>
        <v>0</v>
      </c>
      <c r="AC602" s="18">
        <f>-$K602*IFERROR(INDEX('[1]salary allocation-v2'!$E$6:$J$22,MATCH($H602,'[1]salary allocation-v2'!$D$6:$D$22,0),MATCH(AC$3,'[1]salary allocation-v2'!$E$3:$J$3,0)),0)</f>
        <v>0</v>
      </c>
      <c r="AD602" s="17"/>
      <c r="AE602" s="16"/>
      <c r="AF602" s="15">
        <f>-$K602</f>
        <v>4621380</v>
      </c>
      <c r="AG602" s="15"/>
      <c r="AH602" s="2">
        <f>K602+SUM(O602:AC602)</f>
        <v>0</v>
      </c>
      <c r="AI602" s="2">
        <f>K602+SUM(AF602:AG602)</f>
        <v>0</v>
      </c>
    </row>
    <row r="603" spans="1:35" x14ac:dyDescent="0.2">
      <c r="A603" s="11" t="s">
        <v>61</v>
      </c>
      <c r="B603" s="22" t="s">
        <v>264</v>
      </c>
      <c r="H603" s="11" t="s">
        <v>39</v>
      </c>
      <c r="I603" s="11" t="s">
        <v>284</v>
      </c>
      <c r="K603" s="13">
        <v>-5262948</v>
      </c>
      <c r="L603" s="12">
        <v>92025</v>
      </c>
      <c r="M603" s="11" t="str">
        <f>LEFT(I603,(LEN(LEFT(I603,FIND(";",I603)))-8))</f>
        <v>VNMOET</v>
      </c>
      <c r="N603" s="11"/>
      <c r="O603" s="15">
        <f>-$K603*IFERROR(INDEX('[1]salary allocation-v2'!$E$6:$J$22,MATCH($H603,'[1]salary allocation-v2'!$D$6:$D$22,0),MATCH(O$3,'[1]salary allocation-v2'!$E$3:$J$3,0)),0)</f>
        <v>0</v>
      </c>
      <c r="P603" s="15">
        <f>-$K603*IFERROR(INDEX('[1]salary allocation-v2'!$E$6:$J$22,MATCH($H603,'[1]salary allocation-v2'!$D$6:$D$22,0),MATCH(P$3,'[1]salary allocation-v2'!$E$3:$J$3,0)),0)</f>
        <v>0</v>
      </c>
      <c r="Q603" s="15">
        <f>-$K603*IFERROR(INDEX('[1]salary allocation-v2'!$E$6:$J$22,MATCH($H603,'[1]salary allocation-v2'!$D$6:$D$22,0),MATCH(Q$3,'[1]salary allocation-v2'!$E$3:$J$3,0)),0)</f>
        <v>0</v>
      </c>
      <c r="R603" s="15">
        <f>-$K603*IFERROR(INDEX('[1]salary allocation-v2'!$E$6:$J$22,MATCH($H603,'[1]salary allocation-v2'!$D$6:$D$22,0),MATCH(R$3,'[1]salary allocation-v2'!$E$3:$J$3,0)),0)</f>
        <v>0</v>
      </c>
      <c r="S603" s="15">
        <f>-$K603*IFERROR(INDEX('[1]salary allocation-v2'!$E$6:$J$22,MATCH($H603,'[1]salary allocation-v2'!$D$6:$D$22,0),MATCH(S$3,'[1]salary allocation-v2'!$E$3:$J$3,0)),0)</f>
        <v>0</v>
      </c>
      <c r="T603" s="15">
        <f>-$K603*IFERROR(INDEX('[1]salary allocation-v2'!$E$6:$J$22,MATCH($H603,'[1]salary allocation-v2'!$D$6:$D$22,0),MATCH(T$3,'[1]salary allocation-v2'!$E$3:$J$3,0)),0)</f>
        <v>0</v>
      </c>
      <c r="U603" s="15">
        <f>-$K603*IFERROR(INDEX('[1]salary allocation-v2'!$E$6:$J$22,MATCH($H603,'[1]salary allocation-v2'!$D$6:$D$22,0),MATCH(U$3,'[1]salary allocation-v2'!$E$3:$J$3,0)),0)</f>
        <v>0</v>
      </c>
      <c r="V603" s="15">
        <f>-$K603*IFERROR(INDEX('[1]salary allocation-v2'!$E$6:$J$22,MATCH($H603,'[1]salary allocation-v2'!$D$6:$D$22,0),MATCH(V$3,'[1]salary allocation-v2'!$E$3:$J$3,0)),0)</f>
        <v>0</v>
      </c>
      <c r="W603" s="15">
        <f>-$K603*IFERROR(INDEX('[1]salary allocation-v2'!$E$6:$J$22,MATCH($H603,'[1]salary allocation-v2'!$D$6:$D$22,0),MATCH(W$3,'[1]salary allocation-v2'!$E$3:$J$3,0)),0)</f>
        <v>5262948</v>
      </c>
      <c r="X603" s="15">
        <f>-$K603*IFERROR(INDEX('[1]salary allocation-v2'!$E$6:$J$22,MATCH($H603,'[1]salary allocation-v2'!$D$6:$D$22,0),MATCH(X$3,'[1]salary allocation-v2'!$E$3:$J$3,0)),0)</f>
        <v>0</v>
      </c>
      <c r="Y603" s="15">
        <f>-$K603*IFERROR(INDEX('[1]salary allocation-v2'!$E$6:$J$22,MATCH($H603,'[1]salary allocation-v2'!$D$6:$D$22,0),MATCH(Y$3,'[1]salary allocation-v2'!$E$3:$J$3,0)),0)</f>
        <v>0</v>
      </c>
      <c r="Z603" s="15">
        <f>-$K603*IFERROR(INDEX('[1]salary allocation-v2'!$E$6:$J$22,MATCH($H603,'[1]salary allocation-v2'!$D$6:$D$22,0),MATCH(Z$3,'[1]salary allocation-v2'!$E$3:$J$3,0)),0)</f>
        <v>0</v>
      </c>
      <c r="AA603" s="15">
        <f>-$K603*IFERROR(INDEX('[1]salary allocation-v2'!$E$6:$J$22,MATCH($H603,'[1]salary allocation-v2'!$D$6:$D$22,0),MATCH(AA$3,'[1]salary allocation-v2'!$E$3:$J$3,0)),0)</f>
        <v>0</v>
      </c>
      <c r="AB603" s="15">
        <f>-$K603*IFERROR(INDEX('[1]salary allocation-v2'!$E$6:$J$22,MATCH($H603,'[1]salary allocation-v2'!$D$6:$D$22,0),MATCH(AB$3,'[1]salary allocation-v2'!$E$3:$J$3,0)),0)</f>
        <v>0</v>
      </c>
      <c r="AC603" s="18">
        <f>-$K603*IFERROR(INDEX('[1]salary allocation-v2'!$E$6:$J$22,MATCH($H603,'[1]salary allocation-v2'!$D$6:$D$22,0),MATCH(AC$3,'[1]salary allocation-v2'!$E$3:$J$3,0)),0)</f>
        <v>0</v>
      </c>
      <c r="AD603" s="17"/>
      <c r="AE603" s="16"/>
      <c r="AF603" s="15">
        <f>-$K603</f>
        <v>5262948</v>
      </c>
      <c r="AG603" s="15"/>
      <c r="AH603" s="2">
        <f>K603+SUM(O603:AC603)</f>
        <v>0</v>
      </c>
      <c r="AI603" s="2">
        <f>K603+SUM(AF603:AG603)</f>
        <v>0</v>
      </c>
    </row>
    <row r="604" spans="1:35" x14ac:dyDescent="0.2">
      <c r="A604" s="11" t="s">
        <v>61</v>
      </c>
      <c r="B604" s="22" t="s">
        <v>264</v>
      </c>
      <c r="H604" s="11" t="s">
        <v>37</v>
      </c>
      <c r="I604" s="11" t="s">
        <v>283</v>
      </c>
      <c r="K604" s="13">
        <v>-14737946</v>
      </c>
      <c r="L604" s="12">
        <v>92025</v>
      </c>
      <c r="M604" s="11" t="str">
        <f>LEFT(I604,(LEN(LEFT(I604,FIND(";",I604)))-8))</f>
        <v>VNOther</v>
      </c>
      <c r="N604" s="11"/>
      <c r="O604" s="15">
        <f>-$K604*IFERROR(INDEX('[1]salary allocation-v2'!$E$6:$J$22,MATCH($H604,'[1]salary allocation-v2'!$D$6:$D$22,0),MATCH(O$3,'[1]salary allocation-v2'!$E$3:$J$3,0)),0)</f>
        <v>0</v>
      </c>
      <c r="P604" s="15">
        <f>-$K604*IFERROR(INDEX('[1]salary allocation-v2'!$E$6:$J$22,MATCH($H604,'[1]salary allocation-v2'!$D$6:$D$22,0),MATCH(P$3,'[1]salary allocation-v2'!$E$3:$J$3,0)),0)</f>
        <v>0</v>
      </c>
      <c r="Q604" s="15">
        <f>-$K604*IFERROR(INDEX('[1]salary allocation-v2'!$E$6:$J$22,MATCH($H604,'[1]salary allocation-v2'!$D$6:$D$22,0),MATCH(Q$3,'[1]salary allocation-v2'!$E$3:$J$3,0)),0)</f>
        <v>0</v>
      </c>
      <c r="R604" s="15">
        <f>-$K604*IFERROR(INDEX('[1]salary allocation-v2'!$E$6:$J$22,MATCH($H604,'[1]salary allocation-v2'!$D$6:$D$22,0),MATCH(R$3,'[1]salary allocation-v2'!$E$3:$J$3,0)),0)</f>
        <v>0</v>
      </c>
      <c r="S604" s="15">
        <f>-$K604*IFERROR(INDEX('[1]salary allocation-v2'!$E$6:$J$22,MATCH($H604,'[1]salary allocation-v2'!$D$6:$D$22,0),MATCH(S$3,'[1]salary allocation-v2'!$E$3:$J$3,0)),0)</f>
        <v>2505450.8199999998</v>
      </c>
      <c r="T604" s="15">
        <f>-$K604*IFERROR(INDEX('[1]salary allocation-v2'!$E$6:$J$22,MATCH($H604,'[1]salary allocation-v2'!$D$6:$D$22,0),MATCH(T$3,'[1]salary allocation-v2'!$E$3:$J$3,0)),0)</f>
        <v>2505450.8199999998</v>
      </c>
      <c r="U604" s="15">
        <f>-$K604*IFERROR(INDEX('[1]salary allocation-v2'!$E$6:$J$22,MATCH($H604,'[1]salary allocation-v2'!$D$6:$D$22,0),MATCH(U$3,'[1]salary allocation-v2'!$E$3:$J$3,0)),0)</f>
        <v>2505450.8199999998</v>
      </c>
      <c r="V604" s="15">
        <f>-$K604*IFERROR(INDEX('[1]salary allocation-v2'!$E$6:$J$22,MATCH($H604,'[1]salary allocation-v2'!$D$6:$D$22,0),MATCH(V$3,'[1]salary allocation-v2'!$E$3:$J$3,0)),0)</f>
        <v>0</v>
      </c>
      <c r="W604" s="15">
        <f>-$K604*IFERROR(INDEX('[1]salary allocation-v2'!$E$6:$J$22,MATCH($H604,'[1]salary allocation-v2'!$D$6:$D$22,0),MATCH(W$3,'[1]salary allocation-v2'!$E$3:$J$3,0)),0)</f>
        <v>7221593.54</v>
      </c>
      <c r="X604" s="15">
        <f>-$K604*IFERROR(INDEX('[1]salary allocation-v2'!$E$6:$J$22,MATCH($H604,'[1]salary allocation-v2'!$D$6:$D$22,0),MATCH(X$3,'[1]salary allocation-v2'!$E$3:$J$3,0)),0)</f>
        <v>0</v>
      </c>
      <c r="Y604" s="15">
        <f>-$K604*IFERROR(INDEX('[1]salary allocation-v2'!$E$6:$J$22,MATCH($H604,'[1]salary allocation-v2'!$D$6:$D$22,0),MATCH(Y$3,'[1]salary allocation-v2'!$E$3:$J$3,0)),0)</f>
        <v>0</v>
      </c>
      <c r="Z604" s="15">
        <f>-$K604*IFERROR(INDEX('[1]salary allocation-v2'!$E$6:$J$22,MATCH($H604,'[1]salary allocation-v2'!$D$6:$D$22,0),MATCH(Z$3,'[1]salary allocation-v2'!$E$3:$J$3,0)),0)</f>
        <v>0</v>
      </c>
      <c r="AA604" s="15">
        <f>-$K604*IFERROR(INDEX('[1]salary allocation-v2'!$E$6:$J$22,MATCH($H604,'[1]salary allocation-v2'!$D$6:$D$22,0),MATCH(AA$3,'[1]salary allocation-v2'!$E$3:$J$3,0)),0)</f>
        <v>0</v>
      </c>
      <c r="AB604" s="15">
        <f>-$K604*IFERROR(INDEX('[1]salary allocation-v2'!$E$6:$J$22,MATCH($H604,'[1]salary allocation-v2'!$D$6:$D$22,0),MATCH(AB$3,'[1]salary allocation-v2'!$E$3:$J$3,0)),0)</f>
        <v>0</v>
      </c>
      <c r="AC604" s="18">
        <f>-$K604*IFERROR(INDEX('[1]salary allocation-v2'!$E$6:$J$22,MATCH($H604,'[1]salary allocation-v2'!$D$6:$D$22,0),MATCH(AC$3,'[1]salary allocation-v2'!$E$3:$J$3,0)),0)</f>
        <v>0</v>
      </c>
      <c r="AD604" s="17"/>
      <c r="AE604" s="16"/>
      <c r="AF604" s="15">
        <f>-K604</f>
        <v>14737946</v>
      </c>
      <c r="AG604" s="15"/>
      <c r="AH604" s="2">
        <f>K604+SUM(O604:AC604)</f>
        <v>0</v>
      </c>
      <c r="AI604" s="2">
        <f>K604+SUM(AF604:AG604)</f>
        <v>0</v>
      </c>
    </row>
    <row r="605" spans="1:35" x14ac:dyDescent="0.2">
      <c r="A605" s="11" t="s">
        <v>61</v>
      </c>
      <c r="B605" s="22" t="s">
        <v>264</v>
      </c>
      <c r="H605" s="11" t="s">
        <v>35</v>
      </c>
      <c r="I605" s="11" t="s">
        <v>282</v>
      </c>
      <c r="K605" s="13">
        <v>-32374298</v>
      </c>
      <c r="L605" s="12">
        <v>92025</v>
      </c>
      <c r="M605" s="11" t="str">
        <f>LEFT(I605,(LEN(LEFT(I605,FIND(";",I605)))-8))</f>
        <v>VNOther</v>
      </c>
      <c r="N605" s="11"/>
      <c r="O605" s="15">
        <f>-$K605*IFERROR(INDEX('[1]salary allocation-v2'!$E$6:$J$22,MATCH($H605,'[1]salary allocation-v2'!$D$6:$D$22,0),MATCH(O$3,'[1]salary allocation-v2'!$E$3:$J$3,0)),0)</f>
        <v>0</v>
      </c>
      <c r="P605" s="15">
        <f>-$K605*IFERROR(INDEX('[1]salary allocation-v2'!$E$6:$J$22,MATCH($H605,'[1]salary allocation-v2'!$D$6:$D$22,0),MATCH(P$3,'[1]salary allocation-v2'!$E$3:$J$3,0)),0)</f>
        <v>0</v>
      </c>
      <c r="Q605" s="15">
        <f>-$K605*IFERROR(INDEX('[1]salary allocation-v2'!$E$6:$J$22,MATCH($H605,'[1]salary allocation-v2'!$D$6:$D$22,0),MATCH(Q$3,'[1]salary allocation-v2'!$E$3:$J$3,0)),0)</f>
        <v>0</v>
      </c>
      <c r="R605" s="15">
        <f>-$K605*IFERROR(INDEX('[1]salary allocation-v2'!$E$6:$J$22,MATCH($H605,'[1]salary allocation-v2'!$D$6:$D$22,0),MATCH(R$3,'[1]salary allocation-v2'!$E$3:$J$3,0)),0)</f>
        <v>0</v>
      </c>
      <c r="S605" s="15">
        <f>-$K605*IFERROR(INDEX('[1]salary allocation-v2'!$E$6:$J$22,MATCH($H605,'[1]salary allocation-v2'!$D$6:$D$22,0),MATCH(S$3,'[1]salary allocation-v2'!$E$3:$J$3,0)),0)</f>
        <v>5503630.6599999992</v>
      </c>
      <c r="T605" s="15">
        <f>-$K605*IFERROR(INDEX('[1]salary allocation-v2'!$E$6:$J$22,MATCH($H605,'[1]salary allocation-v2'!$D$6:$D$22,0),MATCH(T$3,'[1]salary allocation-v2'!$E$3:$J$3,0)),0)</f>
        <v>5503630.6599999992</v>
      </c>
      <c r="U605" s="15">
        <f>-$K605*IFERROR(INDEX('[1]salary allocation-v2'!$E$6:$J$22,MATCH($H605,'[1]salary allocation-v2'!$D$6:$D$22,0),MATCH(U$3,'[1]salary allocation-v2'!$E$3:$J$3,0)),0)</f>
        <v>5503630.6599999992</v>
      </c>
      <c r="V605" s="15">
        <f>-$K605*IFERROR(INDEX('[1]salary allocation-v2'!$E$6:$J$22,MATCH($H605,'[1]salary allocation-v2'!$D$6:$D$22,0),MATCH(V$3,'[1]salary allocation-v2'!$E$3:$J$3,0)),0)</f>
        <v>0</v>
      </c>
      <c r="W605" s="15">
        <f>-$K605*IFERROR(INDEX('[1]salary allocation-v2'!$E$6:$J$22,MATCH($H605,'[1]salary allocation-v2'!$D$6:$D$22,0),MATCH(W$3,'[1]salary allocation-v2'!$E$3:$J$3,0)),0)</f>
        <v>15863406.02</v>
      </c>
      <c r="X605" s="15">
        <f>-$K605*IFERROR(INDEX('[1]salary allocation-v2'!$E$6:$J$22,MATCH($H605,'[1]salary allocation-v2'!$D$6:$D$22,0),MATCH(X$3,'[1]salary allocation-v2'!$E$3:$J$3,0)),0)</f>
        <v>0</v>
      </c>
      <c r="Y605" s="15">
        <f>-$K605*IFERROR(INDEX('[1]salary allocation-v2'!$E$6:$J$22,MATCH($H605,'[1]salary allocation-v2'!$D$6:$D$22,0),MATCH(Y$3,'[1]salary allocation-v2'!$E$3:$J$3,0)),0)</f>
        <v>0</v>
      </c>
      <c r="Z605" s="15">
        <f>-$K605*IFERROR(INDEX('[1]salary allocation-v2'!$E$6:$J$22,MATCH($H605,'[1]salary allocation-v2'!$D$6:$D$22,0),MATCH(Z$3,'[1]salary allocation-v2'!$E$3:$J$3,0)),0)</f>
        <v>0</v>
      </c>
      <c r="AA605" s="15">
        <f>-$K605*IFERROR(INDEX('[1]salary allocation-v2'!$E$6:$J$22,MATCH($H605,'[1]salary allocation-v2'!$D$6:$D$22,0),MATCH(AA$3,'[1]salary allocation-v2'!$E$3:$J$3,0)),0)</f>
        <v>0</v>
      </c>
      <c r="AB605" s="15">
        <f>-$K605*IFERROR(INDEX('[1]salary allocation-v2'!$E$6:$J$22,MATCH($H605,'[1]salary allocation-v2'!$D$6:$D$22,0),MATCH(AB$3,'[1]salary allocation-v2'!$E$3:$J$3,0)),0)</f>
        <v>0</v>
      </c>
      <c r="AC605" s="18">
        <f>-$K605*IFERROR(INDEX('[1]salary allocation-v2'!$E$6:$J$22,MATCH($H605,'[1]salary allocation-v2'!$D$6:$D$22,0),MATCH(AC$3,'[1]salary allocation-v2'!$E$3:$J$3,0)),0)</f>
        <v>0</v>
      </c>
      <c r="AD605" s="17"/>
      <c r="AE605" s="16"/>
      <c r="AF605" s="15">
        <f>-$K605</f>
        <v>32374298</v>
      </c>
      <c r="AG605" s="15"/>
      <c r="AH605" s="2">
        <f>K605+SUM(O605:AC605)</f>
        <v>0</v>
      </c>
      <c r="AI605" s="2">
        <f>K605+SUM(AF605:AG605)</f>
        <v>0</v>
      </c>
    </row>
    <row r="606" spans="1:35" x14ac:dyDescent="0.2">
      <c r="A606" s="11" t="s">
        <v>61</v>
      </c>
      <c r="B606" s="22" t="s">
        <v>264</v>
      </c>
      <c r="H606" s="11" t="s">
        <v>121</v>
      </c>
      <c r="I606" s="11" t="s">
        <v>281</v>
      </c>
      <c r="K606" s="13">
        <v>-152496</v>
      </c>
      <c r="L606" s="12">
        <v>92025</v>
      </c>
      <c r="M606" s="11" t="str">
        <f>LEFT(I606,(LEN(LEFT(I606,FIND(";",I606)))-8))</f>
        <v>VNLA</v>
      </c>
      <c r="N606" s="11"/>
      <c r="O606" s="2">
        <f>IF($M606=O$3,-$K606,0)</f>
        <v>0</v>
      </c>
      <c r="P606" s="2">
        <f>IF($M606=P$3,-$K606,0)</f>
        <v>0</v>
      </c>
      <c r="Q606" s="2">
        <f>IF($M606=Q$3,-$K606,0)</f>
        <v>0</v>
      </c>
      <c r="R606" s="2">
        <f>IF($M606=R$3,-$K606,0)</f>
        <v>0</v>
      </c>
      <c r="S606" s="2">
        <f>IF($M606=S$3,-$K606,0)</f>
        <v>0</v>
      </c>
      <c r="T606" s="2">
        <f>IF($M606=T$3,-$K606,0)</f>
        <v>0</v>
      </c>
      <c r="U606" s="2">
        <f>IF($M606=U$3,-$K606,0)</f>
        <v>0</v>
      </c>
      <c r="V606" s="2">
        <f>IF($M606=V$3,-$K606,0)</f>
        <v>0</v>
      </c>
      <c r="W606" s="2">
        <f>IF($M606=W$3,-$K606,0)</f>
        <v>0</v>
      </c>
      <c r="X606" s="2">
        <f>IF($M606=X$3,-$K606,0)</f>
        <v>152496</v>
      </c>
      <c r="Y606" s="2">
        <f>IF($M606=Y$3,-$K606,0)</f>
        <v>0</v>
      </c>
      <c r="Z606" s="2">
        <f>IF($M606=Z$3,-$K606,0)</f>
        <v>0</v>
      </c>
      <c r="AA606" s="2">
        <f>IF($M606=AA$3,-$K606,0)</f>
        <v>0</v>
      </c>
      <c r="AB606" s="2">
        <f>IF($M606=AB$3,-$K606,0)</f>
        <v>0</v>
      </c>
      <c r="AC606" s="21">
        <f>IF($M606=AC$3,-$K606,0)</f>
        <v>0</v>
      </c>
      <c r="AD606" s="20"/>
      <c r="AE606" s="19"/>
      <c r="AF606" s="2"/>
      <c r="AG606" s="2">
        <f>-$K606</f>
        <v>152496</v>
      </c>
      <c r="AH606" s="2">
        <f>K606+SUM(O606:AC606)</f>
        <v>0</v>
      </c>
      <c r="AI606" s="2">
        <f>K606+SUM(AF606:AG606)</f>
        <v>0</v>
      </c>
    </row>
    <row r="607" spans="1:35" x14ac:dyDescent="0.2">
      <c r="A607" s="11" t="s">
        <v>61</v>
      </c>
      <c r="B607" s="22" t="s">
        <v>264</v>
      </c>
      <c r="H607" s="11" t="s">
        <v>33</v>
      </c>
      <c r="I607" s="11" t="s">
        <v>280</v>
      </c>
      <c r="K607" s="13">
        <v>-169754</v>
      </c>
      <c r="L607" s="12">
        <v>92025</v>
      </c>
      <c r="M607" s="11" t="str">
        <f>LEFT(I607,(LEN(LEFT(I607,FIND(";",I607)))-8))</f>
        <v>VNDN</v>
      </c>
      <c r="N607" s="11"/>
      <c r="O607" s="2">
        <f>IF($M607=O$3,-$K607,0)</f>
        <v>0</v>
      </c>
      <c r="P607" s="2">
        <f>IF($M607=P$3,-$K607,0)</f>
        <v>0</v>
      </c>
      <c r="Q607" s="2">
        <f>IF($M607=Q$3,-$K607,0)</f>
        <v>0</v>
      </c>
      <c r="R607" s="2">
        <f>IF($M607=R$3,-$K607,0)</f>
        <v>0</v>
      </c>
      <c r="S607" s="2">
        <f>IF($M607=S$3,-$K607,0)</f>
        <v>169754</v>
      </c>
      <c r="T607" s="2">
        <f>IF($M607=T$3,-$K607,0)</f>
        <v>0</v>
      </c>
      <c r="U607" s="2">
        <f>IF($M607=U$3,-$K607,0)</f>
        <v>0</v>
      </c>
      <c r="V607" s="2">
        <f>IF($M607=V$3,-$K607,0)</f>
        <v>0</v>
      </c>
      <c r="W607" s="2">
        <f>IF($M607=W$3,-$K607,0)</f>
        <v>0</v>
      </c>
      <c r="X607" s="2">
        <f>IF($M607=X$3,-$K607,0)</f>
        <v>0</v>
      </c>
      <c r="Y607" s="2">
        <f>IF($M607=Y$3,-$K607,0)</f>
        <v>0</v>
      </c>
      <c r="Z607" s="2">
        <f>IF($M607=Z$3,-$K607,0)</f>
        <v>0</v>
      </c>
      <c r="AA607" s="2">
        <f>IF($M607=AA$3,-$K607,0)</f>
        <v>0</v>
      </c>
      <c r="AB607" s="2">
        <f>IF($M607=AB$3,-$K607,0)</f>
        <v>0</v>
      </c>
      <c r="AC607" s="21">
        <f>IF($M607=AC$3,-$K607,0)</f>
        <v>0</v>
      </c>
      <c r="AD607" s="20"/>
      <c r="AE607" s="19"/>
      <c r="AF607" s="2"/>
      <c r="AG607" s="2">
        <f>-$K607</f>
        <v>169754</v>
      </c>
      <c r="AH607" s="2">
        <f>K607+SUM(O607:AC607)</f>
        <v>0</v>
      </c>
      <c r="AI607" s="2">
        <f>K607+SUM(AF607:AG607)</f>
        <v>0</v>
      </c>
    </row>
    <row r="608" spans="1:35" x14ac:dyDescent="0.2">
      <c r="A608" s="11" t="s">
        <v>61</v>
      </c>
      <c r="B608" s="22" t="s">
        <v>264</v>
      </c>
      <c r="H608" s="11" t="s">
        <v>31</v>
      </c>
      <c r="I608" s="11" t="s">
        <v>279</v>
      </c>
      <c r="K608" s="13">
        <v>0</v>
      </c>
      <c r="L608" s="12">
        <v>92025</v>
      </c>
      <c r="M608" s="11" t="str">
        <f>LEFT(I608,(LEN(LEFT(I608,FIND(";",I608)))-8))</f>
        <v>VNDN</v>
      </c>
      <c r="N608" s="11"/>
      <c r="O608" s="2">
        <f>IF($M608=O$3,-$K608,0)</f>
        <v>0</v>
      </c>
      <c r="P608" s="2">
        <f>IF($M608=P$3,-$K608,0)</f>
        <v>0</v>
      </c>
      <c r="Q608" s="2">
        <f>IF($M608=Q$3,-$K608,0)</f>
        <v>0</v>
      </c>
      <c r="R608" s="2">
        <f>IF($M608=R$3,-$K608,0)</f>
        <v>0</v>
      </c>
      <c r="S608" s="2">
        <f>IF($M608=S$3,-$K608,0)</f>
        <v>0</v>
      </c>
      <c r="T608" s="2">
        <f>IF($M608=T$3,-$K608,0)</f>
        <v>0</v>
      </c>
      <c r="U608" s="2">
        <f>IF($M608=U$3,-$K608,0)</f>
        <v>0</v>
      </c>
      <c r="V608" s="2">
        <f>IF($M608=V$3,-$K608,0)</f>
        <v>0</v>
      </c>
      <c r="W608" s="2">
        <f>IF($M608=W$3,-$K608,0)</f>
        <v>0</v>
      </c>
      <c r="X608" s="2">
        <f>IF($M608=X$3,-$K608,0)</f>
        <v>0</v>
      </c>
      <c r="Y608" s="2">
        <f>IF($M608=Y$3,-$K608,0)</f>
        <v>0</v>
      </c>
      <c r="Z608" s="2">
        <f>IF($M608=Z$3,-$K608,0)</f>
        <v>0</v>
      </c>
      <c r="AA608" s="2">
        <f>IF($M608=AA$3,-$K608,0)</f>
        <v>0</v>
      </c>
      <c r="AB608" s="2">
        <f>IF($M608=AB$3,-$K608,0)</f>
        <v>0</v>
      </c>
      <c r="AC608" s="21">
        <f>IF($M608=AC$3,-$K608,0)</f>
        <v>0</v>
      </c>
      <c r="AD608" s="20"/>
      <c r="AE608" s="19"/>
      <c r="AF608" s="2"/>
      <c r="AG608" s="2">
        <f>-$K608</f>
        <v>0</v>
      </c>
      <c r="AH608" s="2">
        <f>K608+SUM(O608:AC608)</f>
        <v>0</v>
      </c>
      <c r="AI608" s="2">
        <f>K608+SUM(AF608:AG608)</f>
        <v>0</v>
      </c>
    </row>
    <row r="609" spans="1:35" x14ac:dyDescent="0.2">
      <c r="A609" s="11" t="s">
        <v>61</v>
      </c>
      <c r="B609" s="22" t="s">
        <v>264</v>
      </c>
      <c r="H609" s="11" t="s">
        <v>29</v>
      </c>
      <c r="I609" s="11" t="s">
        <v>278</v>
      </c>
      <c r="K609" s="13">
        <v>-99771</v>
      </c>
      <c r="L609" s="12">
        <v>92025</v>
      </c>
      <c r="M609" s="11" t="str">
        <f>LEFT(I609,(LEN(LEFT(I609,FIND(";",I609)))-8))</f>
        <v>VNDN</v>
      </c>
      <c r="N609" s="11"/>
      <c r="O609" s="2">
        <f>IF($M609=O$3,-$K609,0)</f>
        <v>0</v>
      </c>
      <c r="P609" s="2">
        <f>IF($M609=P$3,-$K609,0)</f>
        <v>0</v>
      </c>
      <c r="Q609" s="2">
        <f>IF($M609=Q$3,-$K609,0)</f>
        <v>0</v>
      </c>
      <c r="R609" s="2">
        <f>IF($M609=R$3,-$K609,0)</f>
        <v>0</v>
      </c>
      <c r="S609" s="2">
        <f>IF($M609=S$3,-$K609,0)</f>
        <v>99771</v>
      </c>
      <c r="T609" s="2">
        <f>IF($M609=T$3,-$K609,0)</f>
        <v>0</v>
      </c>
      <c r="U609" s="2">
        <f>IF($M609=U$3,-$K609,0)</f>
        <v>0</v>
      </c>
      <c r="V609" s="2">
        <f>IF($M609=V$3,-$K609,0)</f>
        <v>0</v>
      </c>
      <c r="W609" s="2">
        <f>IF($M609=W$3,-$K609,0)</f>
        <v>0</v>
      </c>
      <c r="X609" s="2">
        <f>IF($M609=X$3,-$K609,0)</f>
        <v>0</v>
      </c>
      <c r="Y609" s="2">
        <f>IF($M609=Y$3,-$K609,0)</f>
        <v>0</v>
      </c>
      <c r="Z609" s="2">
        <f>IF($M609=Z$3,-$K609,0)</f>
        <v>0</v>
      </c>
      <c r="AA609" s="2">
        <f>IF($M609=AA$3,-$K609,0)</f>
        <v>0</v>
      </c>
      <c r="AB609" s="2">
        <f>IF($M609=AB$3,-$K609,0)</f>
        <v>0</v>
      </c>
      <c r="AC609" s="21">
        <f>IF($M609=AC$3,-$K609,0)</f>
        <v>0</v>
      </c>
      <c r="AD609" s="20"/>
      <c r="AE609" s="19"/>
      <c r="AF609" s="2"/>
      <c r="AG609" s="2">
        <f>-$K609</f>
        <v>99771</v>
      </c>
      <c r="AH609" s="2">
        <f>K609+SUM(O609:AC609)</f>
        <v>0</v>
      </c>
      <c r="AI609" s="2">
        <f>K609+SUM(AF609:AG609)</f>
        <v>0</v>
      </c>
    </row>
    <row r="610" spans="1:35" x14ac:dyDescent="0.2">
      <c r="A610" s="11" t="s">
        <v>61</v>
      </c>
      <c r="B610" s="22" t="s">
        <v>264</v>
      </c>
      <c r="H610" s="11" t="s">
        <v>27</v>
      </c>
      <c r="I610" s="11" t="s">
        <v>277</v>
      </c>
      <c r="K610" s="13">
        <v>0</v>
      </c>
      <c r="L610" s="12">
        <v>92025</v>
      </c>
      <c r="M610" s="11" t="str">
        <f>LEFT(I610,(LEN(LEFT(I610,FIND(";",I610)))-8))</f>
        <v>VNDN</v>
      </c>
      <c r="N610" s="11"/>
      <c r="O610" s="2">
        <f>IF($M610=O$3,-$K610,0)</f>
        <v>0</v>
      </c>
      <c r="P610" s="2">
        <f>IF($M610=P$3,-$K610,0)</f>
        <v>0</v>
      </c>
      <c r="Q610" s="2">
        <f>IF($M610=Q$3,-$K610,0)</f>
        <v>0</v>
      </c>
      <c r="R610" s="2">
        <f>IF($M610=R$3,-$K610,0)</f>
        <v>0</v>
      </c>
      <c r="S610" s="2">
        <f>IF($M610=S$3,-$K610,0)</f>
        <v>0</v>
      </c>
      <c r="T610" s="2">
        <f>IF($M610=T$3,-$K610,0)</f>
        <v>0</v>
      </c>
      <c r="U610" s="2">
        <f>IF($M610=U$3,-$K610,0)</f>
        <v>0</v>
      </c>
      <c r="V610" s="2">
        <f>IF($M610=V$3,-$K610,0)</f>
        <v>0</v>
      </c>
      <c r="W610" s="2">
        <f>IF($M610=W$3,-$K610,0)</f>
        <v>0</v>
      </c>
      <c r="X610" s="2">
        <f>IF($M610=X$3,-$K610,0)</f>
        <v>0</v>
      </c>
      <c r="Y610" s="2">
        <f>IF($M610=Y$3,-$K610,0)</f>
        <v>0</v>
      </c>
      <c r="Z610" s="2">
        <f>IF($M610=Z$3,-$K610,0)</f>
        <v>0</v>
      </c>
      <c r="AA610" s="2">
        <f>IF($M610=AA$3,-$K610,0)</f>
        <v>0</v>
      </c>
      <c r="AB610" s="2">
        <f>IF($M610=AB$3,-$K610,0)</f>
        <v>0</v>
      </c>
      <c r="AC610" s="21">
        <f>IF($M610=AC$3,-$K610,0)</f>
        <v>0</v>
      </c>
      <c r="AD610" s="20"/>
      <c r="AE610" s="19"/>
      <c r="AF610" s="2"/>
      <c r="AG610" s="2">
        <f>-$K610</f>
        <v>0</v>
      </c>
      <c r="AH610" s="2">
        <f>K610+SUM(O610:AC610)</f>
        <v>0</v>
      </c>
      <c r="AI610" s="2">
        <f>K610+SUM(AF610:AG610)</f>
        <v>0</v>
      </c>
    </row>
    <row r="611" spans="1:35" x14ac:dyDescent="0.2">
      <c r="A611" s="11" t="s">
        <v>61</v>
      </c>
      <c r="B611" s="22" t="s">
        <v>264</v>
      </c>
      <c r="H611" s="11" t="s">
        <v>25</v>
      </c>
      <c r="I611" s="11" t="s">
        <v>276</v>
      </c>
      <c r="K611" s="13">
        <v>0</v>
      </c>
      <c r="L611" s="12">
        <v>92025</v>
      </c>
      <c r="M611" s="11" t="str">
        <f>LEFT(I611,(LEN(LEFT(I611,FIND(";",I611)))-8))</f>
        <v>VNQN</v>
      </c>
      <c r="N611" s="11"/>
      <c r="O611" s="2">
        <f>IF($M611=O$3,-$K611,0)</f>
        <v>0</v>
      </c>
      <c r="P611" s="2">
        <f>IF($M611=P$3,-$K611,0)</f>
        <v>0</v>
      </c>
      <c r="Q611" s="2">
        <f>IF($M611=Q$3,-$K611,0)</f>
        <v>0</v>
      </c>
      <c r="R611" s="2">
        <f>IF($M611=R$3,-$K611,0)</f>
        <v>0</v>
      </c>
      <c r="S611" s="2">
        <f>IF($M611=S$3,-$K611,0)</f>
        <v>0</v>
      </c>
      <c r="T611" s="2">
        <f>IF($M611=T$3,-$K611,0)</f>
        <v>0</v>
      </c>
      <c r="U611" s="2">
        <f>IF($M611=U$3,-$K611,0)</f>
        <v>0</v>
      </c>
      <c r="V611" s="2">
        <f>IF($M611=V$3,-$K611,0)</f>
        <v>0</v>
      </c>
      <c r="W611" s="2">
        <f>IF($M611=W$3,-$K611,0)</f>
        <v>0</v>
      </c>
      <c r="X611" s="2">
        <f>IF($M611=X$3,-$K611,0)</f>
        <v>0</v>
      </c>
      <c r="Y611" s="2">
        <f>IF($M611=Y$3,-$K611,0)</f>
        <v>0</v>
      </c>
      <c r="Z611" s="2">
        <f>IF($M611=Z$3,-$K611,0)</f>
        <v>0</v>
      </c>
      <c r="AA611" s="2">
        <f>IF($M611=AA$3,-$K611,0)</f>
        <v>0</v>
      </c>
      <c r="AB611" s="2">
        <f>IF($M611=AB$3,-$K611,0)</f>
        <v>0</v>
      </c>
      <c r="AC611" s="21">
        <f>IF($M611=AC$3,-$K611,0)</f>
        <v>0</v>
      </c>
      <c r="AD611" s="20"/>
      <c r="AE611" s="19"/>
      <c r="AF611" s="2"/>
      <c r="AG611" s="2">
        <f>-$K611</f>
        <v>0</v>
      </c>
      <c r="AH611" s="2">
        <f>K611+SUM(O611:AC611)</f>
        <v>0</v>
      </c>
      <c r="AI611" s="2">
        <f>K611+SUM(AF611:AG611)</f>
        <v>0</v>
      </c>
    </row>
    <row r="612" spans="1:35" x14ac:dyDescent="0.2">
      <c r="A612" s="11" t="s">
        <v>61</v>
      </c>
      <c r="B612" s="22" t="s">
        <v>264</v>
      </c>
      <c r="H612" s="11" t="s">
        <v>81</v>
      </c>
      <c r="I612" s="11" t="s">
        <v>275</v>
      </c>
      <c r="K612" s="13">
        <v>0</v>
      </c>
      <c r="L612" s="12">
        <v>92025</v>
      </c>
      <c r="M612" s="11" t="str">
        <f>LEFT(I612,(LEN(LEFT(I612,FIND(";",I612)))-8))</f>
        <v>VNQN</v>
      </c>
      <c r="N612" s="11"/>
      <c r="O612" s="2">
        <f>IF($M612=O$3,-$K612,0)</f>
        <v>0</v>
      </c>
      <c r="P612" s="2">
        <f>IF($M612=P$3,-$K612,0)</f>
        <v>0</v>
      </c>
      <c r="Q612" s="2">
        <f>IF($M612=Q$3,-$K612,0)</f>
        <v>0</v>
      </c>
      <c r="R612" s="2">
        <f>IF($M612=R$3,-$K612,0)</f>
        <v>0</v>
      </c>
      <c r="S612" s="2">
        <f>IF($M612=S$3,-$K612,0)</f>
        <v>0</v>
      </c>
      <c r="T612" s="2">
        <f>IF($M612=T$3,-$K612,0)</f>
        <v>0</v>
      </c>
      <c r="U612" s="2">
        <f>IF($M612=U$3,-$K612,0)</f>
        <v>0</v>
      </c>
      <c r="V612" s="2">
        <f>IF($M612=V$3,-$K612,0)</f>
        <v>0</v>
      </c>
      <c r="W612" s="2">
        <f>IF($M612=W$3,-$K612,0)</f>
        <v>0</v>
      </c>
      <c r="X612" s="2">
        <f>IF($M612=X$3,-$K612,0)</f>
        <v>0</v>
      </c>
      <c r="Y612" s="2">
        <f>IF($M612=Y$3,-$K612,0)</f>
        <v>0</v>
      </c>
      <c r="Z612" s="2">
        <f>IF($M612=Z$3,-$K612,0)</f>
        <v>0</v>
      </c>
      <c r="AA612" s="2">
        <f>IF($M612=AA$3,-$K612,0)</f>
        <v>0</v>
      </c>
      <c r="AB612" s="2">
        <f>IF($M612=AB$3,-$K612,0)</f>
        <v>0</v>
      </c>
      <c r="AC612" s="21">
        <f>IF($M612=AC$3,-$K612,0)</f>
        <v>0</v>
      </c>
      <c r="AD612" s="20"/>
      <c r="AE612" s="19"/>
      <c r="AF612" s="2"/>
      <c r="AG612" s="2">
        <f>-$K612</f>
        <v>0</v>
      </c>
      <c r="AH612" s="2">
        <f>K612+SUM(O612:AC612)</f>
        <v>0</v>
      </c>
      <c r="AI612" s="2">
        <f>K612+SUM(AF612:AG612)</f>
        <v>0</v>
      </c>
    </row>
    <row r="613" spans="1:35" x14ac:dyDescent="0.2">
      <c r="A613" s="11" t="s">
        <v>61</v>
      </c>
      <c r="B613" s="22" t="s">
        <v>264</v>
      </c>
      <c r="H613" s="11" t="s">
        <v>23</v>
      </c>
      <c r="I613" s="11" t="s">
        <v>274</v>
      </c>
      <c r="K613" s="13">
        <v>0</v>
      </c>
      <c r="L613" s="12">
        <v>92025</v>
      </c>
      <c r="M613" s="11" t="str">
        <f>LEFT(I613,(LEN(LEFT(I613,FIND(";",I613)))-8))</f>
        <v>VNHD</v>
      </c>
      <c r="N613" s="11"/>
      <c r="O613" s="2">
        <f>IF($M613=O$3,-$K613,0)</f>
        <v>0</v>
      </c>
      <c r="P613" s="2">
        <f>IF($M613=P$3,-$K613,0)</f>
        <v>0</v>
      </c>
      <c r="Q613" s="2">
        <f>IF($M613=Q$3,-$K613,0)</f>
        <v>0</v>
      </c>
      <c r="R613" s="2">
        <f>IF($M613=R$3,-$K613,0)</f>
        <v>0</v>
      </c>
      <c r="S613" s="2">
        <f>IF($M613=S$3,-$K613,0)</f>
        <v>0</v>
      </c>
      <c r="T613" s="2">
        <f>IF($M613=T$3,-$K613,0)</f>
        <v>0</v>
      </c>
      <c r="U613" s="2">
        <f>IF($M613=U$3,-$K613,0)</f>
        <v>0</v>
      </c>
      <c r="V613" s="2">
        <f>IF($M613=V$3,-$K613,0)</f>
        <v>0</v>
      </c>
      <c r="W613" s="2">
        <f>IF($M613=W$3,-$K613,0)</f>
        <v>0</v>
      </c>
      <c r="X613" s="2">
        <f>IF($M613=X$3,-$K613,0)</f>
        <v>0</v>
      </c>
      <c r="Y613" s="2">
        <f>IF($M613=Y$3,-$K613,0)</f>
        <v>0</v>
      </c>
      <c r="Z613" s="2">
        <f>IF($M613=Z$3,-$K613,0)</f>
        <v>0</v>
      </c>
      <c r="AA613" s="2">
        <f>IF($M613=AA$3,-$K613,0)</f>
        <v>0</v>
      </c>
      <c r="AB613" s="2">
        <f>IF($M613=AB$3,-$K613,0)</f>
        <v>0</v>
      </c>
      <c r="AC613" s="21">
        <f>IF($M613=AC$3,-$K613,0)</f>
        <v>0</v>
      </c>
      <c r="AD613" s="20"/>
      <c r="AE613" s="19"/>
      <c r="AF613" s="2"/>
      <c r="AG613" s="2">
        <f>-$K613</f>
        <v>0</v>
      </c>
      <c r="AH613" s="2">
        <f>K613+SUM(O613:AC613)</f>
        <v>0</v>
      </c>
      <c r="AI613" s="2">
        <f>K613+SUM(AF613:AG613)</f>
        <v>0</v>
      </c>
    </row>
    <row r="614" spans="1:35" x14ac:dyDescent="0.2">
      <c r="A614" s="11" t="s">
        <v>61</v>
      </c>
      <c r="B614" s="22" t="s">
        <v>264</v>
      </c>
      <c r="H614" s="11" t="s">
        <v>21</v>
      </c>
      <c r="I614" s="11" t="s">
        <v>273</v>
      </c>
      <c r="K614" s="13">
        <v>-188296</v>
      </c>
      <c r="L614" s="12">
        <v>92025</v>
      </c>
      <c r="M614" s="11" t="str">
        <f>LEFT(I614,(LEN(LEFT(I614,FIND(";",I614)))-8))</f>
        <v>VNHCM</v>
      </c>
      <c r="N614" s="11"/>
      <c r="O614" s="2">
        <f>IF($M614=O$3,-$K614,0)</f>
        <v>0</v>
      </c>
      <c r="P614" s="2">
        <f>IF($M614=P$3,-$K614,0)</f>
        <v>0</v>
      </c>
      <c r="Q614" s="2">
        <f>IF($M614=Q$3,-$K614,0)</f>
        <v>0</v>
      </c>
      <c r="R614" s="2">
        <f>IF($M614=R$3,-$K614,0)</f>
        <v>0</v>
      </c>
      <c r="S614" s="2">
        <f>IF($M614=S$3,-$K614,0)</f>
        <v>0</v>
      </c>
      <c r="T614" s="2">
        <f>IF($M614=T$3,-$K614,0)</f>
        <v>0</v>
      </c>
      <c r="U614" s="2">
        <f>IF($M614=U$3,-$K614,0)</f>
        <v>0</v>
      </c>
      <c r="V614" s="2">
        <f>IF($M614=V$3,-$K614,0)</f>
        <v>0</v>
      </c>
      <c r="W614" s="2">
        <f>IF($M614=W$3,-$K614,0)</f>
        <v>0</v>
      </c>
      <c r="X614" s="2">
        <f>IF($M614=X$3,-$K614,0)</f>
        <v>0</v>
      </c>
      <c r="Y614" s="2">
        <f>IF($M614=Y$3,-$K614,0)</f>
        <v>188296</v>
      </c>
      <c r="Z614" s="2">
        <f>IF($M614=Z$3,-$K614,0)</f>
        <v>0</v>
      </c>
      <c r="AA614" s="2">
        <f>IF($M614=AA$3,-$K614,0)</f>
        <v>0</v>
      </c>
      <c r="AB614" s="2">
        <f>IF($M614=AB$3,-$K614,0)</f>
        <v>0</v>
      </c>
      <c r="AC614" s="21">
        <f>IF($M614=AC$3,-$K614,0)</f>
        <v>0</v>
      </c>
      <c r="AD614" s="20"/>
      <c r="AE614" s="19"/>
      <c r="AF614" s="2"/>
      <c r="AG614" s="2">
        <f>-$K614</f>
        <v>188296</v>
      </c>
      <c r="AH614" s="2">
        <f>K614+SUM(O614:AC614)</f>
        <v>0</v>
      </c>
      <c r="AI614" s="2">
        <f>K614+SUM(AF614:AG614)</f>
        <v>0</v>
      </c>
    </row>
    <row r="615" spans="1:35" x14ac:dyDescent="0.2">
      <c r="A615" s="11" t="s">
        <v>61</v>
      </c>
      <c r="B615" s="22" t="s">
        <v>264</v>
      </c>
      <c r="H615" s="11" t="s">
        <v>156</v>
      </c>
      <c r="I615" s="11" t="s">
        <v>272</v>
      </c>
      <c r="K615" s="13">
        <v>0</v>
      </c>
      <c r="L615" s="12">
        <v>92025</v>
      </c>
      <c r="M615" s="11" t="str">
        <f>LEFT(I615,(LEN(LEFT(I615,FIND(";",I615)))-8))</f>
        <v>VNBG</v>
      </c>
      <c r="N615" s="11"/>
      <c r="O615" s="2">
        <f>IF($M615=O$3,-$K615,0)</f>
        <v>0</v>
      </c>
      <c r="P615" s="2">
        <f>IF($M615=P$3,-$K615,0)</f>
        <v>0</v>
      </c>
      <c r="Q615" s="2">
        <f>IF($M615=Q$3,-$K615,0)</f>
        <v>0</v>
      </c>
      <c r="R615" s="2">
        <f>IF($M615=R$3,-$K615,0)</f>
        <v>0</v>
      </c>
      <c r="S615" s="2">
        <f>IF($M615=S$3,-$K615,0)</f>
        <v>0</v>
      </c>
      <c r="T615" s="2">
        <f>IF($M615=T$3,-$K615,0)</f>
        <v>0</v>
      </c>
      <c r="U615" s="2">
        <f>IF($M615=U$3,-$K615,0)</f>
        <v>0</v>
      </c>
      <c r="V615" s="2">
        <f>IF($M615=V$3,-$K615,0)</f>
        <v>0</v>
      </c>
      <c r="W615" s="2">
        <f>IF($M615=W$3,-$K615,0)</f>
        <v>0</v>
      </c>
      <c r="X615" s="2">
        <f>IF($M615=X$3,-$K615,0)</f>
        <v>0</v>
      </c>
      <c r="Y615" s="2">
        <f>IF($M615=Y$3,-$K615,0)</f>
        <v>0</v>
      </c>
      <c r="Z615" s="2">
        <f>IF($M615=Z$3,-$K615,0)</f>
        <v>0</v>
      </c>
      <c r="AA615" s="2">
        <f>IF($M615=AA$3,-$K615,0)</f>
        <v>0</v>
      </c>
      <c r="AB615" s="2">
        <f>IF($M615=AB$3,-$K615,0)</f>
        <v>0</v>
      </c>
      <c r="AC615" s="21">
        <f>IF($M615=AC$3,-$K615,0)</f>
        <v>0</v>
      </c>
      <c r="AD615" s="20"/>
      <c r="AE615" s="19"/>
      <c r="AF615" s="2"/>
      <c r="AG615" s="2"/>
      <c r="AH615" s="2">
        <f>K615+SUM(O615:AC615)</f>
        <v>0</v>
      </c>
      <c r="AI615" s="2">
        <f>K615+SUM(AF615:AG615)</f>
        <v>0</v>
      </c>
    </row>
    <row r="616" spans="1:35" x14ac:dyDescent="0.2">
      <c r="A616" s="11" t="s">
        <v>61</v>
      </c>
      <c r="B616" s="22" t="s">
        <v>264</v>
      </c>
      <c r="H616" s="11" t="s">
        <v>19</v>
      </c>
      <c r="I616" s="11" t="s">
        <v>271</v>
      </c>
      <c r="K616" s="13">
        <v>-188296</v>
      </c>
      <c r="L616" s="12">
        <v>92025</v>
      </c>
      <c r="M616" s="11" t="str">
        <f>LEFT(I616,(LEN(LEFT(I616,FIND(";",I616)))-8))</f>
        <v>VNQN</v>
      </c>
      <c r="N616" s="11"/>
      <c r="O616" s="2">
        <f>IF($M616=O$3,-$K616,0)</f>
        <v>0</v>
      </c>
      <c r="P616" s="2">
        <f>IF($M616=P$3,-$K616,0)</f>
        <v>0</v>
      </c>
      <c r="Q616" s="2">
        <f>IF($M616=Q$3,-$K616,0)</f>
        <v>0</v>
      </c>
      <c r="R616" s="2">
        <f>IF($M616=R$3,-$K616,0)</f>
        <v>0</v>
      </c>
      <c r="S616" s="2">
        <f>IF($M616=S$3,-$K616,0)</f>
        <v>0</v>
      </c>
      <c r="T616" s="2">
        <f>IF($M616=T$3,-$K616,0)</f>
        <v>188296</v>
      </c>
      <c r="U616" s="2">
        <f>IF($M616=U$3,-$K616,0)</f>
        <v>0</v>
      </c>
      <c r="V616" s="2">
        <f>IF($M616=V$3,-$K616,0)</f>
        <v>0</v>
      </c>
      <c r="W616" s="2">
        <f>IF($M616=W$3,-$K616,0)</f>
        <v>0</v>
      </c>
      <c r="X616" s="2">
        <f>IF($M616=X$3,-$K616,0)</f>
        <v>0</v>
      </c>
      <c r="Y616" s="2">
        <f>IF($M616=Y$3,-$K616,0)</f>
        <v>0</v>
      </c>
      <c r="Z616" s="2">
        <f>IF($M616=Z$3,-$K616,0)</f>
        <v>0</v>
      </c>
      <c r="AA616" s="2">
        <f>IF($M616=AA$3,-$K616,0)</f>
        <v>0</v>
      </c>
      <c r="AB616" s="2">
        <f>IF($M616=AB$3,-$K616,0)</f>
        <v>0</v>
      </c>
      <c r="AC616" s="21">
        <f>IF($M616=AC$3,-$K616,0)</f>
        <v>0</v>
      </c>
      <c r="AD616" s="20"/>
      <c r="AE616" s="19"/>
      <c r="AF616" s="2"/>
      <c r="AG616" s="2">
        <f>-$K616</f>
        <v>188296</v>
      </c>
      <c r="AH616" s="2">
        <f>K616+SUM(O616:AC616)</f>
        <v>0</v>
      </c>
      <c r="AI616" s="2">
        <f>K616+SUM(AF616:AG616)</f>
        <v>0</v>
      </c>
    </row>
    <row r="617" spans="1:35" x14ac:dyDescent="0.2">
      <c r="A617" s="11" t="s">
        <v>61</v>
      </c>
      <c r="B617" s="22" t="s">
        <v>264</v>
      </c>
      <c r="H617" s="11" t="s">
        <v>110</v>
      </c>
      <c r="I617" s="11" t="s">
        <v>270</v>
      </c>
      <c r="K617" s="13">
        <v>-808962</v>
      </c>
      <c r="L617" s="12">
        <v>92025</v>
      </c>
      <c r="M617" s="11" t="str">
        <f>LEFT(I617,(LEN(LEFT(I617,FIND(";",I617)))-8))</f>
        <v>VNOther</v>
      </c>
      <c r="N617" s="11"/>
      <c r="O617" s="15">
        <f>-$K617*IFERROR(INDEX('[1]salary allocation-v2'!$E$6:$J$22,MATCH($H617,'[1]salary allocation-v2'!$D$6:$D$22,0),MATCH(O$3,'[1]salary allocation-v2'!$E$3:$J$3,0)),0)</f>
        <v>0</v>
      </c>
      <c r="P617" s="15">
        <f>-$K617*IFERROR(INDEX('[1]salary allocation-v2'!$E$6:$J$22,MATCH($H617,'[1]salary allocation-v2'!$D$6:$D$22,0),MATCH(P$3,'[1]salary allocation-v2'!$E$3:$J$3,0)),0)</f>
        <v>0</v>
      </c>
      <c r="Q617" s="15">
        <f>-$K617*IFERROR(INDEX('[1]salary allocation-v2'!$E$6:$J$22,MATCH($H617,'[1]salary allocation-v2'!$D$6:$D$22,0),MATCH(Q$3,'[1]salary allocation-v2'!$E$3:$J$3,0)),0)</f>
        <v>0</v>
      </c>
      <c r="R617" s="15">
        <f>-$K617*IFERROR(INDEX('[1]salary allocation-v2'!$E$6:$J$22,MATCH($H617,'[1]salary allocation-v2'!$D$6:$D$22,0),MATCH(R$3,'[1]salary allocation-v2'!$E$3:$J$3,0)),0)</f>
        <v>0</v>
      </c>
      <c r="S617" s="15">
        <f>-$K617*IFERROR(INDEX('[1]salary allocation-v2'!$E$6:$J$22,MATCH($H617,'[1]salary allocation-v2'!$D$6:$D$22,0),MATCH(S$3,'[1]salary allocation-v2'!$E$3:$J$3,0)),0)</f>
        <v>137523.53999999998</v>
      </c>
      <c r="T617" s="15">
        <f>-$K617*IFERROR(INDEX('[1]salary allocation-v2'!$E$6:$J$22,MATCH($H617,'[1]salary allocation-v2'!$D$6:$D$22,0),MATCH(T$3,'[1]salary allocation-v2'!$E$3:$J$3,0)),0)</f>
        <v>137523.53999999998</v>
      </c>
      <c r="U617" s="15">
        <f>-$K617*IFERROR(INDEX('[1]salary allocation-v2'!$E$6:$J$22,MATCH($H617,'[1]salary allocation-v2'!$D$6:$D$22,0),MATCH(U$3,'[1]salary allocation-v2'!$E$3:$J$3,0)),0)</f>
        <v>137523.53999999998</v>
      </c>
      <c r="V617" s="15">
        <f>-$K617*IFERROR(INDEX('[1]salary allocation-v2'!$E$6:$J$22,MATCH($H617,'[1]salary allocation-v2'!$D$6:$D$22,0),MATCH(V$3,'[1]salary allocation-v2'!$E$3:$J$3,0)),0)</f>
        <v>0</v>
      </c>
      <c r="W617" s="15">
        <f>-$K617*IFERROR(INDEX('[1]salary allocation-v2'!$E$6:$J$22,MATCH($H617,'[1]salary allocation-v2'!$D$6:$D$22,0),MATCH(W$3,'[1]salary allocation-v2'!$E$3:$J$3,0)),0)</f>
        <v>396391.38</v>
      </c>
      <c r="X617" s="15">
        <f>-$K617*IFERROR(INDEX('[1]salary allocation-v2'!$E$6:$J$22,MATCH($H617,'[1]salary allocation-v2'!$D$6:$D$22,0),MATCH(X$3,'[1]salary allocation-v2'!$E$3:$J$3,0)),0)</f>
        <v>0</v>
      </c>
      <c r="Y617" s="15">
        <f>-$K617*IFERROR(INDEX('[1]salary allocation-v2'!$E$6:$J$22,MATCH($H617,'[1]salary allocation-v2'!$D$6:$D$22,0),MATCH(Y$3,'[1]salary allocation-v2'!$E$3:$J$3,0)),0)</f>
        <v>0</v>
      </c>
      <c r="Z617" s="15">
        <f>-$K617*IFERROR(INDEX('[1]salary allocation-v2'!$E$6:$J$22,MATCH($H617,'[1]salary allocation-v2'!$D$6:$D$22,0),MATCH(Z$3,'[1]salary allocation-v2'!$E$3:$J$3,0)),0)</f>
        <v>0</v>
      </c>
      <c r="AA617" s="15">
        <f>-$K617*IFERROR(INDEX('[1]salary allocation-v2'!$E$6:$J$22,MATCH($H617,'[1]salary allocation-v2'!$D$6:$D$22,0),MATCH(AA$3,'[1]salary allocation-v2'!$E$3:$J$3,0)),0)</f>
        <v>0</v>
      </c>
      <c r="AB617" s="15">
        <f>-$K617*IFERROR(INDEX('[1]salary allocation-v2'!$E$6:$J$22,MATCH($H617,'[1]salary allocation-v2'!$D$6:$D$22,0),MATCH(AB$3,'[1]salary allocation-v2'!$E$3:$J$3,0)),0)</f>
        <v>0</v>
      </c>
      <c r="AC617" s="18">
        <f>-$K617*IFERROR(INDEX('[1]salary allocation-v2'!$E$6:$J$22,MATCH($H617,'[1]salary allocation-v2'!$D$6:$D$22,0),MATCH(AC$3,'[1]salary allocation-v2'!$E$3:$J$3,0)),0)</f>
        <v>0</v>
      </c>
      <c r="AD617" s="17"/>
      <c r="AE617" s="16"/>
      <c r="AF617" s="15">
        <f>-$K617</f>
        <v>808962</v>
      </c>
      <c r="AG617" s="15"/>
      <c r="AH617" s="2">
        <f>K617+SUM(O617:AC617)</f>
        <v>0</v>
      </c>
      <c r="AI617" s="2">
        <f>K617+SUM(AF617:AG617)</f>
        <v>0</v>
      </c>
    </row>
    <row r="618" spans="1:35" x14ac:dyDescent="0.2">
      <c r="A618" s="11" t="s">
        <v>61</v>
      </c>
      <c r="B618" s="22" t="s">
        <v>264</v>
      </c>
      <c r="H618" s="11" t="s">
        <v>153</v>
      </c>
      <c r="I618" s="11" t="s">
        <v>269</v>
      </c>
      <c r="K618" s="13">
        <v>0</v>
      </c>
      <c r="L618" s="12">
        <v>92025</v>
      </c>
      <c r="M618" s="11" t="str">
        <f>LEFT(I618,(LEN(LEFT(I618,FIND(";",I618)))-8))</f>
        <v>VNBN</v>
      </c>
      <c r="N618" s="11"/>
      <c r="O618" s="2">
        <f>IF($M618=O$3,-$K618,0)</f>
        <v>0</v>
      </c>
      <c r="P618" s="2">
        <f>IF($M618=P$3,-$K618,0)</f>
        <v>0</v>
      </c>
      <c r="Q618" s="2">
        <f>IF($M618=Q$3,-$K618,0)</f>
        <v>0</v>
      </c>
      <c r="R618" s="2">
        <f>IF($M618=R$3,-$K618,0)</f>
        <v>0</v>
      </c>
      <c r="S618" s="2">
        <f>IF($M618=S$3,-$K618,0)</f>
        <v>0</v>
      </c>
      <c r="T618" s="2">
        <f>IF($M618=T$3,-$K618,0)</f>
        <v>0</v>
      </c>
      <c r="U618" s="2">
        <f>IF($M618=U$3,-$K618,0)</f>
        <v>0</v>
      </c>
      <c r="V618" s="2">
        <f>IF($M618=V$3,-$K618,0)</f>
        <v>0</v>
      </c>
      <c r="W618" s="2">
        <f>IF($M618=W$3,-$K618,0)</f>
        <v>0</v>
      </c>
      <c r="X618" s="2">
        <f>IF($M618=X$3,-$K618,0)</f>
        <v>0</v>
      </c>
      <c r="Y618" s="2">
        <f>IF($M618=Y$3,-$K618,0)</f>
        <v>0</v>
      </c>
      <c r="Z618" s="2">
        <f>IF($M618=Z$3,-$K618,0)</f>
        <v>0</v>
      </c>
      <c r="AA618" s="2">
        <f>IF($M618=AA$3,-$K618,0)</f>
        <v>0</v>
      </c>
      <c r="AB618" s="2">
        <f>IF($M618=AB$3,-$K618,0)</f>
        <v>0</v>
      </c>
      <c r="AC618" s="21">
        <f>IF($M618=AC$3,-$K618,0)</f>
        <v>0</v>
      </c>
      <c r="AD618" s="20"/>
      <c r="AE618" s="19"/>
      <c r="AF618" s="2"/>
      <c r="AG618" s="2"/>
      <c r="AH618" s="2">
        <f>K618+SUM(O618:AC618)</f>
        <v>0</v>
      </c>
      <c r="AI618" s="2">
        <f>K618+SUM(AF618:AG618)</f>
        <v>0</v>
      </c>
    </row>
    <row r="619" spans="1:35" x14ac:dyDescent="0.2">
      <c r="A619" s="11" t="s">
        <v>61</v>
      </c>
      <c r="B619" s="22" t="s">
        <v>264</v>
      </c>
      <c r="H619" s="11" t="s">
        <v>151</v>
      </c>
      <c r="I619" s="11" t="s">
        <v>268</v>
      </c>
      <c r="K619" s="13">
        <v>0</v>
      </c>
      <c r="L619" s="12">
        <v>92025</v>
      </c>
      <c r="M619" s="11" t="str">
        <f>LEFT(I619,(LEN(LEFT(I619,FIND(";",I619)))-8))</f>
        <v>VNQN</v>
      </c>
      <c r="N619" s="11"/>
      <c r="O619" s="2">
        <f>IF($M619=O$3,-$K619,0)</f>
        <v>0</v>
      </c>
      <c r="P619" s="2">
        <f>IF($M619=P$3,-$K619,0)</f>
        <v>0</v>
      </c>
      <c r="Q619" s="2">
        <f>IF($M619=Q$3,-$K619,0)</f>
        <v>0</v>
      </c>
      <c r="R619" s="2">
        <f>IF($M619=R$3,-$K619,0)</f>
        <v>0</v>
      </c>
      <c r="S619" s="2">
        <f>IF($M619=S$3,-$K619,0)</f>
        <v>0</v>
      </c>
      <c r="T619" s="2">
        <f>IF($M619=T$3,-$K619,0)</f>
        <v>0</v>
      </c>
      <c r="U619" s="2">
        <f>IF($M619=U$3,-$K619,0)</f>
        <v>0</v>
      </c>
      <c r="V619" s="2">
        <f>IF($M619=V$3,-$K619,0)</f>
        <v>0</v>
      </c>
      <c r="W619" s="2">
        <f>IF($M619=W$3,-$K619,0)</f>
        <v>0</v>
      </c>
      <c r="X619" s="2">
        <f>IF($M619=X$3,-$K619,0)</f>
        <v>0</v>
      </c>
      <c r="Y619" s="2">
        <f>IF($M619=Y$3,-$K619,0)</f>
        <v>0</v>
      </c>
      <c r="Z619" s="2">
        <f>IF($M619=Z$3,-$K619,0)</f>
        <v>0</v>
      </c>
      <c r="AA619" s="2">
        <f>IF($M619=AA$3,-$K619,0)</f>
        <v>0</v>
      </c>
      <c r="AB619" s="2">
        <f>IF($M619=AB$3,-$K619,0)</f>
        <v>0</v>
      </c>
      <c r="AC619" s="21">
        <f>IF($M619=AC$3,-$K619,0)</f>
        <v>0</v>
      </c>
      <c r="AD619" s="20"/>
      <c r="AE619" s="19"/>
      <c r="AF619" s="2"/>
      <c r="AG619" s="2">
        <f>-$K619</f>
        <v>0</v>
      </c>
      <c r="AH619" s="2">
        <f>K619+SUM(O619:AC619)</f>
        <v>0</v>
      </c>
      <c r="AI619" s="2">
        <f>K619+SUM(AF619:AG619)</f>
        <v>0</v>
      </c>
    </row>
    <row r="620" spans="1:35" x14ac:dyDescent="0.2">
      <c r="A620" s="11" t="s">
        <v>61</v>
      </c>
      <c r="B620" s="22" t="s">
        <v>264</v>
      </c>
      <c r="H620" s="11" t="s">
        <v>76</v>
      </c>
      <c r="I620" s="11" t="s">
        <v>267</v>
      </c>
      <c r="K620" s="13">
        <v>-17523381</v>
      </c>
      <c r="L620" s="12">
        <v>92025</v>
      </c>
      <c r="M620" s="11" t="str">
        <f>LEFT(I620,(LEN(LEFT(I620,FIND(";",I620)))-8))</f>
        <v>VNMOET</v>
      </c>
      <c r="N620" s="11"/>
      <c r="O620" s="2">
        <f>IF($M620=O$3,-$K620,0)</f>
        <v>0</v>
      </c>
      <c r="P620" s="2">
        <f>IF($M620=P$3,-$K620,0)</f>
        <v>0</v>
      </c>
      <c r="Q620" s="2">
        <f>IF($M620=Q$3,-$K620,0)</f>
        <v>0</v>
      </c>
      <c r="R620" s="2">
        <f>IF($M620=R$3,-$K620,0)</f>
        <v>0</v>
      </c>
      <c r="S620" s="2">
        <f>IF($M620=S$3,-$K620,0)</f>
        <v>0</v>
      </c>
      <c r="T620" s="2">
        <f>IF($M620=T$3,-$K620,0)</f>
        <v>0</v>
      </c>
      <c r="U620" s="2">
        <f>IF($M620=U$3,-$K620,0)</f>
        <v>0</v>
      </c>
      <c r="V620" s="2">
        <f>IF($M620=V$3,-$K620,0)</f>
        <v>0</v>
      </c>
      <c r="W620" s="2">
        <f>IF($M620=W$3,-$K620,0)</f>
        <v>17523381</v>
      </c>
      <c r="X620" s="2">
        <f>IF($M620=X$3,-$K620,0)</f>
        <v>0</v>
      </c>
      <c r="Y620" s="2">
        <f>IF($M620=Y$3,-$K620,0)</f>
        <v>0</v>
      </c>
      <c r="Z620" s="2">
        <f>IF($M620=Z$3,-$K620,0)</f>
        <v>0</v>
      </c>
      <c r="AA620" s="2">
        <f>IF($M620=AA$3,-$K620,0)</f>
        <v>0</v>
      </c>
      <c r="AB620" s="2">
        <f>IF($M620=AB$3,-$K620,0)</f>
        <v>0</v>
      </c>
      <c r="AC620" s="21">
        <f>IF($M620=AC$3,-$K620,0)</f>
        <v>0</v>
      </c>
      <c r="AD620" s="20"/>
      <c r="AE620" s="19"/>
      <c r="AF620" s="2">
        <f>-$K620</f>
        <v>17523381</v>
      </c>
      <c r="AG620" s="2"/>
      <c r="AH620" s="2">
        <f>K620+SUM(O620:AC620)</f>
        <v>0</v>
      </c>
      <c r="AI620" s="2">
        <f>K620+SUM(AF620:AG620)</f>
        <v>0</v>
      </c>
    </row>
    <row r="621" spans="1:35" x14ac:dyDescent="0.2">
      <c r="A621" s="11" t="s">
        <v>61</v>
      </c>
      <c r="B621" s="22" t="s">
        <v>264</v>
      </c>
      <c r="H621" s="11" t="s">
        <v>17</v>
      </c>
      <c r="I621" s="11" t="s">
        <v>266</v>
      </c>
      <c r="K621" s="13">
        <v>-100546</v>
      </c>
      <c r="L621" s="12">
        <v>92025</v>
      </c>
      <c r="M621" s="11" t="str">
        <f>LEFT(I621,(LEN(LEFT(I621,FIND(";",I621)))-8))</f>
        <v>VNQN</v>
      </c>
      <c r="N621" s="11"/>
      <c r="O621" s="2">
        <f>IF($M621=O$3,-$K621,0)</f>
        <v>0</v>
      </c>
      <c r="P621" s="2">
        <f>IF($M621=P$3,-$K621,0)</f>
        <v>0</v>
      </c>
      <c r="Q621" s="2">
        <f>IF($M621=Q$3,-$K621,0)</f>
        <v>0</v>
      </c>
      <c r="R621" s="2">
        <f>IF($M621=R$3,-$K621,0)</f>
        <v>0</v>
      </c>
      <c r="S621" s="2">
        <f>IF($M621=S$3,-$K621,0)</f>
        <v>0</v>
      </c>
      <c r="T621" s="2">
        <f>IF($M621=T$3,-$K621,0)</f>
        <v>100546</v>
      </c>
      <c r="U621" s="2">
        <f>IF($M621=U$3,-$K621,0)</f>
        <v>0</v>
      </c>
      <c r="V621" s="2">
        <f>IF($M621=V$3,-$K621,0)</f>
        <v>0</v>
      </c>
      <c r="W621" s="2">
        <f>IF($M621=W$3,-$K621,0)</f>
        <v>0</v>
      </c>
      <c r="X621" s="2">
        <f>IF($M621=X$3,-$K621,0)</f>
        <v>0</v>
      </c>
      <c r="Y621" s="2">
        <f>IF($M621=Y$3,-$K621,0)</f>
        <v>0</v>
      </c>
      <c r="Z621" s="2">
        <f>IF($M621=Z$3,-$K621,0)</f>
        <v>0</v>
      </c>
      <c r="AA621" s="2">
        <f>IF($M621=AA$3,-$K621,0)</f>
        <v>0</v>
      </c>
      <c r="AB621" s="2">
        <f>IF($M621=AB$3,-$K621,0)</f>
        <v>0</v>
      </c>
      <c r="AC621" s="21">
        <f>IF($M621=AC$3,-$K621,0)</f>
        <v>0</v>
      </c>
      <c r="AD621" s="20"/>
      <c r="AE621" s="19"/>
      <c r="AF621" s="2"/>
      <c r="AG621" s="2">
        <f>-$K621</f>
        <v>100546</v>
      </c>
      <c r="AH621" s="2">
        <f>K621+SUM(O621:AC621)</f>
        <v>0</v>
      </c>
      <c r="AI621" s="2">
        <f>K621+SUM(AF621:AG621)</f>
        <v>0</v>
      </c>
    </row>
    <row r="622" spans="1:35" x14ac:dyDescent="0.2">
      <c r="A622" s="11" t="s">
        <v>61</v>
      </c>
      <c r="B622" s="22" t="s">
        <v>264</v>
      </c>
      <c r="H622" s="11" t="s">
        <v>11</v>
      </c>
      <c r="I622" s="11" t="s">
        <v>265</v>
      </c>
      <c r="K622" s="13">
        <v>-110019</v>
      </c>
      <c r="L622" s="12">
        <v>92025</v>
      </c>
      <c r="M622" s="11" t="str">
        <f>LEFT(I622,(LEN(LEFT(I622,FIND(";",I622)))-8))</f>
        <v>VNQN</v>
      </c>
      <c r="N622" s="11"/>
      <c r="O622" s="2">
        <f>IF($M622=O$3,-$K622,0)</f>
        <v>0</v>
      </c>
      <c r="P622" s="2">
        <f>IF($M622=P$3,-$K622,0)</f>
        <v>0</v>
      </c>
      <c r="Q622" s="2">
        <f>IF($M622=Q$3,-$K622,0)</f>
        <v>0</v>
      </c>
      <c r="R622" s="2">
        <f>IF($M622=R$3,-$K622,0)</f>
        <v>0</v>
      </c>
      <c r="S622" s="2">
        <f>IF($M622=S$3,-$K622,0)</f>
        <v>0</v>
      </c>
      <c r="T622" s="2">
        <f>IF($M622=T$3,-$K622,0)</f>
        <v>110019</v>
      </c>
      <c r="U622" s="2">
        <f>IF($M622=U$3,-$K622,0)</f>
        <v>0</v>
      </c>
      <c r="V622" s="2">
        <f>IF($M622=V$3,-$K622,0)</f>
        <v>0</v>
      </c>
      <c r="W622" s="2">
        <f>IF($M622=W$3,-$K622,0)</f>
        <v>0</v>
      </c>
      <c r="X622" s="2">
        <f>IF($M622=X$3,-$K622,0)</f>
        <v>0</v>
      </c>
      <c r="Y622" s="2">
        <f>IF($M622=Y$3,-$K622,0)</f>
        <v>0</v>
      </c>
      <c r="Z622" s="2">
        <f>IF($M622=Z$3,-$K622,0)</f>
        <v>0</v>
      </c>
      <c r="AA622" s="2">
        <f>IF($M622=AA$3,-$K622,0)</f>
        <v>0</v>
      </c>
      <c r="AB622" s="2">
        <f>IF($M622=AB$3,-$K622,0)</f>
        <v>0</v>
      </c>
      <c r="AC622" s="21">
        <f>IF($M622=AC$3,-$K622,0)</f>
        <v>0</v>
      </c>
      <c r="AD622" s="20"/>
      <c r="AE622" s="19"/>
      <c r="AF622" s="2"/>
      <c r="AG622" s="2">
        <f>-$K622</f>
        <v>110019</v>
      </c>
      <c r="AH622" s="2">
        <f>K622+SUM(O622:AC622)</f>
        <v>0</v>
      </c>
      <c r="AI622" s="2">
        <f>K622+SUM(AF622:AG622)</f>
        <v>0</v>
      </c>
    </row>
    <row r="623" spans="1:35" x14ac:dyDescent="0.2">
      <c r="A623" s="11" t="s">
        <v>61</v>
      </c>
      <c r="B623" s="22" t="s">
        <v>264</v>
      </c>
      <c r="H623" s="11" t="s">
        <v>187</v>
      </c>
      <c r="I623" s="11" t="s">
        <v>182</v>
      </c>
      <c r="K623" s="11">
        <v>-875000</v>
      </c>
      <c r="L623" s="12">
        <v>92025</v>
      </c>
      <c r="M623" s="11" t="s">
        <v>195</v>
      </c>
      <c r="N623" s="11"/>
      <c r="O623" s="2">
        <f>IF($M623=O$3,-$K623,0)</f>
        <v>0</v>
      </c>
      <c r="P623" s="2">
        <f>IF($M623=P$3,-$K623,0)</f>
        <v>0</v>
      </c>
      <c r="Q623" s="2">
        <f>IF($M623=Q$3,-$K623,0)</f>
        <v>0</v>
      </c>
      <c r="R623" s="2">
        <f>IF($M623=R$3,-$K623,0)</f>
        <v>0</v>
      </c>
      <c r="S623" s="2">
        <f>IF($M623=S$3,-$K623,0)</f>
        <v>0</v>
      </c>
      <c r="T623" s="2">
        <f>IF($M623=T$3,-$K623,0)</f>
        <v>0</v>
      </c>
      <c r="U623" s="2">
        <f>IF($M623=U$3,-$K623,0)</f>
        <v>875000</v>
      </c>
      <c r="V623" s="2">
        <f>IF($M623=V$3,-$K623,0)</f>
        <v>0</v>
      </c>
      <c r="W623" s="2">
        <f>IF($M623=W$3,-$K623,0)</f>
        <v>0</v>
      </c>
      <c r="X623" s="2">
        <f>IF($M623=X$3,-$K623,0)</f>
        <v>0</v>
      </c>
      <c r="Y623" s="2">
        <f>IF($M623=Y$3,-$K623,0)</f>
        <v>0</v>
      </c>
      <c r="Z623" s="2">
        <f>IF($M623=Z$3,-$K623,0)</f>
        <v>0</v>
      </c>
      <c r="AA623" s="2">
        <f>IF($M623=AA$3,-$K623,0)</f>
        <v>0</v>
      </c>
      <c r="AB623" s="2">
        <f>IF($M623=AB$3,-$K623,0)</f>
        <v>0</v>
      </c>
      <c r="AC623" s="21">
        <f>IF($M623=AC$3,-$K623,0)</f>
        <v>0</v>
      </c>
      <c r="AD623" s="20"/>
      <c r="AE623" s="19"/>
      <c r="AF623" s="2"/>
      <c r="AG623" s="2">
        <f>-$K623</f>
        <v>875000</v>
      </c>
      <c r="AH623" s="2">
        <f>K623+SUM(O623:AC623)</f>
        <v>0</v>
      </c>
      <c r="AI623" s="2">
        <f>K623+SUM(AF623:AG623)</f>
        <v>0</v>
      </c>
    </row>
    <row r="624" spans="1:35" x14ac:dyDescent="0.2">
      <c r="A624" s="11" t="s">
        <v>99</v>
      </c>
      <c r="B624" s="14"/>
      <c r="H624" s="11"/>
      <c r="I624" s="11"/>
      <c r="K624" s="13"/>
      <c r="L624" s="12"/>
      <c r="M624" s="11"/>
      <c r="N624" s="11"/>
      <c r="AC624" s="21"/>
      <c r="AD624" s="20"/>
      <c r="AE624" s="19"/>
      <c r="AF624" s="2"/>
      <c r="AG624" s="2"/>
      <c r="AH624" s="2"/>
      <c r="AI624" s="2">
        <f>K624+SUM(AF624:AG624)</f>
        <v>0</v>
      </c>
    </row>
    <row r="625" spans="1:35" ht="34" x14ac:dyDescent="0.2">
      <c r="A625" s="34" t="s">
        <v>3</v>
      </c>
      <c r="B625" s="22" t="s">
        <v>231</v>
      </c>
      <c r="H625" s="11" t="s">
        <v>135</v>
      </c>
      <c r="I625" s="11" t="s">
        <v>263</v>
      </c>
      <c r="K625" s="13">
        <v>0</v>
      </c>
      <c r="L625" s="12">
        <v>92025</v>
      </c>
      <c r="M625" s="11" t="str">
        <f>LEFT(I625,(LEN(LEFT(I625,FIND(";",I625)))-8))</f>
        <v>VNOther</v>
      </c>
      <c r="N625" s="11"/>
      <c r="O625" s="15">
        <f>-$K625*IFERROR(INDEX('[1]salary allocation-v2'!$E$6:$J$22,MATCH($H625,'[1]salary allocation-v2'!$D$6:$D$22,0),MATCH(O$3,'[1]salary allocation-v2'!$E$3:$J$3,0)),0)</f>
        <v>0</v>
      </c>
      <c r="P625" s="15">
        <f>-$K625*IFERROR(INDEX('[1]salary allocation-v2'!$E$6:$J$22,MATCH($H625,'[1]salary allocation-v2'!$D$6:$D$22,0),MATCH(P$3,'[1]salary allocation-v2'!$E$3:$J$3,0)),0)</f>
        <v>0</v>
      </c>
      <c r="Q625" s="15">
        <f>-$K625*IFERROR(INDEX('[1]salary allocation-v2'!$E$6:$J$22,MATCH($H625,'[1]salary allocation-v2'!$D$6:$D$22,0),MATCH(Q$3,'[1]salary allocation-v2'!$E$3:$J$3,0)),0)</f>
        <v>0</v>
      </c>
      <c r="R625" s="15">
        <f>-$K625*IFERROR(INDEX('[1]salary allocation-v2'!$E$6:$J$22,MATCH($H625,'[1]salary allocation-v2'!$D$6:$D$22,0),MATCH(R$3,'[1]salary allocation-v2'!$E$3:$J$3,0)),0)</f>
        <v>0</v>
      </c>
      <c r="S625" s="15">
        <f>-$K625*IFERROR(INDEX('[1]salary allocation-v2'!$E$6:$J$22,MATCH($H625,'[1]salary allocation-v2'!$D$6:$D$22,0),MATCH(S$3,'[1]salary allocation-v2'!$E$3:$J$3,0)),0)</f>
        <v>0</v>
      </c>
      <c r="T625" s="15">
        <f>-$K625*IFERROR(INDEX('[1]salary allocation-v2'!$E$6:$J$22,MATCH($H625,'[1]salary allocation-v2'!$D$6:$D$22,0),MATCH(T$3,'[1]salary allocation-v2'!$E$3:$J$3,0)),0)</f>
        <v>0</v>
      </c>
      <c r="U625" s="15">
        <f>-$K625*IFERROR(INDEX('[1]salary allocation-v2'!$E$6:$J$22,MATCH($H625,'[1]salary allocation-v2'!$D$6:$D$22,0),MATCH(U$3,'[1]salary allocation-v2'!$E$3:$J$3,0)),0)</f>
        <v>0</v>
      </c>
      <c r="V625" s="15">
        <f>-$K625*IFERROR(INDEX('[1]salary allocation-v2'!$E$6:$J$22,MATCH($H625,'[1]salary allocation-v2'!$D$6:$D$22,0),MATCH(V$3,'[1]salary allocation-v2'!$E$3:$J$3,0)),0)</f>
        <v>0</v>
      </c>
      <c r="W625" s="15">
        <f>-$K625*IFERROR(INDEX('[1]salary allocation-v2'!$E$6:$J$22,MATCH($H625,'[1]salary allocation-v2'!$D$6:$D$22,0),MATCH(W$3,'[1]salary allocation-v2'!$E$3:$J$3,0)),0)</f>
        <v>0</v>
      </c>
      <c r="X625" s="15">
        <f>-$K625*IFERROR(INDEX('[1]salary allocation-v2'!$E$6:$J$22,MATCH($H625,'[1]salary allocation-v2'!$D$6:$D$22,0),MATCH(X$3,'[1]salary allocation-v2'!$E$3:$J$3,0)),0)</f>
        <v>0</v>
      </c>
      <c r="Y625" s="15">
        <f>-$K625*IFERROR(INDEX('[1]salary allocation-v2'!$E$6:$J$22,MATCH($H625,'[1]salary allocation-v2'!$D$6:$D$22,0),MATCH(Y$3,'[1]salary allocation-v2'!$E$3:$J$3,0)),0)</f>
        <v>0</v>
      </c>
      <c r="Z625" s="15">
        <f>-$K625*IFERROR(INDEX('[1]salary allocation-v2'!$E$6:$J$22,MATCH($H625,'[1]salary allocation-v2'!$D$6:$D$22,0),MATCH(Z$3,'[1]salary allocation-v2'!$E$3:$J$3,0)),0)</f>
        <v>0</v>
      </c>
      <c r="AA625" s="15">
        <f>-$K625*IFERROR(INDEX('[1]salary allocation-v2'!$E$6:$J$22,MATCH($H625,'[1]salary allocation-v2'!$D$6:$D$22,0),MATCH(AA$3,'[1]salary allocation-v2'!$E$3:$J$3,0)),0)</f>
        <v>0</v>
      </c>
      <c r="AB625" s="15">
        <f>-$K625*IFERROR(INDEX('[1]salary allocation-v2'!$E$6:$J$22,MATCH($H625,'[1]salary allocation-v2'!$D$6:$D$22,0),MATCH(AB$3,'[1]salary allocation-v2'!$E$3:$J$3,0)),0)</f>
        <v>0</v>
      </c>
      <c r="AC625" s="18">
        <f>-$K625*IFERROR(INDEX('[1]salary allocation-v2'!$E$6:$J$22,MATCH($H625,'[1]salary allocation-v2'!$D$6:$D$22,0),MATCH(AC$3,'[1]salary allocation-v2'!$E$3:$J$3,0)),0)</f>
        <v>0</v>
      </c>
      <c r="AD625" s="17"/>
      <c r="AE625" s="16"/>
      <c r="AF625" s="15">
        <f>-$K625</f>
        <v>0</v>
      </c>
      <c r="AG625" s="15"/>
      <c r="AH625" s="2">
        <f>K625+SUM(O625:AC625)</f>
        <v>0</v>
      </c>
      <c r="AI625" s="2">
        <f>K625+SUM(AF625:AG625)</f>
        <v>0</v>
      </c>
    </row>
    <row r="626" spans="1:35" x14ac:dyDescent="0.2">
      <c r="A626" s="23" t="s">
        <v>3</v>
      </c>
      <c r="B626" s="22" t="s">
        <v>231</v>
      </c>
      <c r="H626" s="11" t="s">
        <v>57</v>
      </c>
      <c r="I626" s="11" t="s">
        <v>262</v>
      </c>
      <c r="K626" s="13">
        <v>-15333896</v>
      </c>
      <c r="L626" s="12">
        <v>92025</v>
      </c>
      <c r="M626" s="11" t="str">
        <f>LEFT(I626,(LEN(LEFT(I626,FIND(";",I626)))-8))</f>
        <v>VNOther</v>
      </c>
      <c r="N626" s="11"/>
      <c r="O626" s="15">
        <f>-$K626*IFERROR(INDEX('[1]salary allocation-v2'!$E$6:$J$22,MATCH($H626,'[1]salary allocation-v2'!$D$6:$D$22,0),MATCH(O$3,'[1]salary allocation-v2'!$E$3:$J$3,0)),0)</f>
        <v>0</v>
      </c>
      <c r="P626" s="15">
        <f>-$K626*IFERROR(INDEX('[1]salary allocation-v2'!$E$6:$J$22,MATCH($H626,'[1]salary allocation-v2'!$D$6:$D$22,0),MATCH(P$3,'[1]salary allocation-v2'!$E$3:$J$3,0)),0)</f>
        <v>7666948</v>
      </c>
      <c r="Q626" s="15">
        <f>-$K626*IFERROR(INDEX('[1]salary allocation-v2'!$E$6:$J$22,MATCH($H626,'[1]salary allocation-v2'!$D$6:$D$22,0),MATCH(Q$3,'[1]salary allocation-v2'!$E$3:$J$3,0)),0)</f>
        <v>0</v>
      </c>
      <c r="R626" s="15">
        <f>-$K626*IFERROR(INDEX('[1]salary allocation-v2'!$E$6:$J$22,MATCH($H626,'[1]salary allocation-v2'!$D$6:$D$22,0),MATCH(R$3,'[1]salary allocation-v2'!$E$3:$J$3,0)),0)</f>
        <v>0</v>
      </c>
      <c r="S626" s="15">
        <f>-$K626*IFERROR(INDEX('[1]salary allocation-v2'!$E$6:$J$22,MATCH($H626,'[1]salary allocation-v2'!$D$6:$D$22,0),MATCH(S$3,'[1]salary allocation-v2'!$E$3:$J$3,0)),0)</f>
        <v>1533389.6</v>
      </c>
      <c r="T626" s="15">
        <f>-$K626*IFERROR(INDEX('[1]salary allocation-v2'!$E$6:$J$22,MATCH($H626,'[1]salary allocation-v2'!$D$6:$D$22,0),MATCH(T$3,'[1]salary allocation-v2'!$E$3:$J$3,0)),0)</f>
        <v>1533389.6</v>
      </c>
      <c r="U626" s="15">
        <f>-$K626*IFERROR(INDEX('[1]salary allocation-v2'!$E$6:$J$22,MATCH($H626,'[1]salary allocation-v2'!$D$6:$D$22,0),MATCH(U$3,'[1]salary allocation-v2'!$E$3:$J$3,0)),0)</f>
        <v>1533389.6</v>
      </c>
      <c r="V626" s="15">
        <f>-$K626*IFERROR(INDEX('[1]salary allocation-v2'!$E$6:$J$22,MATCH($H626,'[1]salary allocation-v2'!$D$6:$D$22,0),MATCH(V$3,'[1]salary allocation-v2'!$E$3:$J$3,0)),0)</f>
        <v>0</v>
      </c>
      <c r="W626" s="15">
        <f>-$K626*IFERROR(INDEX('[1]salary allocation-v2'!$E$6:$J$22,MATCH($H626,'[1]salary allocation-v2'!$D$6:$D$22,0),MATCH(W$3,'[1]salary allocation-v2'!$E$3:$J$3,0)),0)</f>
        <v>3066779.2</v>
      </c>
      <c r="X626" s="15">
        <f>-$K626*IFERROR(INDEX('[1]salary allocation-v2'!$E$6:$J$22,MATCH($H626,'[1]salary allocation-v2'!$D$6:$D$22,0),MATCH(X$3,'[1]salary allocation-v2'!$E$3:$J$3,0)),0)</f>
        <v>0</v>
      </c>
      <c r="Y626" s="15">
        <f>-$K626*IFERROR(INDEX('[1]salary allocation-v2'!$E$6:$J$22,MATCH($H626,'[1]salary allocation-v2'!$D$6:$D$22,0),MATCH(Y$3,'[1]salary allocation-v2'!$E$3:$J$3,0)),0)</f>
        <v>0</v>
      </c>
      <c r="Z626" s="15">
        <f>-$K626*IFERROR(INDEX('[1]salary allocation-v2'!$E$6:$J$22,MATCH($H626,'[1]salary allocation-v2'!$D$6:$D$22,0),MATCH(Z$3,'[1]salary allocation-v2'!$E$3:$J$3,0)),0)</f>
        <v>0</v>
      </c>
      <c r="AA626" s="15">
        <f>-$K626*IFERROR(INDEX('[1]salary allocation-v2'!$E$6:$J$22,MATCH($H626,'[1]salary allocation-v2'!$D$6:$D$22,0),MATCH(AA$3,'[1]salary allocation-v2'!$E$3:$J$3,0)),0)</f>
        <v>0</v>
      </c>
      <c r="AB626" s="15">
        <f>-$K626*IFERROR(INDEX('[1]salary allocation-v2'!$E$6:$J$22,MATCH($H626,'[1]salary allocation-v2'!$D$6:$D$22,0),MATCH(AB$3,'[1]salary allocation-v2'!$E$3:$J$3,0)),0)</f>
        <v>0</v>
      </c>
      <c r="AC626" s="18">
        <f>-$K626*IFERROR(INDEX('[1]salary allocation-v2'!$E$6:$J$22,MATCH($H626,'[1]salary allocation-v2'!$D$6:$D$22,0),MATCH(AC$3,'[1]salary allocation-v2'!$E$3:$J$3,0)),0)</f>
        <v>0</v>
      </c>
      <c r="AD626" s="17"/>
      <c r="AE626" s="16"/>
      <c r="AF626" s="15">
        <f>-$K626</f>
        <v>15333896</v>
      </c>
      <c r="AG626" s="15"/>
      <c r="AH626" s="2">
        <f>K626+SUM(O626:AC626)</f>
        <v>0</v>
      </c>
      <c r="AI626" s="2">
        <f>K626+SUM(AF626:AG626)</f>
        <v>0</v>
      </c>
    </row>
    <row r="627" spans="1:35" x14ac:dyDescent="0.2">
      <c r="A627" s="23" t="s">
        <v>3</v>
      </c>
      <c r="B627" s="22" t="s">
        <v>231</v>
      </c>
      <c r="H627" s="11" t="s">
        <v>55</v>
      </c>
      <c r="I627" s="11" t="s">
        <v>261</v>
      </c>
      <c r="K627" s="13">
        <v>-15483132</v>
      </c>
      <c r="L627" s="12">
        <v>92025</v>
      </c>
      <c r="M627" s="11" t="str">
        <f>LEFT(I627,(LEN(LEFT(I627,FIND(";",I627)))-8))</f>
        <v>VNHBC</v>
      </c>
      <c r="N627" s="11"/>
      <c r="O627" s="15">
        <f>-$K627*IFERROR(INDEX('[1]salary allocation-v2'!$E$6:$J$22,MATCH($H627,'[1]salary allocation-v2'!$D$6:$D$22,0),MATCH(O$3,'[1]salary allocation-v2'!$E$3:$J$3,0)),0)</f>
        <v>0</v>
      </c>
      <c r="P627" s="15">
        <f>-$K627*IFERROR(INDEX('[1]salary allocation-v2'!$E$6:$J$22,MATCH($H627,'[1]salary allocation-v2'!$D$6:$D$22,0),MATCH(P$3,'[1]salary allocation-v2'!$E$3:$J$3,0)),0)</f>
        <v>0</v>
      </c>
      <c r="Q627" s="15">
        <f>-$K627*IFERROR(INDEX('[1]salary allocation-v2'!$E$6:$J$22,MATCH($H627,'[1]salary allocation-v2'!$D$6:$D$22,0),MATCH(Q$3,'[1]salary allocation-v2'!$E$3:$J$3,0)),0)</f>
        <v>0</v>
      </c>
      <c r="R627" s="15">
        <f>-$K627*IFERROR(INDEX('[1]salary allocation-v2'!$E$6:$J$22,MATCH($H627,'[1]salary allocation-v2'!$D$6:$D$22,0),MATCH(R$3,'[1]salary allocation-v2'!$E$3:$J$3,0)),0)</f>
        <v>0</v>
      </c>
      <c r="S627" s="15">
        <f>-$K627*IFERROR(INDEX('[1]salary allocation-v2'!$E$6:$J$22,MATCH($H627,'[1]salary allocation-v2'!$D$6:$D$22,0),MATCH(S$3,'[1]salary allocation-v2'!$E$3:$J$3,0)),0)</f>
        <v>3096626.4000000004</v>
      </c>
      <c r="T627" s="15">
        <f>-$K627*IFERROR(INDEX('[1]salary allocation-v2'!$E$6:$J$22,MATCH($H627,'[1]salary allocation-v2'!$D$6:$D$22,0),MATCH(T$3,'[1]salary allocation-v2'!$E$3:$J$3,0)),0)</f>
        <v>3096626.4000000004</v>
      </c>
      <c r="U627" s="15">
        <f>-$K627*IFERROR(INDEX('[1]salary allocation-v2'!$E$6:$J$22,MATCH($H627,'[1]salary allocation-v2'!$D$6:$D$22,0),MATCH(U$3,'[1]salary allocation-v2'!$E$3:$J$3,0)),0)</f>
        <v>3096626.4000000004</v>
      </c>
      <c r="V627" s="15">
        <f>-$K627*IFERROR(INDEX('[1]salary allocation-v2'!$E$6:$J$22,MATCH($H627,'[1]salary allocation-v2'!$D$6:$D$22,0),MATCH(V$3,'[1]salary allocation-v2'!$E$3:$J$3,0)),0)</f>
        <v>0</v>
      </c>
      <c r="W627" s="15">
        <f>-$K627*IFERROR(INDEX('[1]salary allocation-v2'!$E$6:$J$22,MATCH($H627,'[1]salary allocation-v2'!$D$6:$D$22,0),MATCH(W$3,'[1]salary allocation-v2'!$E$3:$J$3,0)),0)</f>
        <v>6193252.8000000007</v>
      </c>
      <c r="X627" s="15">
        <f>-$K627*IFERROR(INDEX('[1]salary allocation-v2'!$E$6:$J$22,MATCH($H627,'[1]salary allocation-v2'!$D$6:$D$22,0),MATCH(X$3,'[1]salary allocation-v2'!$E$3:$J$3,0)),0)</f>
        <v>0</v>
      </c>
      <c r="Y627" s="15">
        <f>-$K627*IFERROR(INDEX('[1]salary allocation-v2'!$E$6:$J$22,MATCH($H627,'[1]salary allocation-v2'!$D$6:$D$22,0),MATCH(Y$3,'[1]salary allocation-v2'!$E$3:$J$3,0)),0)</f>
        <v>0</v>
      </c>
      <c r="Z627" s="15">
        <f>-$K627*IFERROR(INDEX('[1]salary allocation-v2'!$E$6:$J$22,MATCH($H627,'[1]salary allocation-v2'!$D$6:$D$22,0),MATCH(Z$3,'[1]salary allocation-v2'!$E$3:$J$3,0)),0)</f>
        <v>0</v>
      </c>
      <c r="AA627" s="15">
        <f>-$K627*IFERROR(INDEX('[1]salary allocation-v2'!$E$6:$J$22,MATCH($H627,'[1]salary allocation-v2'!$D$6:$D$22,0),MATCH(AA$3,'[1]salary allocation-v2'!$E$3:$J$3,0)),0)</f>
        <v>0</v>
      </c>
      <c r="AB627" s="15">
        <f>-$K627*IFERROR(INDEX('[1]salary allocation-v2'!$E$6:$J$22,MATCH($H627,'[1]salary allocation-v2'!$D$6:$D$22,0),MATCH(AB$3,'[1]salary allocation-v2'!$E$3:$J$3,0)),0)</f>
        <v>0</v>
      </c>
      <c r="AC627" s="18">
        <f>-$K627*IFERROR(INDEX('[1]salary allocation-v2'!$E$6:$J$22,MATCH($H627,'[1]salary allocation-v2'!$D$6:$D$22,0),MATCH(AC$3,'[1]salary allocation-v2'!$E$3:$J$3,0)),0)</f>
        <v>0</v>
      </c>
      <c r="AD627" s="17"/>
      <c r="AE627" s="16"/>
      <c r="AF627" s="15"/>
      <c r="AG627" s="15">
        <f>-$K627</f>
        <v>15483132</v>
      </c>
      <c r="AH627" s="2">
        <f>K627+SUM(O627:AC627)</f>
        <v>0</v>
      </c>
      <c r="AI627" s="2">
        <f>K627+SUM(AF627:AG627)</f>
        <v>0</v>
      </c>
    </row>
    <row r="628" spans="1:35" x14ac:dyDescent="0.2">
      <c r="A628" s="23" t="s">
        <v>3</v>
      </c>
      <c r="B628" s="22" t="s">
        <v>231</v>
      </c>
      <c r="H628" s="11" t="s">
        <v>53</v>
      </c>
      <c r="I628" s="11" t="s">
        <v>260</v>
      </c>
      <c r="K628" s="13">
        <v>-15205906</v>
      </c>
      <c r="L628" s="12">
        <v>92025</v>
      </c>
      <c r="M628" s="11" t="str">
        <f>LEFT(I628,(LEN(LEFT(I628,FIND(";",I628)))-8))</f>
        <v>VNOther</v>
      </c>
      <c r="N628" s="11"/>
      <c r="O628" s="15">
        <f>-$K628*IFERROR(INDEX('[1]salary allocation-v2'!$E$6:$J$22,MATCH($H628,'[1]salary allocation-v2'!$D$6:$D$22,0),MATCH(O$3,'[1]salary allocation-v2'!$E$3:$J$3,0)),0)</f>
        <v>0</v>
      </c>
      <c r="P628" s="15">
        <f>-$K628*IFERROR(INDEX('[1]salary allocation-v2'!$E$6:$J$22,MATCH($H628,'[1]salary allocation-v2'!$D$6:$D$22,0),MATCH(P$3,'[1]salary allocation-v2'!$E$3:$J$3,0)),0)</f>
        <v>0</v>
      </c>
      <c r="Q628" s="15">
        <f>-$K628*IFERROR(INDEX('[1]salary allocation-v2'!$E$6:$J$22,MATCH($H628,'[1]salary allocation-v2'!$D$6:$D$22,0),MATCH(Q$3,'[1]salary allocation-v2'!$E$3:$J$3,0)),0)</f>
        <v>0</v>
      </c>
      <c r="R628" s="15">
        <f>-$K628*IFERROR(INDEX('[1]salary allocation-v2'!$E$6:$J$22,MATCH($H628,'[1]salary allocation-v2'!$D$6:$D$22,0),MATCH(R$3,'[1]salary allocation-v2'!$E$3:$J$3,0)),0)</f>
        <v>0</v>
      </c>
      <c r="S628" s="15">
        <f>-$K628*IFERROR(INDEX('[1]salary allocation-v2'!$E$6:$J$22,MATCH($H628,'[1]salary allocation-v2'!$D$6:$D$22,0),MATCH(S$3,'[1]salary allocation-v2'!$E$3:$J$3,0)),0)</f>
        <v>2585004.0199999996</v>
      </c>
      <c r="T628" s="15">
        <f>-$K628*IFERROR(INDEX('[1]salary allocation-v2'!$E$6:$J$22,MATCH($H628,'[1]salary allocation-v2'!$D$6:$D$22,0),MATCH(T$3,'[1]salary allocation-v2'!$E$3:$J$3,0)),0)</f>
        <v>2585004.0199999996</v>
      </c>
      <c r="U628" s="15">
        <f>-$K628*IFERROR(INDEX('[1]salary allocation-v2'!$E$6:$J$22,MATCH($H628,'[1]salary allocation-v2'!$D$6:$D$22,0),MATCH(U$3,'[1]salary allocation-v2'!$E$3:$J$3,0)),0)</f>
        <v>2585004.0199999996</v>
      </c>
      <c r="V628" s="15">
        <f>-$K628*IFERROR(INDEX('[1]salary allocation-v2'!$E$6:$J$22,MATCH($H628,'[1]salary allocation-v2'!$D$6:$D$22,0),MATCH(V$3,'[1]salary allocation-v2'!$E$3:$J$3,0)),0)</f>
        <v>0</v>
      </c>
      <c r="W628" s="15">
        <f>-$K628*IFERROR(INDEX('[1]salary allocation-v2'!$E$6:$J$22,MATCH($H628,'[1]salary allocation-v2'!$D$6:$D$22,0),MATCH(W$3,'[1]salary allocation-v2'!$E$3:$J$3,0)),0)</f>
        <v>7450893.9399999995</v>
      </c>
      <c r="X628" s="15">
        <f>-$K628*IFERROR(INDEX('[1]salary allocation-v2'!$E$6:$J$22,MATCH($H628,'[1]salary allocation-v2'!$D$6:$D$22,0),MATCH(X$3,'[1]salary allocation-v2'!$E$3:$J$3,0)),0)</f>
        <v>0</v>
      </c>
      <c r="Y628" s="15">
        <f>-$K628*IFERROR(INDEX('[1]salary allocation-v2'!$E$6:$J$22,MATCH($H628,'[1]salary allocation-v2'!$D$6:$D$22,0),MATCH(Y$3,'[1]salary allocation-v2'!$E$3:$J$3,0)),0)</f>
        <v>0</v>
      </c>
      <c r="Z628" s="15">
        <f>-$K628*IFERROR(INDEX('[1]salary allocation-v2'!$E$6:$J$22,MATCH($H628,'[1]salary allocation-v2'!$D$6:$D$22,0),MATCH(Z$3,'[1]salary allocation-v2'!$E$3:$J$3,0)),0)</f>
        <v>0</v>
      </c>
      <c r="AA628" s="15">
        <f>-$K628*IFERROR(INDEX('[1]salary allocation-v2'!$E$6:$J$22,MATCH($H628,'[1]salary allocation-v2'!$D$6:$D$22,0),MATCH(AA$3,'[1]salary allocation-v2'!$E$3:$J$3,0)),0)</f>
        <v>0</v>
      </c>
      <c r="AB628" s="15">
        <f>-$K628*IFERROR(INDEX('[1]salary allocation-v2'!$E$6:$J$22,MATCH($H628,'[1]salary allocation-v2'!$D$6:$D$22,0),MATCH(AB$3,'[1]salary allocation-v2'!$E$3:$J$3,0)),0)</f>
        <v>0</v>
      </c>
      <c r="AC628" s="18">
        <f>-$K628*IFERROR(INDEX('[1]salary allocation-v2'!$E$6:$J$22,MATCH($H628,'[1]salary allocation-v2'!$D$6:$D$22,0),MATCH(AC$3,'[1]salary allocation-v2'!$E$3:$J$3,0)),0)</f>
        <v>0</v>
      </c>
      <c r="AD628" s="17"/>
      <c r="AE628" s="16"/>
      <c r="AF628" s="15">
        <f>-$K628</f>
        <v>15205906</v>
      </c>
      <c r="AG628" s="15"/>
      <c r="AH628" s="2">
        <f>K628+SUM(O628:AC628)</f>
        <v>0</v>
      </c>
      <c r="AI628" s="2">
        <f>K628+SUM(AF628:AG628)</f>
        <v>0</v>
      </c>
    </row>
    <row r="629" spans="1:35" x14ac:dyDescent="0.2">
      <c r="A629" s="23" t="s">
        <v>3</v>
      </c>
      <c r="B629" s="22" t="s">
        <v>231</v>
      </c>
      <c r="H629" s="11" t="s">
        <v>51</v>
      </c>
      <c r="I629" s="11" t="s">
        <v>259</v>
      </c>
      <c r="K629" s="13">
        <v>-13970133</v>
      </c>
      <c r="L629" s="12">
        <v>92025</v>
      </c>
      <c r="M629" s="11" t="str">
        <f>LEFT(I629,(LEN(LEFT(I629,FIND(";",I629)))-8))</f>
        <v>VNOther</v>
      </c>
      <c r="N629" s="11"/>
      <c r="O629" s="15">
        <f>-$K629*IFERROR(INDEX('[1]salary allocation-v2'!$E$6:$J$22,MATCH($H629,'[1]salary allocation-v2'!$D$6:$D$22,0),MATCH(O$3,'[1]salary allocation-v2'!$E$3:$J$3,0)),0)</f>
        <v>0</v>
      </c>
      <c r="P629" s="15">
        <f>-$K629*IFERROR(INDEX('[1]salary allocation-v2'!$E$6:$J$22,MATCH($H629,'[1]salary allocation-v2'!$D$6:$D$22,0),MATCH(P$3,'[1]salary allocation-v2'!$E$3:$J$3,0)),0)</f>
        <v>0</v>
      </c>
      <c r="Q629" s="15">
        <f>-$K629*IFERROR(INDEX('[1]salary allocation-v2'!$E$6:$J$22,MATCH($H629,'[1]salary allocation-v2'!$D$6:$D$22,0),MATCH(Q$3,'[1]salary allocation-v2'!$E$3:$J$3,0)),0)</f>
        <v>0</v>
      </c>
      <c r="R629" s="15">
        <f>-$K629*IFERROR(INDEX('[1]salary allocation-v2'!$E$6:$J$22,MATCH($H629,'[1]salary allocation-v2'!$D$6:$D$22,0),MATCH(R$3,'[1]salary allocation-v2'!$E$3:$J$3,0)),0)</f>
        <v>0</v>
      </c>
      <c r="S629" s="15">
        <f>-$K629*IFERROR(INDEX('[1]salary allocation-v2'!$E$6:$J$22,MATCH($H629,'[1]salary allocation-v2'!$D$6:$D$22,0),MATCH(S$3,'[1]salary allocation-v2'!$E$3:$J$3,0)),0)</f>
        <v>1397013.3</v>
      </c>
      <c r="T629" s="15">
        <f>-$K629*IFERROR(INDEX('[1]salary allocation-v2'!$E$6:$J$22,MATCH($H629,'[1]salary allocation-v2'!$D$6:$D$22,0),MATCH(T$3,'[1]salary allocation-v2'!$E$3:$J$3,0)),0)</f>
        <v>1397013.3</v>
      </c>
      <c r="U629" s="15">
        <f>-$K629*IFERROR(INDEX('[1]salary allocation-v2'!$E$6:$J$22,MATCH($H629,'[1]salary allocation-v2'!$D$6:$D$22,0),MATCH(U$3,'[1]salary allocation-v2'!$E$3:$J$3,0)),0)</f>
        <v>1397013.3</v>
      </c>
      <c r="V629" s="15">
        <f>-$K629*IFERROR(INDEX('[1]salary allocation-v2'!$E$6:$J$22,MATCH($H629,'[1]salary allocation-v2'!$D$6:$D$22,0),MATCH(V$3,'[1]salary allocation-v2'!$E$3:$J$3,0)),0)</f>
        <v>0</v>
      </c>
      <c r="W629" s="15">
        <f>-$K629*IFERROR(INDEX('[1]salary allocation-v2'!$E$6:$J$22,MATCH($H629,'[1]salary allocation-v2'!$D$6:$D$22,0),MATCH(W$3,'[1]salary allocation-v2'!$E$3:$J$3,0)),0)</f>
        <v>9779093.0999999996</v>
      </c>
      <c r="X629" s="15">
        <f>-$K629*IFERROR(INDEX('[1]salary allocation-v2'!$E$6:$J$22,MATCH($H629,'[1]salary allocation-v2'!$D$6:$D$22,0),MATCH(X$3,'[1]salary allocation-v2'!$E$3:$J$3,0)),0)</f>
        <v>0</v>
      </c>
      <c r="Y629" s="15">
        <f>-$K629*IFERROR(INDEX('[1]salary allocation-v2'!$E$6:$J$22,MATCH($H629,'[1]salary allocation-v2'!$D$6:$D$22,0),MATCH(Y$3,'[1]salary allocation-v2'!$E$3:$J$3,0)),0)</f>
        <v>0</v>
      </c>
      <c r="Z629" s="15">
        <f>-$K629*IFERROR(INDEX('[1]salary allocation-v2'!$E$6:$J$22,MATCH($H629,'[1]salary allocation-v2'!$D$6:$D$22,0),MATCH(Z$3,'[1]salary allocation-v2'!$E$3:$J$3,0)),0)</f>
        <v>0</v>
      </c>
      <c r="AA629" s="15">
        <f>-$K629*IFERROR(INDEX('[1]salary allocation-v2'!$E$6:$J$22,MATCH($H629,'[1]salary allocation-v2'!$D$6:$D$22,0),MATCH(AA$3,'[1]salary allocation-v2'!$E$3:$J$3,0)),0)</f>
        <v>0</v>
      </c>
      <c r="AB629" s="15">
        <f>-$K629*IFERROR(INDEX('[1]salary allocation-v2'!$E$6:$J$22,MATCH($H629,'[1]salary allocation-v2'!$D$6:$D$22,0),MATCH(AB$3,'[1]salary allocation-v2'!$E$3:$J$3,0)),0)</f>
        <v>0</v>
      </c>
      <c r="AC629" s="18">
        <f>-$K629*IFERROR(INDEX('[1]salary allocation-v2'!$E$6:$J$22,MATCH($H629,'[1]salary allocation-v2'!$D$6:$D$22,0),MATCH(AC$3,'[1]salary allocation-v2'!$E$3:$J$3,0)),0)</f>
        <v>0</v>
      </c>
      <c r="AD629" s="17"/>
      <c r="AE629" s="16"/>
      <c r="AF629" s="15">
        <f>-$K629</f>
        <v>13970133</v>
      </c>
      <c r="AG629" s="15"/>
      <c r="AH629" s="2">
        <f>K629+SUM(O629:AC629)</f>
        <v>0</v>
      </c>
      <c r="AI629" s="2">
        <f>K629+SUM(AF629:AG629)</f>
        <v>0</v>
      </c>
    </row>
    <row r="630" spans="1:35" x14ac:dyDescent="0.2">
      <c r="A630" s="23" t="s">
        <v>3</v>
      </c>
      <c r="B630" s="22" t="s">
        <v>231</v>
      </c>
      <c r="H630" s="11" t="s">
        <v>49</v>
      </c>
      <c r="I630" s="11" t="s">
        <v>258</v>
      </c>
      <c r="K630" s="13">
        <v>-8879531</v>
      </c>
      <c r="L630" s="12">
        <v>92025</v>
      </c>
      <c r="M630" s="11" t="str">
        <f>LEFT(I630,(LEN(LEFT(I630,FIND(";",I630)))-8))</f>
        <v>VNMOET</v>
      </c>
      <c r="N630" s="11"/>
      <c r="O630" s="15">
        <f>-$K630*IFERROR(INDEX('[1]salary allocation-v2'!$E$6:$J$22,MATCH($H630,'[1]salary allocation-v2'!$D$6:$D$22,0),MATCH(O$3,'[1]salary allocation-v2'!$E$3:$J$3,0)),0)</f>
        <v>0</v>
      </c>
      <c r="P630" s="15">
        <f>-$K630*IFERROR(INDEX('[1]salary allocation-v2'!$E$6:$J$22,MATCH($H630,'[1]salary allocation-v2'!$D$6:$D$22,0),MATCH(P$3,'[1]salary allocation-v2'!$E$3:$J$3,0)),0)</f>
        <v>0</v>
      </c>
      <c r="Q630" s="15">
        <f>-$K630*IFERROR(INDEX('[1]salary allocation-v2'!$E$6:$J$22,MATCH($H630,'[1]salary allocation-v2'!$D$6:$D$22,0),MATCH(Q$3,'[1]salary allocation-v2'!$E$3:$J$3,0)),0)</f>
        <v>0</v>
      </c>
      <c r="R630" s="15">
        <f>-$K630*IFERROR(INDEX('[1]salary allocation-v2'!$E$6:$J$22,MATCH($H630,'[1]salary allocation-v2'!$D$6:$D$22,0),MATCH(R$3,'[1]salary allocation-v2'!$E$3:$J$3,0)),0)</f>
        <v>0</v>
      </c>
      <c r="S630" s="15">
        <f>-$K630*IFERROR(INDEX('[1]salary allocation-v2'!$E$6:$J$22,MATCH($H630,'[1]salary allocation-v2'!$D$6:$D$22,0),MATCH(S$3,'[1]salary allocation-v2'!$E$3:$J$3,0)),0)</f>
        <v>1775906.2000000002</v>
      </c>
      <c r="T630" s="15">
        <f>-$K630*IFERROR(INDEX('[1]salary allocation-v2'!$E$6:$J$22,MATCH($H630,'[1]salary allocation-v2'!$D$6:$D$22,0),MATCH(T$3,'[1]salary allocation-v2'!$E$3:$J$3,0)),0)</f>
        <v>1775906.2000000002</v>
      </c>
      <c r="U630" s="15">
        <f>-$K630*IFERROR(INDEX('[1]salary allocation-v2'!$E$6:$J$22,MATCH($H630,'[1]salary allocation-v2'!$D$6:$D$22,0),MATCH(U$3,'[1]salary allocation-v2'!$E$3:$J$3,0)),0)</f>
        <v>1775906.2000000002</v>
      </c>
      <c r="V630" s="15">
        <f>-$K630*IFERROR(INDEX('[1]salary allocation-v2'!$E$6:$J$22,MATCH($H630,'[1]salary allocation-v2'!$D$6:$D$22,0),MATCH(V$3,'[1]salary allocation-v2'!$E$3:$J$3,0)),0)</f>
        <v>0</v>
      </c>
      <c r="W630" s="15">
        <f>-$K630*IFERROR(INDEX('[1]salary allocation-v2'!$E$6:$J$22,MATCH($H630,'[1]salary allocation-v2'!$D$6:$D$22,0),MATCH(W$3,'[1]salary allocation-v2'!$E$3:$J$3,0)),0)</f>
        <v>3551812.4000000004</v>
      </c>
      <c r="X630" s="15">
        <f>-$K630*IFERROR(INDEX('[1]salary allocation-v2'!$E$6:$J$22,MATCH($H630,'[1]salary allocation-v2'!$D$6:$D$22,0),MATCH(X$3,'[1]salary allocation-v2'!$E$3:$J$3,0)),0)</f>
        <v>0</v>
      </c>
      <c r="Y630" s="15">
        <f>-$K630*IFERROR(INDEX('[1]salary allocation-v2'!$E$6:$J$22,MATCH($H630,'[1]salary allocation-v2'!$D$6:$D$22,0),MATCH(Y$3,'[1]salary allocation-v2'!$E$3:$J$3,0)),0)</f>
        <v>0</v>
      </c>
      <c r="Z630" s="15">
        <f>-$K630*IFERROR(INDEX('[1]salary allocation-v2'!$E$6:$J$22,MATCH($H630,'[1]salary allocation-v2'!$D$6:$D$22,0),MATCH(Z$3,'[1]salary allocation-v2'!$E$3:$J$3,0)),0)</f>
        <v>0</v>
      </c>
      <c r="AA630" s="15">
        <f>-$K630*IFERROR(INDEX('[1]salary allocation-v2'!$E$6:$J$22,MATCH($H630,'[1]salary allocation-v2'!$D$6:$D$22,0),MATCH(AA$3,'[1]salary allocation-v2'!$E$3:$J$3,0)),0)</f>
        <v>0</v>
      </c>
      <c r="AB630" s="15">
        <f>-$K630*IFERROR(INDEX('[1]salary allocation-v2'!$E$6:$J$22,MATCH($H630,'[1]salary allocation-v2'!$D$6:$D$22,0),MATCH(AB$3,'[1]salary allocation-v2'!$E$3:$J$3,0)),0)</f>
        <v>0</v>
      </c>
      <c r="AC630" s="18">
        <f>-$K630*IFERROR(INDEX('[1]salary allocation-v2'!$E$6:$J$22,MATCH($H630,'[1]salary allocation-v2'!$D$6:$D$22,0),MATCH(AC$3,'[1]salary allocation-v2'!$E$3:$J$3,0)),0)</f>
        <v>0</v>
      </c>
      <c r="AD630" s="17"/>
      <c r="AE630" s="16"/>
      <c r="AF630" s="15"/>
      <c r="AG630" s="15">
        <f>-K630</f>
        <v>8879531</v>
      </c>
      <c r="AH630" s="2">
        <f>K630+SUM(O630:AC630)</f>
        <v>0</v>
      </c>
      <c r="AI630" s="2">
        <f>K630+SUM(AF630:AG630)</f>
        <v>0</v>
      </c>
    </row>
    <row r="631" spans="1:35" x14ac:dyDescent="0.2">
      <c r="A631" s="23" t="s">
        <v>3</v>
      </c>
      <c r="B631" s="22" t="s">
        <v>231</v>
      </c>
      <c r="H631" s="11" t="s">
        <v>47</v>
      </c>
      <c r="I631" s="11" t="s">
        <v>257</v>
      </c>
      <c r="K631" s="13">
        <v>-15316796</v>
      </c>
      <c r="L631" s="12">
        <v>92025</v>
      </c>
      <c r="M631" s="11" t="str">
        <f>LEFT(I631,(LEN(LEFT(I631,FIND(";",I631)))-8))</f>
        <v>VNHBC</v>
      </c>
      <c r="N631" s="11"/>
      <c r="O631" s="15">
        <f>-$K631*IFERROR(INDEX('[1]salary allocation-v2'!$E$6:$J$22,MATCH($H631,'[1]salary allocation-v2'!$D$6:$D$22,0),MATCH(O$3,'[1]salary allocation-v2'!$E$3:$J$3,0)),0)</f>
        <v>0</v>
      </c>
      <c r="P631" s="15">
        <f>-$K631*IFERROR(INDEX('[1]salary allocation-v2'!$E$6:$J$22,MATCH($H631,'[1]salary allocation-v2'!$D$6:$D$22,0),MATCH(P$3,'[1]salary allocation-v2'!$E$3:$J$3,0)),0)</f>
        <v>0</v>
      </c>
      <c r="Q631" s="15">
        <f>-$K631*IFERROR(INDEX('[1]salary allocation-v2'!$E$6:$J$22,MATCH($H631,'[1]salary allocation-v2'!$D$6:$D$22,0),MATCH(Q$3,'[1]salary allocation-v2'!$E$3:$J$3,0)),0)</f>
        <v>0</v>
      </c>
      <c r="R631" s="15">
        <f>-$K631*IFERROR(INDEX('[1]salary allocation-v2'!$E$6:$J$22,MATCH($H631,'[1]salary allocation-v2'!$D$6:$D$22,0),MATCH(R$3,'[1]salary allocation-v2'!$E$3:$J$3,0)),0)</f>
        <v>0</v>
      </c>
      <c r="S631" s="15">
        <f>-$K631*IFERROR(INDEX('[1]salary allocation-v2'!$E$6:$J$22,MATCH($H631,'[1]salary allocation-v2'!$D$6:$D$22,0),MATCH(S$3,'[1]salary allocation-v2'!$E$3:$J$3,0)),0)</f>
        <v>3063359.2</v>
      </c>
      <c r="T631" s="15">
        <f>-$K631*IFERROR(INDEX('[1]salary allocation-v2'!$E$6:$J$22,MATCH($H631,'[1]salary allocation-v2'!$D$6:$D$22,0),MATCH(T$3,'[1]salary allocation-v2'!$E$3:$J$3,0)),0)</f>
        <v>3063359.2</v>
      </c>
      <c r="U631" s="15">
        <f>-$K631*IFERROR(INDEX('[1]salary allocation-v2'!$E$6:$J$22,MATCH($H631,'[1]salary allocation-v2'!$D$6:$D$22,0),MATCH(U$3,'[1]salary allocation-v2'!$E$3:$J$3,0)),0)</f>
        <v>3063359.2</v>
      </c>
      <c r="V631" s="15">
        <f>-$K631*IFERROR(INDEX('[1]salary allocation-v2'!$E$6:$J$22,MATCH($H631,'[1]salary allocation-v2'!$D$6:$D$22,0),MATCH(V$3,'[1]salary allocation-v2'!$E$3:$J$3,0)),0)</f>
        <v>0</v>
      </c>
      <c r="W631" s="15">
        <f>-$K631*IFERROR(INDEX('[1]salary allocation-v2'!$E$6:$J$22,MATCH($H631,'[1]salary allocation-v2'!$D$6:$D$22,0),MATCH(W$3,'[1]salary allocation-v2'!$E$3:$J$3,0)),0)</f>
        <v>6126718.4000000004</v>
      </c>
      <c r="X631" s="15">
        <f>-$K631*IFERROR(INDEX('[1]salary allocation-v2'!$E$6:$J$22,MATCH($H631,'[1]salary allocation-v2'!$D$6:$D$22,0),MATCH(X$3,'[1]salary allocation-v2'!$E$3:$J$3,0)),0)</f>
        <v>0</v>
      </c>
      <c r="Y631" s="15">
        <f>-$K631*IFERROR(INDEX('[1]salary allocation-v2'!$E$6:$J$22,MATCH($H631,'[1]salary allocation-v2'!$D$6:$D$22,0),MATCH(Y$3,'[1]salary allocation-v2'!$E$3:$J$3,0)),0)</f>
        <v>0</v>
      </c>
      <c r="Z631" s="15">
        <f>-$K631*IFERROR(INDEX('[1]salary allocation-v2'!$E$6:$J$22,MATCH($H631,'[1]salary allocation-v2'!$D$6:$D$22,0),MATCH(Z$3,'[1]salary allocation-v2'!$E$3:$J$3,0)),0)</f>
        <v>0</v>
      </c>
      <c r="AA631" s="15">
        <f>-$K631*IFERROR(INDEX('[1]salary allocation-v2'!$E$6:$J$22,MATCH($H631,'[1]salary allocation-v2'!$D$6:$D$22,0),MATCH(AA$3,'[1]salary allocation-v2'!$E$3:$J$3,0)),0)</f>
        <v>0</v>
      </c>
      <c r="AB631" s="15">
        <f>-$K631*IFERROR(INDEX('[1]salary allocation-v2'!$E$6:$J$22,MATCH($H631,'[1]salary allocation-v2'!$D$6:$D$22,0),MATCH(AB$3,'[1]salary allocation-v2'!$E$3:$J$3,0)),0)</f>
        <v>0</v>
      </c>
      <c r="AC631" s="18">
        <f>-$K631*IFERROR(INDEX('[1]salary allocation-v2'!$E$6:$J$22,MATCH($H631,'[1]salary allocation-v2'!$D$6:$D$22,0),MATCH(AC$3,'[1]salary allocation-v2'!$E$3:$J$3,0)),0)</f>
        <v>0</v>
      </c>
      <c r="AD631" s="17"/>
      <c r="AE631" s="16"/>
      <c r="AF631" s="15">
        <f>-$K631</f>
        <v>15316796</v>
      </c>
      <c r="AG631" s="15"/>
      <c r="AH631" s="2">
        <f>K631+SUM(O631:AC631)</f>
        <v>0</v>
      </c>
      <c r="AI631" s="2">
        <f>K631+SUM(AF631:AG631)</f>
        <v>0</v>
      </c>
    </row>
    <row r="632" spans="1:35" x14ac:dyDescent="0.2">
      <c r="A632" s="23" t="s">
        <v>3</v>
      </c>
      <c r="B632" s="22" t="s">
        <v>231</v>
      </c>
      <c r="H632" s="11" t="s">
        <v>173</v>
      </c>
      <c r="I632" s="11" t="s">
        <v>256</v>
      </c>
      <c r="K632" s="13">
        <v>0</v>
      </c>
      <c r="L632" s="12">
        <v>92025</v>
      </c>
      <c r="M632" s="11" t="str">
        <f>LEFT(I632,(LEN(LEFT(I632,FIND(";",I632)))-8))</f>
        <v>VNELC</v>
      </c>
      <c r="N632" s="11"/>
      <c r="O632" s="15">
        <f>-$K632*IFERROR(INDEX('[1]salary allocation-v2'!$E$6:$J$22,MATCH($H632,'[1]salary allocation-v2'!$D$6:$D$22,0),MATCH(O$3,'[1]salary allocation-v2'!$E$3:$J$3,0)),0)</f>
        <v>0</v>
      </c>
      <c r="P632" s="15">
        <f>-$K632*IFERROR(INDEX('[1]salary allocation-v2'!$E$6:$J$22,MATCH($H632,'[1]salary allocation-v2'!$D$6:$D$22,0),MATCH(P$3,'[1]salary allocation-v2'!$E$3:$J$3,0)),0)</f>
        <v>0</v>
      </c>
      <c r="Q632" s="15">
        <f>-$K632*IFERROR(INDEX('[1]salary allocation-v2'!$E$6:$J$22,MATCH($H632,'[1]salary allocation-v2'!$D$6:$D$22,0),MATCH(Q$3,'[1]salary allocation-v2'!$E$3:$J$3,0)),0)</f>
        <v>0</v>
      </c>
      <c r="R632" s="15">
        <f>-$K632*IFERROR(INDEX('[1]salary allocation-v2'!$E$6:$J$22,MATCH($H632,'[1]salary allocation-v2'!$D$6:$D$22,0),MATCH(R$3,'[1]salary allocation-v2'!$E$3:$J$3,0)),0)</f>
        <v>0</v>
      </c>
      <c r="S632" s="15">
        <f>-$K632*IFERROR(INDEX('[1]salary allocation-v2'!$E$6:$J$22,MATCH($H632,'[1]salary allocation-v2'!$D$6:$D$22,0),MATCH(S$3,'[1]salary allocation-v2'!$E$3:$J$3,0)),0)</f>
        <v>0</v>
      </c>
      <c r="T632" s="15">
        <f>-$K632*IFERROR(INDEX('[1]salary allocation-v2'!$E$6:$J$22,MATCH($H632,'[1]salary allocation-v2'!$D$6:$D$22,0),MATCH(T$3,'[1]salary allocation-v2'!$E$3:$J$3,0)),0)</f>
        <v>0</v>
      </c>
      <c r="U632" s="15">
        <f>-$K632*IFERROR(INDEX('[1]salary allocation-v2'!$E$6:$J$22,MATCH($H632,'[1]salary allocation-v2'!$D$6:$D$22,0),MATCH(U$3,'[1]salary allocation-v2'!$E$3:$J$3,0)),0)</f>
        <v>0</v>
      </c>
      <c r="V632" s="15">
        <f>-$K632*IFERROR(INDEX('[1]salary allocation-v2'!$E$6:$J$22,MATCH($H632,'[1]salary allocation-v2'!$D$6:$D$22,0),MATCH(V$3,'[1]salary allocation-v2'!$E$3:$J$3,0)),0)</f>
        <v>0</v>
      </c>
      <c r="W632" s="15">
        <f>-$K632*IFERROR(INDEX('[1]salary allocation-v2'!$E$6:$J$22,MATCH($H632,'[1]salary allocation-v2'!$D$6:$D$22,0),MATCH(W$3,'[1]salary allocation-v2'!$E$3:$J$3,0)),0)</f>
        <v>0</v>
      </c>
      <c r="X632" s="15">
        <f>-$K632*IFERROR(INDEX('[1]salary allocation-v2'!$E$6:$J$22,MATCH($H632,'[1]salary allocation-v2'!$D$6:$D$22,0),MATCH(X$3,'[1]salary allocation-v2'!$E$3:$J$3,0)),0)</f>
        <v>0</v>
      </c>
      <c r="Y632" s="15">
        <f>-$K632*IFERROR(INDEX('[1]salary allocation-v2'!$E$6:$J$22,MATCH($H632,'[1]salary allocation-v2'!$D$6:$D$22,0),MATCH(Y$3,'[1]salary allocation-v2'!$E$3:$J$3,0)),0)</f>
        <v>0</v>
      </c>
      <c r="Z632" s="15">
        <f>-$K632*IFERROR(INDEX('[1]salary allocation-v2'!$E$6:$J$22,MATCH($H632,'[1]salary allocation-v2'!$D$6:$D$22,0),MATCH(Z$3,'[1]salary allocation-v2'!$E$3:$J$3,0)),0)</f>
        <v>0</v>
      </c>
      <c r="AA632" s="15">
        <f>-$K632*IFERROR(INDEX('[1]salary allocation-v2'!$E$6:$J$22,MATCH($H632,'[1]salary allocation-v2'!$D$6:$D$22,0),MATCH(AA$3,'[1]salary allocation-v2'!$E$3:$J$3,0)),0)</f>
        <v>0</v>
      </c>
      <c r="AB632" s="15">
        <f>-$K632*IFERROR(INDEX('[1]salary allocation-v2'!$E$6:$J$22,MATCH($H632,'[1]salary allocation-v2'!$D$6:$D$22,0),MATCH(AB$3,'[1]salary allocation-v2'!$E$3:$J$3,0)),0)</f>
        <v>0</v>
      </c>
      <c r="AC632" s="18">
        <f>-$K632*IFERROR(INDEX('[1]salary allocation-v2'!$E$6:$J$22,MATCH($H632,'[1]salary allocation-v2'!$D$6:$D$22,0),MATCH(AC$3,'[1]salary allocation-v2'!$E$3:$J$3,0)),0)</f>
        <v>0</v>
      </c>
      <c r="AD632" s="17"/>
      <c r="AE632" s="16"/>
      <c r="AF632" s="15"/>
      <c r="AG632" s="15">
        <f>-$K632</f>
        <v>0</v>
      </c>
      <c r="AH632" s="2">
        <f>K632+SUM(O632:AC632)</f>
        <v>0</v>
      </c>
      <c r="AI632" s="2">
        <f>K632+SUM(AF632:AG632)</f>
        <v>0</v>
      </c>
    </row>
    <row r="633" spans="1:35" x14ac:dyDescent="0.2">
      <c r="A633" s="23" t="s">
        <v>3</v>
      </c>
      <c r="B633" s="22" t="s">
        <v>231</v>
      </c>
      <c r="H633" s="11" t="s">
        <v>45</v>
      </c>
      <c r="I633" s="11" t="s">
        <v>255</v>
      </c>
      <c r="K633" s="13">
        <v>-6400558</v>
      </c>
      <c r="L633" s="12">
        <v>92025</v>
      </c>
      <c r="M633" s="11" t="str">
        <f>LEFT(I633,(LEN(LEFT(I633,FIND(";",I633)))-9))</f>
        <v>VNHBC</v>
      </c>
      <c r="N633" s="11"/>
      <c r="O633" s="15">
        <f>-$K633*IFERROR(INDEX('[1]salary allocation-v2'!$E$6:$J$22,MATCH($H633,'[1]salary allocation-v2'!$D$6:$D$22,0),MATCH(O$3,'[1]salary allocation-v2'!$E$3:$J$3,0)),0)</f>
        <v>0</v>
      </c>
      <c r="P633" s="15">
        <f>-$K633*IFERROR(INDEX('[1]salary allocation-v2'!$E$6:$J$22,MATCH($H633,'[1]salary allocation-v2'!$D$6:$D$22,0),MATCH(P$3,'[1]salary allocation-v2'!$E$3:$J$3,0)),0)</f>
        <v>0</v>
      </c>
      <c r="Q633" s="15">
        <f>-$K633*IFERROR(INDEX('[1]salary allocation-v2'!$E$6:$J$22,MATCH($H633,'[1]salary allocation-v2'!$D$6:$D$22,0),MATCH(Q$3,'[1]salary allocation-v2'!$E$3:$J$3,0)),0)</f>
        <v>0</v>
      </c>
      <c r="R633" s="15">
        <f>-$K633*IFERROR(INDEX('[1]salary allocation-v2'!$E$6:$J$22,MATCH($H633,'[1]salary allocation-v2'!$D$6:$D$22,0),MATCH(R$3,'[1]salary allocation-v2'!$E$3:$J$3,0)),0)</f>
        <v>0</v>
      </c>
      <c r="S633" s="15">
        <f>-$K633*IFERROR(INDEX('[1]salary allocation-v2'!$E$6:$J$22,MATCH($H633,'[1]salary allocation-v2'!$D$6:$D$22,0),MATCH(S$3,'[1]salary allocation-v2'!$E$3:$J$3,0)),0)</f>
        <v>1280111.6000000001</v>
      </c>
      <c r="T633" s="15">
        <f>-$K633*IFERROR(INDEX('[1]salary allocation-v2'!$E$6:$J$22,MATCH($H633,'[1]salary allocation-v2'!$D$6:$D$22,0),MATCH(T$3,'[1]salary allocation-v2'!$E$3:$J$3,0)),0)</f>
        <v>1280111.6000000001</v>
      </c>
      <c r="U633" s="15">
        <f>-$K633*IFERROR(INDEX('[1]salary allocation-v2'!$E$6:$J$22,MATCH($H633,'[1]salary allocation-v2'!$D$6:$D$22,0),MATCH(U$3,'[1]salary allocation-v2'!$E$3:$J$3,0)),0)</f>
        <v>1280111.6000000001</v>
      </c>
      <c r="V633" s="15">
        <f>-$K633*IFERROR(INDEX('[1]salary allocation-v2'!$E$6:$J$22,MATCH($H633,'[1]salary allocation-v2'!$D$6:$D$22,0),MATCH(V$3,'[1]salary allocation-v2'!$E$3:$J$3,0)),0)</f>
        <v>0</v>
      </c>
      <c r="W633" s="15">
        <f>-$K633*IFERROR(INDEX('[1]salary allocation-v2'!$E$6:$J$22,MATCH($H633,'[1]salary allocation-v2'!$D$6:$D$22,0),MATCH(W$3,'[1]salary allocation-v2'!$E$3:$J$3,0)),0)</f>
        <v>2560223.2000000002</v>
      </c>
      <c r="X633" s="15">
        <f>-$K633*IFERROR(INDEX('[1]salary allocation-v2'!$E$6:$J$22,MATCH($H633,'[1]salary allocation-v2'!$D$6:$D$22,0),MATCH(X$3,'[1]salary allocation-v2'!$E$3:$J$3,0)),0)</f>
        <v>0</v>
      </c>
      <c r="Y633" s="15">
        <f>-$K633*IFERROR(INDEX('[1]salary allocation-v2'!$E$6:$J$22,MATCH($H633,'[1]salary allocation-v2'!$D$6:$D$22,0),MATCH(Y$3,'[1]salary allocation-v2'!$E$3:$J$3,0)),0)</f>
        <v>0</v>
      </c>
      <c r="Z633" s="15">
        <f>-$K633*IFERROR(INDEX('[1]salary allocation-v2'!$E$6:$J$22,MATCH($H633,'[1]salary allocation-v2'!$D$6:$D$22,0),MATCH(Z$3,'[1]salary allocation-v2'!$E$3:$J$3,0)),0)</f>
        <v>0</v>
      </c>
      <c r="AA633" s="15">
        <f>-$K633*IFERROR(INDEX('[1]salary allocation-v2'!$E$6:$J$22,MATCH($H633,'[1]salary allocation-v2'!$D$6:$D$22,0),MATCH(AA$3,'[1]salary allocation-v2'!$E$3:$J$3,0)),0)</f>
        <v>0</v>
      </c>
      <c r="AB633" s="15">
        <f>-$K633*IFERROR(INDEX('[1]salary allocation-v2'!$E$6:$J$22,MATCH($H633,'[1]salary allocation-v2'!$D$6:$D$22,0),MATCH(AB$3,'[1]salary allocation-v2'!$E$3:$J$3,0)),0)</f>
        <v>0</v>
      </c>
      <c r="AC633" s="18">
        <f>-$K633*IFERROR(INDEX('[1]salary allocation-v2'!$E$6:$J$22,MATCH($H633,'[1]salary allocation-v2'!$D$6:$D$22,0),MATCH(AC$3,'[1]salary allocation-v2'!$E$3:$J$3,0)),0)</f>
        <v>0</v>
      </c>
      <c r="AD633" s="17"/>
      <c r="AE633" s="16"/>
      <c r="AF633" s="15"/>
      <c r="AG633" s="15">
        <f>-K633</f>
        <v>6400558</v>
      </c>
      <c r="AH633" s="2">
        <f>K633+SUM(O633:AC633)</f>
        <v>0</v>
      </c>
      <c r="AI633" s="2">
        <f>K633+SUM(AF633:AG633)</f>
        <v>0</v>
      </c>
    </row>
    <row r="634" spans="1:35" x14ac:dyDescent="0.2">
      <c r="A634" s="23" t="s">
        <v>3</v>
      </c>
      <c r="B634" s="22" t="s">
        <v>231</v>
      </c>
      <c r="H634" s="11" t="s">
        <v>43</v>
      </c>
      <c r="I634" s="11" t="s">
        <v>254</v>
      </c>
      <c r="K634" s="13">
        <v>-15117814</v>
      </c>
      <c r="L634" s="12">
        <v>92025</v>
      </c>
      <c r="M634" s="11" t="str">
        <f>LEFT(I634,(LEN(LEFT(I634,FIND(";",I634)))-8))</f>
        <v>VNMOET</v>
      </c>
      <c r="N634" s="11"/>
      <c r="O634" s="15">
        <f>-$K634*IFERROR(INDEX('[1]salary allocation-v2'!$E$6:$J$22,MATCH($H634,'[1]salary allocation-v2'!$D$6:$D$22,0),MATCH(O$3,'[1]salary allocation-v2'!$E$3:$J$3,0)),0)</f>
        <v>0</v>
      </c>
      <c r="P634" s="15">
        <f>-$K634*IFERROR(INDEX('[1]salary allocation-v2'!$E$6:$J$22,MATCH($H634,'[1]salary allocation-v2'!$D$6:$D$22,0),MATCH(P$3,'[1]salary allocation-v2'!$E$3:$J$3,0)),0)</f>
        <v>0</v>
      </c>
      <c r="Q634" s="15">
        <f>-$K634*IFERROR(INDEX('[1]salary allocation-v2'!$E$6:$J$22,MATCH($H634,'[1]salary allocation-v2'!$D$6:$D$22,0),MATCH(Q$3,'[1]salary allocation-v2'!$E$3:$J$3,0)),0)</f>
        <v>0</v>
      </c>
      <c r="R634" s="15">
        <f>-$K634*IFERROR(INDEX('[1]salary allocation-v2'!$E$6:$J$22,MATCH($H634,'[1]salary allocation-v2'!$D$6:$D$22,0),MATCH(R$3,'[1]salary allocation-v2'!$E$3:$J$3,0)),0)</f>
        <v>0</v>
      </c>
      <c r="S634" s="15">
        <f>-$K634*IFERROR(INDEX('[1]salary allocation-v2'!$E$6:$J$22,MATCH($H634,'[1]salary allocation-v2'!$D$6:$D$22,0),MATCH(S$3,'[1]salary allocation-v2'!$E$3:$J$3,0)),0)</f>
        <v>3023562.8000000003</v>
      </c>
      <c r="T634" s="15">
        <f>-$K634*IFERROR(INDEX('[1]salary allocation-v2'!$E$6:$J$22,MATCH($H634,'[1]salary allocation-v2'!$D$6:$D$22,0),MATCH(T$3,'[1]salary allocation-v2'!$E$3:$J$3,0)),0)</f>
        <v>3023562.8000000003</v>
      </c>
      <c r="U634" s="15">
        <f>-$K634*IFERROR(INDEX('[1]salary allocation-v2'!$E$6:$J$22,MATCH($H634,'[1]salary allocation-v2'!$D$6:$D$22,0),MATCH(U$3,'[1]salary allocation-v2'!$E$3:$J$3,0)),0)</f>
        <v>3023562.8000000003</v>
      </c>
      <c r="V634" s="15">
        <f>-$K634*IFERROR(INDEX('[1]salary allocation-v2'!$E$6:$J$22,MATCH($H634,'[1]salary allocation-v2'!$D$6:$D$22,0),MATCH(V$3,'[1]salary allocation-v2'!$E$3:$J$3,0)),0)</f>
        <v>0</v>
      </c>
      <c r="W634" s="15">
        <f>-$K634*IFERROR(INDEX('[1]salary allocation-v2'!$E$6:$J$22,MATCH($H634,'[1]salary allocation-v2'!$D$6:$D$22,0),MATCH(W$3,'[1]salary allocation-v2'!$E$3:$J$3,0)),0)</f>
        <v>6047125.6000000006</v>
      </c>
      <c r="X634" s="15">
        <f>-$K634*IFERROR(INDEX('[1]salary allocation-v2'!$E$6:$J$22,MATCH($H634,'[1]salary allocation-v2'!$D$6:$D$22,0),MATCH(X$3,'[1]salary allocation-v2'!$E$3:$J$3,0)),0)</f>
        <v>0</v>
      </c>
      <c r="Y634" s="15">
        <f>-$K634*IFERROR(INDEX('[1]salary allocation-v2'!$E$6:$J$22,MATCH($H634,'[1]salary allocation-v2'!$D$6:$D$22,0),MATCH(Y$3,'[1]salary allocation-v2'!$E$3:$J$3,0)),0)</f>
        <v>0</v>
      </c>
      <c r="Z634" s="15">
        <f>-$K634*IFERROR(INDEX('[1]salary allocation-v2'!$E$6:$J$22,MATCH($H634,'[1]salary allocation-v2'!$D$6:$D$22,0),MATCH(Z$3,'[1]salary allocation-v2'!$E$3:$J$3,0)),0)</f>
        <v>0</v>
      </c>
      <c r="AA634" s="15">
        <f>-$K634*IFERROR(INDEX('[1]salary allocation-v2'!$E$6:$J$22,MATCH($H634,'[1]salary allocation-v2'!$D$6:$D$22,0),MATCH(AA$3,'[1]salary allocation-v2'!$E$3:$J$3,0)),0)</f>
        <v>0</v>
      </c>
      <c r="AB634" s="15">
        <f>-$K634*IFERROR(INDEX('[1]salary allocation-v2'!$E$6:$J$22,MATCH($H634,'[1]salary allocation-v2'!$D$6:$D$22,0),MATCH(AB$3,'[1]salary allocation-v2'!$E$3:$J$3,0)),0)</f>
        <v>0</v>
      </c>
      <c r="AC634" s="18">
        <f>-$K634*IFERROR(INDEX('[1]salary allocation-v2'!$E$6:$J$22,MATCH($H634,'[1]salary allocation-v2'!$D$6:$D$22,0),MATCH(AC$3,'[1]salary allocation-v2'!$E$3:$J$3,0)),0)</f>
        <v>0</v>
      </c>
      <c r="AD634" s="17"/>
      <c r="AE634" s="16"/>
      <c r="AF634" s="15">
        <f>-$K634</f>
        <v>15117814</v>
      </c>
      <c r="AG634" s="15"/>
      <c r="AH634" s="2">
        <f>K634+SUM(O634:AC634)</f>
        <v>0</v>
      </c>
      <c r="AI634" s="2">
        <f>K634+SUM(AF634:AG634)</f>
        <v>0</v>
      </c>
    </row>
    <row r="635" spans="1:35" x14ac:dyDescent="0.2">
      <c r="A635" s="23" t="s">
        <v>3</v>
      </c>
      <c r="B635" s="22" t="s">
        <v>231</v>
      </c>
      <c r="H635" s="11" t="s">
        <v>41</v>
      </c>
      <c r="I635" s="11" t="s">
        <v>253</v>
      </c>
      <c r="K635" s="13">
        <v>-15063924</v>
      </c>
      <c r="L635" s="12">
        <v>92025</v>
      </c>
      <c r="M635" s="11" t="str">
        <f>LEFT(I635,(LEN(LEFT(I635,FIND(";",I635)))-8))</f>
        <v>VNMOET</v>
      </c>
      <c r="N635" s="11"/>
      <c r="O635" s="15">
        <f>-$K635*IFERROR(INDEX('[1]salary allocation-v2'!$E$6:$J$22,MATCH($H635,'[1]salary allocation-v2'!$D$6:$D$22,0),MATCH(O$3,'[1]salary allocation-v2'!$E$3:$J$3,0)),0)</f>
        <v>0</v>
      </c>
      <c r="P635" s="15">
        <f>-$K635*IFERROR(INDEX('[1]salary allocation-v2'!$E$6:$J$22,MATCH($H635,'[1]salary allocation-v2'!$D$6:$D$22,0),MATCH(P$3,'[1]salary allocation-v2'!$E$3:$J$3,0)),0)</f>
        <v>0</v>
      </c>
      <c r="Q635" s="15">
        <f>-$K635*IFERROR(INDEX('[1]salary allocation-v2'!$E$6:$J$22,MATCH($H635,'[1]salary allocation-v2'!$D$6:$D$22,0),MATCH(Q$3,'[1]salary allocation-v2'!$E$3:$J$3,0)),0)</f>
        <v>0</v>
      </c>
      <c r="R635" s="15">
        <f>-$K635*IFERROR(INDEX('[1]salary allocation-v2'!$E$6:$J$22,MATCH($H635,'[1]salary allocation-v2'!$D$6:$D$22,0),MATCH(R$3,'[1]salary allocation-v2'!$E$3:$J$3,0)),0)</f>
        <v>0</v>
      </c>
      <c r="S635" s="15">
        <f>-$K635*IFERROR(INDEX('[1]salary allocation-v2'!$E$6:$J$22,MATCH($H635,'[1]salary allocation-v2'!$D$6:$D$22,0),MATCH(S$3,'[1]salary allocation-v2'!$E$3:$J$3,0)),0)</f>
        <v>0</v>
      </c>
      <c r="T635" s="15">
        <f>-$K635*IFERROR(INDEX('[1]salary allocation-v2'!$E$6:$J$22,MATCH($H635,'[1]salary allocation-v2'!$D$6:$D$22,0),MATCH(T$3,'[1]salary allocation-v2'!$E$3:$J$3,0)),0)</f>
        <v>0</v>
      </c>
      <c r="U635" s="15">
        <f>-$K635*IFERROR(INDEX('[1]salary allocation-v2'!$E$6:$J$22,MATCH($H635,'[1]salary allocation-v2'!$D$6:$D$22,0),MATCH(U$3,'[1]salary allocation-v2'!$E$3:$J$3,0)),0)</f>
        <v>0</v>
      </c>
      <c r="V635" s="15">
        <f>-$K635*IFERROR(INDEX('[1]salary allocation-v2'!$E$6:$J$22,MATCH($H635,'[1]salary allocation-v2'!$D$6:$D$22,0),MATCH(V$3,'[1]salary allocation-v2'!$E$3:$J$3,0)),0)</f>
        <v>0</v>
      </c>
      <c r="W635" s="15">
        <f>-$K635*IFERROR(INDEX('[1]salary allocation-v2'!$E$6:$J$22,MATCH($H635,'[1]salary allocation-v2'!$D$6:$D$22,0),MATCH(W$3,'[1]salary allocation-v2'!$E$3:$J$3,0)),0)</f>
        <v>15063924</v>
      </c>
      <c r="X635" s="15">
        <f>-$K635*IFERROR(INDEX('[1]salary allocation-v2'!$E$6:$J$22,MATCH($H635,'[1]salary allocation-v2'!$D$6:$D$22,0),MATCH(X$3,'[1]salary allocation-v2'!$E$3:$J$3,0)),0)</f>
        <v>0</v>
      </c>
      <c r="Y635" s="15">
        <f>-$K635*IFERROR(INDEX('[1]salary allocation-v2'!$E$6:$J$22,MATCH($H635,'[1]salary allocation-v2'!$D$6:$D$22,0),MATCH(Y$3,'[1]salary allocation-v2'!$E$3:$J$3,0)),0)</f>
        <v>0</v>
      </c>
      <c r="Z635" s="15">
        <f>-$K635*IFERROR(INDEX('[1]salary allocation-v2'!$E$6:$J$22,MATCH($H635,'[1]salary allocation-v2'!$D$6:$D$22,0),MATCH(Z$3,'[1]salary allocation-v2'!$E$3:$J$3,0)),0)</f>
        <v>0</v>
      </c>
      <c r="AA635" s="15">
        <f>-$K635*IFERROR(INDEX('[1]salary allocation-v2'!$E$6:$J$22,MATCH($H635,'[1]salary allocation-v2'!$D$6:$D$22,0),MATCH(AA$3,'[1]salary allocation-v2'!$E$3:$J$3,0)),0)</f>
        <v>0</v>
      </c>
      <c r="AB635" s="15">
        <f>-$K635*IFERROR(INDEX('[1]salary allocation-v2'!$E$6:$J$22,MATCH($H635,'[1]salary allocation-v2'!$D$6:$D$22,0),MATCH(AB$3,'[1]salary allocation-v2'!$E$3:$J$3,0)),0)</f>
        <v>0</v>
      </c>
      <c r="AC635" s="18">
        <f>-$K635*IFERROR(INDEX('[1]salary allocation-v2'!$E$6:$J$22,MATCH($H635,'[1]salary allocation-v2'!$D$6:$D$22,0),MATCH(AC$3,'[1]salary allocation-v2'!$E$3:$J$3,0)),0)</f>
        <v>0</v>
      </c>
      <c r="AD635" s="17"/>
      <c r="AE635" s="16"/>
      <c r="AF635" s="15">
        <f>-$K635</f>
        <v>15063924</v>
      </c>
      <c r="AG635" s="15"/>
      <c r="AH635" s="2">
        <f>K635+SUM(O635:AC635)</f>
        <v>0</v>
      </c>
      <c r="AI635" s="2">
        <f>K635+SUM(AF635:AG635)</f>
        <v>0</v>
      </c>
    </row>
    <row r="636" spans="1:35" x14ac:dyDescent="0.2">
      <c r="A636" s="23" t="s">
        <v>3</v>
      </c>
      <c r="B636" s="22" t="s">
        <v>231</v>
      </c>
      <c r="H636" s="11" t="s">
        <v>39</v>
      </c>
      <c r="I636" s="11" t="s">
        <v>252</v>
      </c>
      <c r="K636" s="13">
        <v>-15117814</v>
      </c>
      <c r="L636" s="12">
        <v>92025</v>
      </c>
      <c r="M636" s="11" t="str">
        <f>LEFT(I636,(LEN(LEFT(I636,FIND(";",I636)))-8))</f>
        <v>VNMOET</v>
      </c>
      <c r="N636" s="11"/>
      <c r="O636" s="15">
        <f>-$K636*IFERROR(INDEX('[1]salary allocation-v2'!$E$6:$J$22,MATCH($H636,'[1]salary allocation-v2'!$D$6:$D$22,0),MATCH(O$3,'[1]salary allocation-v2'!$E$3:$J$3,0)),0)</f>
        <v>0</v>
      </c>
      <c r="P636" s="15">
        <f>-$K636*IFERROR(INDEX('[1]salary allocation-v2'!$E$6:$J$22,MATCH($H636,'[1]salary allocation-v2'!$D$6:$D$22,0),MATCH(P$3,'[1]salary allocation-v2'!$E$3:$J$3,0)),0)</f>
        <v>0</v>
      </c>
      <c r="Q636" s="15">
        <f>-$K636*IFERROR(INDEX('[1]salary allocation-v2'!$E$6:$J$22,MATCH($H636,'[1]salary allocation-v2'!$D$6:$D$22,0),MATCH(Q$3,'[1]salary allocation-v2'!$E$3:$J$3,0)),0)</f>
        <v>0</v>
      </c>
      <c r="R636" s="15">
        <f>-$K636*IFERROR(INDEX('[1]salary allocation-v2'!$E$6:$J$22,MATCH($H636,'[1]salary allocation-v2'!$D$6:$D$22,0),MATCH(R$3,'[1]salary allocation-v2'!$E$3:$J$3,0)),0)</f>
        <v>0</v>
      </c>
      <c r="S636" s="15">
        <f>-$K636*IFERROR(INDEX('[1]salary allocation-v2'!$E$6:$J$22,MATCH($H636,'[1]salary allocation-v2'!$D$6:$D$22,0),MATCH(S$3,'[1]salary allocation-v2'!$E$3:$J$3,0)),0)</f>
        <v>0</v>
      </c>
      <c r="T636" s="15">
        <f>-$K636*IFERROR(INDEX('[1]salary allocation-v2'!$E$6:$J$22,MATCH($H636,'[1]salary allocation-v2'!$D$6:$D$22,0),MATCH(T$3,'[1]salary allocation-v2'!$E$3:$J$3,0)),0)</f>
        <v>0</v>
      </c>
      <c r="U636" s="15">
        <f>-$K636*IFERROR(INDEX('[1]salary allocation-v2'!$E$6:$J$22,MATCH($H636,'[1]salary allocation-v2'!$D$6:$D$22,0),MATCH(U$3,'[1]salary allocation-v2'!$E$3:$J$3,0)),0)</f>
        <v>0</v>
      </c>
      <c r="V636" s="15">
        <f>-$K636*IFERROR(INDEX('[1]salary allocation-v2'!$E$6:$J$22,MATCH($H636,'[1]salary allocation-v2'!$D$6:$D$22,0),MATCH(V$3,'[1]salary allocation-v2'!$E$3:$J$3,0)),0)</f>
        <v>0</v>
      </c>
      <c r="W636" s="15">
        <f>-$K636*IFERROR(INDEX('[1]salary allocation-v2'!$E$6:$J$22,MATCH($H636,'[1]salary allocation-v2'!$D$6:$D$22,0),MATCH(W$3,'[1]salary allocation-v2'!$E$3:$J$3,0)),0)</f>
        <v>15117814</v>
      </c>
      <c r="X636" s="15">
        <f>-$K636*IFERROR(INDEX('[1]salary allocation-v2'!$E$6:$J$22,MATCH($H636,'[1]salary allocation-v2'!$D$6:$D$22,0),MATCH(X$3,'[1]salary allocation-v2'!$E$3:$J$3,0)),0)</f>
        <v>0</v>
      </c>
      <c r="Y636" s="15">
        <f>-$K636*IFERROR(INDEX('[1]salary allocation-v2'!$E$6:$J$22,MATCH($H636,'[1]salary allocation-v2'!$D$6:$D$22,0),MATCH(Y$3,'[1]salary allocation-v2'!$E$3:$J$3,0)),0)</f>
        <v>0</v>
      </c>
      <c r="Z636" s="15">
        <f>-$K636*IFERROR(INDEX('[1]salary allocation-v2'!$E$6:$J$22,MATCH($H636,'[1]salary allocation-v2'!$D$6:$D$22,0),MATCH(Z$3,'[1]salary allocation-v2'!$E$3:$J$3,0)),0)</f>
        <v>0</v>
      </c>
      <c r="AA636" s="15">
        <f>-$K636*IFERROR(INDEX('[1]salary allocation-v2'!$E$6:$J$22,MATCH($H636,'[1]salary allocation-v2'!$D$6:$D$22,0),MATCH(AA$3,'[1]salary allocation-v2'!$E$3:$J$3,0)),0)</f>
        <v>0</v>
      </c>
      <c r="AB636" s="15">
        <f>-$K636*IFERROR(INDEX('[1]salary allocation-v2'!$E$6:$J$22,MATCH($H636,'[1]salary allocation-v2'!$D$6:$D$22,0),MATCH(AB$3,'[1]salary allocation-v2'!$E$3:$J$3,0)),0)</f>
        <v>0</v>
      </c>
      <c r="AC636" s="18">
        <f>-$K636*IFERROR(INDEX('[1]salary allocation-v2'!$E$6:$J$22,MATCH($H636,'[1]salary allocation-v2'!$D$6:$D$22,0),MATCH(AC$3,'[1]salary allocation-v2'!$E$3:$J$3,0)),0)</f>
        <v>0</v>
      </c>
      <c r="AD636" s="17"/>
      <c r="AE636" s="16"/>
      <c r="AF636" s="15">
        <f>-$K636</f>
        <v>15117814</v>
      </c>
      <c r="AG636" s="15"/>
      <c r="AH636" s="2">
        <f>K636+SUM(O636:AC636)</f>
        <v>0</v>
      </c>
      <c r="AI636" s="2">
        <f>K636+SUM(AF636:AG636)</f>
        <v>0</v>
      </c>
    </row>
    <row r="637" spans="1:35" x14ac:dyDescent="0.2">
      <c r="A637" s="23" t="s">
        <v>3</v>
      </c>
      <c r="B637" s="22" t="s">
        <v>231</v>
      </c>
      <c r="H637" s="11" t="s">
        <v>37</v>
      </c>
      <c r="I637" s="11" t="s">
        <v>251</v>
      </c>
      <c r="K637" s="13">
        <v>-14094497</v>
      </c>
      <c r="L637" s="12">
        <v>92025</v>
      </c>
      <c r="M637" s="11" t="str">
        <f>LEFT(I637,(LEN(LEFT(I637,FIND(";",I637)))-8))</f>
        <v>VNOther</v>
      </c>
      <c r="N637" s="11"/>
      <c r="O637" s="15">
        <f>-$K637*IFERROR(INDEX('[1]salary allocation-v2'!$E$6:$J$22,MATCH($H637,'[1]salary allocation-v2'!$D$6:$D$22,0),MATCH(O$3,'[1]salary allocation-v2'!$E$3:$J$3,0)),0)</f>
        <v>0</v>
      </c>
      <c r="P637" s="15">
        <f>-$K637*IFERROR(INDEX('[1]salary allocation-v2'!$E$6:$J$22,MATCH($H637,'[1]salary allocation-v2'!$D$6:$D$22,0),MATCH(P$3,'[1]salary allocation-v2'!$E$3:$J$3,0)),0)</f>
        <v>0</v>
      </c>
      <c r="Q637" s="15">
        <f>-$K637*IFERROR(INDEX('[1]salary allocation-v2'!$E$6:$J$22,MATCH($H637,'[1]salary allocation-v2'!$D$6:$D$22,0),MATCH(Q$3,'[1]salary allocation-v2'!$E$3:$J$3,0)),0)</f>
        <v>0</v>
      </c>
      <c r="R637" s="15">
        <f>-$K637*IFERROR(INDEX('[1]salary allocation-v2'!$E$6:$J$22,MATCH($H637,'[1]salary allocation-v2'!$D$6:$D$22,0),MATCH(R$3,'[1]salary allocation-v2'!$E$3:$J$3,0)),0)</f>
        <v>0</v>
      </c>
      <c r="S637" s="15">
        <f>-$K637*IFERROR(INDEX('[1]salary allocation-v2'!$E$6:$J$22,MATCH($H637,'[1]salary allocation-v2'!$D$6:$D$22,0),MATCH(S$3,'[1]salary allocation-v2'!$E$3:$J$3,0)),0)</f>
        <v>2396064.4899999998</v>
      </c>
      <c r="T637" s="15">
        <f>-$K637*IFERROR(INDEX('[1]salary allocation-v2'!$E$6:$J$22,MATCH($H637,'[1]salary allocation-v2'!$D$6:$D$22,0),MATCH(T$3,'[1]salary allocation-v2'!$E$3:$J$3,0)),0)</f>
        <v>2396064.4899999998</v>
      </c>
      <c r="U637" s="15">
        <f>-$K637*IFERROR(INDEX('[1]salary allocation-v2'!$E$6:$J$22,MATCH($H637,'[1]salary allocation-v2'!$D$6:$D$22,0),MATCH(U$3,'[1]salary allocation-v2'!$E$3:$J$3,0)),0)</f>
        <v>2396064.4899999998</v>
      </c>
      <c r="V637" s="15">
        <f>-$K637*IFERROR(INDEX('[1]salary allocation-v2'!$E$6:$J$22,MATCH($H637,'[1]salary allocation-v2'!$D$6:$D$22,0),MATCH(V$3,'[1]salary allocation-v2'!$E$3:$J$3,0)),0)</f>
        <v>0</v>
      </c>
      <c r="W637" s="15">
        <f>-$K637*IFERROR(INDEX('[1]salary allocation-v2'!$E$6:$J$22,MATCH($H637,'[1]salary allocation-v2'!$D$6:$D$22,0),MATCH(W$3,'[1]salary allocation-v2'!$E$3:$J$3,0)),0)</f>
        <v>6906303.5300000003</v>
      </c>
      <c r="X637" s="15">
        <f>-$K637*IFERROR(INDEX('[1]salary allocation-v2'!$E$6:$J$22,MATCH($H637,'[1]salary allocation-v2'!$D$6:$D$22,0),MATCH(X$3,'[1]salary allocation-v2'!$E$3:$J$3,0)),0)</f>
        <v>0</v>
      </c>
      <c r="Y637" s="15">
        <f>-$K637*IFERROR(INDEX('[1]salary allocation-v2'!$E$6:$J$22,MATCH($H637,'[1]salary allocation-v2'!$D$6:$D$22,0),MATCH(Y$3,'[1]salary allocation-v2'!$E$3:$J$3,0)),0)</f>
        <v>0</v>
      </c>
      <c r="Z637" s="15">
        <f>-$K637*IFERROR(INDEX('[1]salary allocation-v2'!$E$6:$J$22,MATCH($H637,'[1]salary allocation-v2'!$D$6:$D$22,0),MATCH(Z$3,'[1]salary allocation-v2'!$E$3:$J$3,0)),0)</f>
        <v>0</v>
      </c>
      <c r="AA637" s="15">
        <f>-$K637*IFERROR(INDEX('[1]salary allocation-v2'!$E$6:$J$22,MATCH($H637,'[1]salary allocation-v2'!$D$6:$D$22,0),MATCH(AA$3,'[1]salary allocation-v2'!$E$3:$J$3,0)),0)</f>
        <v>0</v>
      </c>
      <c r="AB637" s="15">
        <f>-$K637*IFERROR(INDEX('[1]salary allocation-v2'!$E$6:$J$22,MATCH($H637,'[1]salary allocation-v2'!$D$6:$D$22,0),MATCH(AB$3,'[1]salary allocation-v2'!$E$3:$J$3,0)),0)</f>
        <v>0</v>
      </c>
      <c r="AC637" s="18">
        <f>-$K637*IFERROR(INDEX('[1]salary allocation-v2'!$E$6:$J$22,MATCH($H637,'[1]salary allocation-v2'!$D$6:$D$22,0),MATCH(AC$3,'[1]salary allocation-v2'!$E$3:$J$3,0)),0)</f>
        <v>0</v>
      </c>
      <c r="AD637" s="17"/>
      <c r="AE637" s="16"/>
      <c r="AF637" s="15">
        <f>-K637</f>
        <v>14094497</v>
      </c>
      <c r="AG637" s="15"/>
      <c r="AH637" s="2">
        <f>K637+SUM(O637:AC637)</f>
        <v>0</v>
      </c>
      <c r="AI637" s="2">
        <f>K637+SUM(AF637:AG637)</f>
        <v>0</v>
      </c>
    </row>
    <row r="638" spans="1:35" x14ac:dyDescent="0.2">
      <c r="A638" s="23" t="s">
        <v>3</v>
      </c>
      <c r="B638" s="22" t="s">
        <v>231</v>
      </c>
      <c r="H638" s="11" t="s">
        <v>35</v>
      </c>
      <c r="I638" s="11" t="s">
        <v>250</v>
      </c>
      <c r="K638" s="13">
        <v>-15534950</v>
      </c>
      <c r="L638" s="12">
        <v>92025</v>
      </c>
      <c r="M638" s="11" t="str">
        <f>LEFT(I638,(LEN(LEFT(I638,FIND(";",I638)))-8))</f>
        <v>VNOther</v>
      </c>
      <c r="N638" s="11"/>
      <c r="O638" s="15">
        <f>-$K638*IFERROR(INDEX('[1]salary allocation-v2'!$E$6:$J$22,MATCH($H638,'[1]salary allocation-v2'!$D$6:$D$22,0),MATCH(O$3,'[1]salary allocation-v2'!$E$3:$J$3,0)),0)</f>
        <v>0</v>
      </c>
      <c r="P638" s="15">
        <f>-$K638*IFERROR(INDEX('[1]salary allocation-v2'!$E$6:$J$22,MATCH($H638,'[1]salary allocation-v2'!$D$6:$D$22,0),MATCH(P$3,'[1]salary allocation-v2'!$E$3:$J$3,0)),0)</f>
        <v>0</v>
      </c>
      <c r="Q638" s="15">
        <f>-$K638*IFERROR(INDEX('[1]salary allocation-v2'!$E$6:$J$22,MATCH($H638,'[1]salary allocation-v2'!$D$6:$D$22,0),MATCH(Q$3,'[1]salary allocation-v2'!$E$3:$J$3,0)),0)</f>
        <v>0</v>
      </c>
      <c r="R638" s="15">
        <f>-$K638*IFERROR(INDEX('[1]salary allocation-v2'!$E$6:$J$22,MATCH($H638,'[1]salary allocation-v2'!$D$6:$D$22,0),MATCH(R$3,'[1]salary allocation-v2'!$E$3:$J$3,0)),0)</f>
        <v>0</v>
      </c>
      <c r="S638" s="15">
        <f>-$K638*IFERROR(INDEX('[1]salary allocation-v2'!$E$6:$J$22,MATCH($H638,'[1]salary allocation-v2'!$D$6:$D$22,0),MATCH(S$3,'[1]salary allocation-v2'!$E$3:$J$3,0)),0)</f>
        <v>2640941.4999999995</v>
      </c>
      <c r="T638" s="15">
        <f>-$K638*IFERROR(INDEX('[1]salary allocation-v2'!$E$6:$J$22,MATCH($H638,'[1]salary allocation-v2'!$D$6:$D$22,0),MATCH(T$3,'[1]salary allocation-v2'!$E$3:$J$3,0)),0)</f>
        <v>2640941.4999999995</v>
      </c>
      <c r="U638" s="15">
        <f>-$K638*IFERROR(INDEX('[1]salary allocation-v2'!$E$6:$J$22,MATCH($H638,'[1]salary allocation-v2'!$D$6:$D$22,0),MATCH(U$3,'[1]salary allocation-v2'!$E$3:$J$3,0)),0)</f>
        <v>2640941.4999999995</v>
      </c>
      <c r="V638" s="15">
        <f>-$K638*IFERROR(INDEX('[1]salary allocation-v2'!$E$6:$J$22,MATCH($H638,'[1]salary allocation-v2'!$D$6:$D$22,0),MATCH(V$3,'[1]salary allocation-v2'!$E$3:$J$3,0)),0)</f>
        <v>0</v>
      </c>
      <c r="W638" s="15">
        <f>-$K638*IFERROR(INDEX('[1]salary allocation-v2'!$E$6:$J$22,MATCH($H638,'[1]salary allocation-v2'!$D$6:$D$22,0),MATCH(W$3,'[1]salary allocation-v2'!$E$3:$J$3,0)),0)</f>
        <v>7612125.5</v>
      </c>
      <c r="X638" s="15">
        <f>-$K638*IFERROR(INDEX('[1]salary allocation-v2'!$E$6:$J$22,MATCH($H638,'[1]salary allocation-v2'!$D$6:$D$22,0),MATCH(X$3,'[1]salary allocation-v2'!$E$3:$J$3,0)),0)</f>
        <v>0</v>
      </c>
      <c r="Y638" s="15">
        <f>-$K638*IFERROR(INDEX('[1]salary allocation-v2'!$E$6:$J$22,MATCH($H638,'[1]salary allocation-v2'!$D$6:$D$22,0),MATCH(Y$3,'[1]salary allocation-v2'!$E$3:$J$3,0)),0)</f>
        <v>0</v>
      </c>
      <c r="Z638" s="15">
        <f>-$K638*IFERROR(INDEX('[1]salary allocation-v2'!$E$6:$J$22,MATCH($H638,'[1]salary allocation-v2'!$D$6:$D$22,0),MATCH(Z$3,'[1]salary allocation-v2'!$E$3:$J$3,0)),0)</f>
        <v>0</v>
      </c>
      <c r="AA638" s="15">
        <f>-$K638*IFERROR(INDEX('[1]salary allocation-v2'!$E$6:$J$22,MATCH($H638,'[1]salary allocation-v2'!$D$6:$D$22,0),MATCH(AA$3,'[1]salary allocation-v2'!$E$3:$J$3,0)),0)</f>
        <v>0</v>
      </c>
      <c r="AB638" s="15">
        <f>-$K638*IFERROR(INDEX('[1]salary allocation-v2'!$E$6:$J$22,MATCH($H638,'[1]salary allocation-v2'!$D$6:$D$22,0),MATCH(AB$3,'[1]salary allocation-v2'!$E$3:$J$3,0)),0)</f>
        <v>0</v>
      </c>
      <c r="AC638" s="18">
        <f>-$K638*IFERROR(INDEX('[1]salary allocation-v2'!$E$6:$J$22,MATCH($H638,'[1]salary allocation-v2'!$D$6:$D$22,0),MATCH(AC$3,'[1]salary allocation-v2'!$E$3:$J$3,0)),0)</f>
        <v>0</v>
      </c>
      <c r="AD638" s="17"/>
      <c r="AE638" s="16"/>
      <c r="AF638" s="15">
        <f>-$K638</f>
        <v>15534950</v>
      </c>
      <c r="AG638" s="15"/>
      <c r="AH638" s="2">
        <f>K638+SUM(O638:AC638)</f>
        <v>0</v>
      </c>
      <c r="AI638" s="2">
        <f>K638+SUM(AF638:AG638)</f>
        <v>0</v>
      </c>
    </row>
    <row r="639" spans="1:35" x14ac:dyDescent="0.2">
      <c r="A639" s="23" t="s">
        <v>3</v>
      </c>
      <c r="B639" s="22" t="s">
        <v>231</v>
      </c>
      <c r="H639" s="11" t="s">
        <v>121</v>
      </c>
      <c r="I639" s="11" t="s">
        <v>249</v>
      </c>
      <c r="K639" s="13">
        <v>-4308352</v>
      </c>
      <c r="L639" s="12">
        <v>92025</v>
      </c>
      <c r="M639" s="11" t="str">
        <f>LEFT(I639,(LEN(LEFT(I639,FIND(";",I639)))-8))</f>
        <v>VNLA</v>
      </c>
      <c r="N639" s="11"/>
      <c r="O639" s="4">
        <f>IF($M639=O$3,-$K639,0)</f>
        <v>0</v>
      </c>
      <c r="P639" s="4">
        <f>IF($M639=P$3,-$K639,0)</f>
        <v>0</v>
      </c>
      <c r="Q639" s="4">
        <f>IF($M639=Q$3,-$K639,0)</f>
        <v>0</v>
      </c>
      <c r="R639" s="4">
        <f>IF($M639=R$3,-$K639,0)</f>
        <v>0</v>
      </c>
      <c r="S639" s="4">
        <f>IF($M639=S$3,-$K639,0)</f>
        <v>0</v>
      </c>
      <c r="T639" s="4">
        <f>IF($M639=T$3,-$K639,0)</f>
        <v>0</v>
      </c>
      <c r="U639" s="4">
        <f>IF($M639=U$3,-$K639,0)</f>
        <v>0</v>
      </c>
      <c r="V639" s="4">
        <f>IF($M639=V$3,-$K639,0)</f>
        <v>0</v>
      </c>
      <c r="W639" s="4">
        <f>IF($M639=W$3,-$K639,0)</f>
        <v>0</v>
      </c>
      <c r="X639" s="4">
        <f>IF($M639=X$3,-$K639,0)</f>
        <v>4308352</v>
      </c>
      <c r="Y639" s="4">
        <f>IF($M639=Y$3,-$K639,0)</f>
        <v>0</v>
      </c>
      <c r="Z639" s="4">
        <f>IF($M639=Z$3,-$K639,0)</f>
        <v>0</v>
      </c>
      <c r="AA639" s="4">
        <f>IF($M639=AA$3,-$K639,0)</f>
        <v>0</v>
      </c>
      <c r="AB639" s="4">
        <f>IF($M639=AB$3,-$K639,0)</f>
        <v>0</v>
      </c>
      <c r="AC639" s="10">
        <f>IF($M639=AC$3,-$K639,0)</f>
        <v>0</v>
      </c>
      <c r="AD639" s="9"/>
      <c r="AE639" s="8"/>
      <c r="AF639" s="4"/>
      <c r="AG639" s="4">
        <f>-$K639</f>
        <v>4308352</v>
      </c>
      <c r="AH639" s="2">
        <f>K639+SUM(O639:AC639)</f>
        <v>0</v>
      </c>
      <c r="AI639" s="2">
        <f>K639+SUM(AF639:AG639)</f>
        <v>0</v>
      </c>
    </row>
    <row r="640" spans="1:35" x14ac:dyDescent="0.2">
      <c r="A640" s="23" t="s">
        <v>3</v>
      </c>
      <c r="B640" s="22" t="s">
        <v>231</v>
      </c>
      <c r="H640" s="11" t="s">
        <v>33</v>
      </c>
      <c r="I640" s="11" t="s">
        <v>248</v>
      </c>
      <c r="K640" s="13">
        <v>-3984832</v>
      </c>
      <c r="L640" s="12">
        <v>92025</v>
      </c>
      <c r="M640" s="11" t="str">
        <f>LEFT(I640,(LEN(LEFT(I640,FIND(";",I640)))-8))</f>
        <v>VNDN</v>
      </c>
      <c r="N640" s="11"/>
      <c r="O640" s="4">
        <f>IF($M640=O$3,-$K640,0)</f>
        <v>0</v>
      </c>
      <c r="P640" s="4">
        <f>IF($M640=P$3,-$K640,0)</f>
        <v>0</v>
      </c>
      <c r="Q640" s="4">
        <f>IF($M640=Q$3,-$K640,0)</f>
        <v>0</v>
      </c>
      <c r="R640" s="4">
        <f>IF($M640=R$3,-$K640,0)</f>
        <v>0</v>
      </c>
      <c r="S640" s="4">
        <f>IF($M640=S$3,-$K640,0)</f>
        <v>3984832</v>
      </c>
      <c r="T640" s="4">
        <f>IF($M640=T$3,-$K640,0)</f>
        <v>0</v>
      </c>
      <c r="U640" s="4">
        <f>IF($M640=U$3,-$K640,0)</f>
        <v>0</v>
      </c>
      <c r="V640" s="4">
        <f>IF($M640=V$3,-$K640,0)</f>
        <v>0</v>
      </c>
      <c r="W640" s="4">
        <f>IF($M640=W$3,-$K640,0)</f>
        <v>0</v>
      </c>
      <c r="X640" s="4">
        <f>IF($M640=X$3,-$K640,0)</f>
        <v>0</v>
      </c>
      <c r="Y640" s="4">
        <f>IF($M640=Y$3,-$K640,0)</f>
        <v>0</v>
      </c>
      <c r="Z640" s="4">
        <f>IF($M640=Z$3,-$K640,0)</f>
        <v>0</v>
      </c>
      <c r="AA640" s="4">
        <f>IF($M640=AA$3,-$K640,0)</f>
        <v>0</v>
      </c>
      <c r="AB640" s="4">
        <f>IF($M640=AB$3,-$K640,0)</f>
        <v>0</v>
      </c>
      <c r="AC640" s="10">
        <f>IF($M640=AC$3,-$K640,0)</f>
        <v>0</v>
      </c>
      <c r="AD640" s="9"/>
      <c r="AE640" s="8"/>
      <c r="AF640" s="4"/>
      <c r="AG640" s="4">
        <f>-$K640</f>
        <v>3984832</v>
      </c>
      <c r="AH640" s="2">
        <f>K640+SUM(O640:AC640)</f>
        <v>0</v>
      </c>
      <c r="AI640" s="2">
        <f>K640+SUM(AF640:AG640)</f>
        <v>0</v>
      </c>
    </row>
    <row r="641" spans="1:35" x14ac:dyDescent="0.2">
      <c r="A641" s="23" t="s">
        <v>3</v>
      </c>
      <c r="B641" s="22" t="s">
        <v>231</v>
      </c>
      <c r="H641" s="11" t="s">
        <v>31</v>
      </c>
      <c r="I641" s="11" t="s">
        <v>247</v>
      </c>
      <c r="K641" s="13">
        <v>-5064512</v>
      </c>
      <c r="L641" s="12">
        <v>92025</v>
      </c>
      <c r="M641" s="11" t="str">
        <f>LEFT(I641,(LEN(LEFT(I641,FIND(";",I641)))-8))</f>
        <v>VNDN</v>
      </c>
      <c r="N641" s="11"/>
      <c r="O641" s="4">
        <f>IF($M641=O$3,-$K641,0)</f>
        <v>0</v>
      </c>
      <c r="P641" s="4">
        <f>IF($M641=P$3,-$K641,0)</f>
        <v>0</v>
      </c>
      <c r="Q641" s="4">
        <f>IF($M641=Q$3,-$K641,0)</f>
        <v>0</v>
      </c>
      <c r="R641" s="4">
        <f>IF($M641=R$3,-$K641,0)</f>
        <v>0</v>
      </c>
      <c r="S641" s="4">
        <f>IF($M641=S$3,-$K641,0)</f>
        <v>5064512</v>
      </c>
      <c r="T641" s="4">
        <f>IF($M641=T$3,-$K641,0)</f>
        <v>0</v>
      </c>
      <c r="U641" s="4">
        <f>IF($M641=U$3,-$K641,0)</f>
        <v>0</v>
      </c>
      <c r="V641" s="4">
        <f>IF($M641=V$3,-$K641,0)</f>
        <v>0</v>
      </c>
      <c r="W641" s="4">
        <f>IF($M641=W$3,-$K641,0)</f>
        <v>0</v>
      </c>
      <c r="X641" s="4">
        <f>IF($M641=X$3,-$K641,0)</f>
        <v>0</v>
      </c>
      <c r="Y641" s="4">
        <f>IF($M641=Y$3,-$K641,0)</f>
        <v>0</v>
      </c>
      <c r="Z641" s="4">
        <f>IF($M641=Z$3,-$K641,0)</f>
        <v>0</v>
      </c>
      <c r="AA641" s="4">
        <f>IF($M641=AA$3,-$K641,0)</f>
        <v>0</v>
      </c>
      <c r="AB641" s="4">
        <f>IF($M641=AB$3,-$K641,0)</f>
        <v>0</v>
      </c>
      <c r="AC641" s="10">
        <f>IF($M641=AC$3,-$K641,0)</f>
        <v>0</v>
      </c>
      <c r="AD641" s="9"/>
      <c r="AE641" s="8"/>
      <c r="AF641" s="4"/>
      <c r="AG641" s="4">
        <f>-$K641</f>
        <v>5064512</v>
      </c>
      <c r="AH641" s="2">
        <f>K641+SUM(O641:AC641)</f>
        <v>0</v>
      </c>
      <c r="AI641" s="2">
        <f>K641+SUM(AF641:AG641)</f>
        <v>0</v>
      </c>
    </row>
    <row r="642" spans="1:35" x14ac:dyDescent="0.2">
      <c r="A642" s="23" t="s">
        <v>3</v>
      </c>
      <c r="B642" s="22" t="s">
        <v>231</v>
      </c>
      <c r="H642" s="11" t="s">
        <v>29</v>
      </c>
      <c r="I642" s="11" t="s">
        <v>246</v>
      </c>
      <c r="K642" s="13">
        <v>-6516352</v>
      </c>
      <c r="L642" s="12">
        <v>92025</v>
      </c>
      <c r="M642" s="11" t="str">
        <f>LEFT(I642,(LEN(LEFT(I642,FIND(";",I642)))-8))</f>
        <v>VNDN</v>
      </c>
      <c r="N642" s="11"/>
      <c r="O642" s="4">
        <f>IF($M642=O$3,-$K642,0)</f>
        <v>0</v>
      </c>
      <c r="P642" s="4">
        <f>IF($M642=P$3,-$K642,0)</f>
        <v>0</v>
      </c>
      <c r="Q642" s="4">
        <f>IF($M642=Q$3,-$K642,0)</f>
        <v>0</v>
      </c>
      <c r="R642" s="4">
        <f>IF($M642=R$3,-$K642,0)</f>
        <v>0</v>
      </c>
      <c r="S642" s="4">
        <f>IF($M642=S$3,-$K642,0)</f>
        <v>6516352</v>
      </c>
      <c r="T642" s="4">
        <f>IF($M642=T$3,-$K642,0)</f>
        <v>0</v>
      </c>
      <c r="U642" s="4">
        <f>IF($M642=U$3,-$K642,0)</f>
        <v>0</v>
      </c>
      <c r="V642" s="4">
        <f>IF($M642=V$3,-$K642,0)</f>
        <v>0</v>
      </c>
      <c r="W642" s="4">
        <f>IF($M642=W$3,-$K642,0)</f>
        <v>0</v>
      </c>
      <c r="X642" s="4">
        <f>IF($M642=X$3,-$K642,0)</f>
        <v>0</v>
      </c>
      <c r="Y642" s="4">
        <f>IF($M642=Y$3,-$K642,0)</f>
        <v>0</v>
      </c>
      <c r="Z642" s="4">
        <f>IF($M642=Z$3,-$K642,0)</f>
        <v>0</v>
      </c>
      <c r="AA642" s="4">
        <f>IF($M642=AA$3,-$K642,0)</f>
        <v>0</v>
      </c>
      <c r="AB642" s="4">
        <f>IF($M642=AB$3,-$K642,0)</f>
        <v>0</v>
      </c>
      <c r="AC642" s="10">
        <f>IF($M642=AC$3,-$K642,0)</f>
        <v>0</v>
      </c>
      <c r="AD642" s="9"/>
      <c r="AE642" s="8"/>
      <c r="AF642" s="4"/>
      <c r="AG642" s="4">
        <f>-$K642</f>
        <v>6516352</v>
      </c>
      <c r="AH642" s="2">
        <f>K642+SUM(O642:AC642)</f>
        <v>0</v>
      </c>
      <c r="AI642" s="2">
        <f>K642+SUM(AF642:AG642)</f>
        <v>0</v>
      </c>
    </row>
    <row r="643" spans="1:35" x14ac:dyDescent="0.2">
      <c r="A643" s="23" t="s">
        <v>3</v>
      </c>
      <c r="B643" s="22" t="s">
        <v>231</v>
      </c>
      <c r="H643" s="11" t="s">
        <v>27</v>
      </c>
      <c r="I643" s="11" t="s">
        <v>245</v>
      </c>
      <c r="K643" s="13">
        <v>-4564352</v>
      </c>
      <c r="L643" s="12">
        <v>92025</v>
      </c>
      <c r="M643" s="11" t="str">
        <f>LEFT(I643,(LEN(LEFT(I643,FIND(";",I643)))-8))</f>
        <v>VNDN</v>
      </c>
      <c r="N643" s="11"/>
      <c r="O643" s="4">
        <f>IF($M643=O$3,-$K643,0)</f>
        <v>0</v>
      </c>
      <c r="P643" s="4">
        <f>IF($M643=P$3,-$K643,0)</f>
        <v>0</v>
      </c>
      <c r="Q643" s="4">
        <f>IF($M643=Q$3,-$K643,0)</f>
        <v>0</v>
      </c>
      <c r="R643" s="4">
        <f>IF($M643=R$3,-$K643,0)</f>
        <v>0</v>
      </c>
      <c r="S643" s="4">
        <f>IF($M643=S$3,-$K643,0)</f>
        <v>4564352</v>
      </c>
      <c r="T643" s="4">
        <f>IF($M643=T$3,-$K643,0)</f>
        <v>0</v>
      </c>
      <c r="U643" s="4">
        <f>IF($M643=U$3,-$K643,0)</f>
        <v>0</v>
      </c>
      <c r="V643" s="4">
        <f>IF($M643=V$3,-$K643,0)</f>
        <v>0</v>
      </c>
      <c r="W643" s="4">
        <f>IF($M643=W$3,-$K643,0)</f>
        <v>0</v>
      </c>
      <c r="X643" s="4">
        <f>IF($M643=X$3,-$K643,0)</f>
        <v>0</v>
      </c>
      <c r="Y643" s="4">
        <f>IF($M643=Y$3,-$K643,0)</f>
        <v>0</v>
      </c>
      <c r="Z643" s="4">
        <f>IF($M643=Z$3,-$K643,0)</f>
        <v>0</v>
      </c>
      <c r="AA643" s="4">
        <f>IF($M643=AA$3,-$K643,0)</f>
        <v>0</v>
      </c>
      <c r="AB643" s="4">
        <f>IF($M643=AB$3,-$K643,0)</f>
        <v>0</v>
      </c>
      <c r="AC643" s="10">
        <f>IF($M643=AC$3,-$K643,0)</f>
        <v>0</v>
      </c>
      <c r="AD643" s="9"/>
      <c r="AE643" s="8"/>
      <c r="AF643" s="4"/>
      <c r="AG643" s="4">
        <f>-$K643</f>
        <v>4564352</v>
      </c>
      <c r="AH643" s="2">
        <f>K643+SUM(O643:AC643)</f>
        <v>0</v>
      </c>
      <c r="AI643" s="2">
        <f>K643+SUM(AF643:AG643)</f>
        <v>0</v>
      </c>
    </row>
    <row r="644" spans="1:35" x14ac:dyDescent="0.2">
      <c r="A644" s="23" t="s">
        <v>3</v>
      </c>
      <c r="B644" s="22" t="s">
        <v>231</v>
      </c>
      <c r="H644" s="11" t="s">
        <v>25</v>
      </c>
      <c r="I644" s="11" t="s">
        <v>244</v>
      </c>
      <c r="K644" s="13">
        <v>0</v>
      </c>
      <c r="L644" s="12">
        <v>92025</v>
      </c>
      <c r="M644" s="11" t="str">
        <f>LEFT(I644,(LEN(LEFT(I644,FIND(";",I644)))-8))</f>
        <v>VNQN</v>
      </c>
      <c r="N644" s="11"/>
      <c r="O644" s="4">
        <f>IF($M644=O$3,-$K644,0)</f>
        <v>0</v>
      </c>
      <c r="P644" s="4">
        <f>IF($M644=P$3,-$K644,0)</f>
        <v>0</v>
      </c>
      <c r="Q644" s="4">
        <f>IF($M644=Q$3,-$K644,0)</f>
        <v>0</v>
      </c>
      <c r="R644" s="4">
        <f>IF($M644=R$3,-$K644,0)</f>
        <v>0</v>
      </c>
      <c r="S644" s="4">
        <f>IF($M644=S$3,-$K644,0)</f>
        <v>0</v>
      </c>
      <c r="T644" s="4">
        <f>IF($M644=T$3,-$K644,0)</f>
        <v>0</v>
      </c>
      <c r="U644" s="4">
        <f>IF($M644=U$3,-$K644,0)</f>
        <v>0</v>
      </c>
      <c r="V644" s="4">
        <f>IF($M644=V$3,-$K644,0)</f>
        <v>0</v>
      </c>
      <c r="W644" s="4">
        <f>IF($M644=W$3,-$K644,0)</f>
        <v>0</v>
      </c>
      <c r="X644" s="4">
        <f>IF($M644=X$3,-$K644,0)</f>
        <v>0</v>
      </c>
      <c r="Y644" s="4">
        <f>IF($M644=Y$3,-$K644,0)</f>
        <v>0</v>
      </c>
      <c r="Z644" s="4">
        <f>IF($M644=Z$3,-$K644,0)</f>
        <v>0</v>
      </c>
      <c r="AA644" s="4">
        <f>IF($M644=AA$3,-$K644,0)</f>
        <v>0</v>
      </c>
      <c r="AB644" s="4">
        <f>IF($M644=AB$3,-$K644,0)</f>
        <v>0</v>
      </c>
      <c r="AC644" s="10">
        <f>IF($M644=AC$3,-$K644,0)</f>
        <v>0</v>
      </c>
      <c r="AD644" s="9"/>
      <c r="AE644" s="8"/>
      <c r="AF644" s="4"/>
      <c r="AG644" s="4">
        <f>-$K644</f>
        <v>0</v>
      </c>
      <c r="AH644" s="2">
        <f>K644+SUM(O644:AC644)</f>
        <v>0</v>
      </c>
      <c r="AI644" s="2">
        <f>K644+SUM(AF644:AG644)</f>
        <v>0</v>
      </c>
    </row>
    <row r="645" spans="1:35" x14ac:dyDescent="0.2">
      <c r="A645" s="23" t="s">
        <v>3</v>
      </c>
      <c r="B645" s="22" t="s">
        <v>231</v>
      </c>
      <c r="H645" s="11" t="s">
        <v>81</v>
      </c>
      <c r="I645" s="11" t="s">
        <v>243</v>
      </c>
      <c r="K645" s="13">
        <v>-4069952</v>
      </c>
      <c r="L645" s="12">
        <v>92025</v>
      </c>
      <c r="M645" s="11" t="str">
        <f>LEFT(I645,(LEN(LEFT(I645,FIND(";",I645)))-8))</f>
        <v>VNQN</v>
      </c>
      <c r="N645" s="11"/>
      <c r="O645" s="4">
        <f>IF($M645=O$3,-$K645,0)</f>
        <v>0</v>
      </c>
      <c r="P645" s="4">
        <f>IF($M645=P$3,-$K645,0)</f>
        <v>0</v>
      </c>
      <c r="Q645" s="4">
        <f>IF($M645=Q$3,-$K645,0)</f>
        <v>0</v>
      </c>
      <c r="R645" s="4">
        <f>IF($M645=R$3,-$K645,0)</f>
        <v>0</v>
      </c>
      <c r="S645" s="4">
        <f>IF($M645=S$3,-$K645,0)</f>
        <v>0</v>
      </c>
      <c r="T645" s="4">
        <f>IF($M645=T$3,-$K645,0)</f>
        <v>4069952</v>
      </c>
      <c r="U645" s="4">
        <f>IF($M645=U$3,-$K645,0)</f>
        <v>0</v>
      </c>
      <c r="V645" s="4">
        <f>IF($M645=V$3,-$K645,0)</f>
        <v>0</v>
      </c>
      <c r="W645" s="4">
        <f>IF($M645=W$3,-$K645,0)</f>
        <v>0</v>
      </c>
      <c r="X645" s="4">
        <f>IF($M645=X$3,-$K645,0)</f>
        <v>0</v>
      </c>
      <c r="Y645" s="4">
        <f>IF($M645=Y$3,-$K645,0)</f>
        <v>0</v>
      </c>
      <c r="Z645" s="4">
        <f>IF($M645=Z$3,-$K645,0)</f>
        <v>0</v>
      </c>
      <c r="AA645" s="4">
        <f>IF($M645=AA$3,-$K645,0)</f>
        <v>0</v>
      </c>
      <c r="AB645" s="4">
        <f>IF($M645=AB$3,-$K645,0)</f>
        <v>0</v>
      </c>
      <c r="AC645" s="10">
        <f>IF($M645=AC$3,-$K645,0)</f>
        <v>0</v>
      </c>
      <c r="AD645" s="9"/>
      <c r="AE645" s="8"/>
      <c r="AF645" s="4"/>
      <c r="AG645" s="4">
        <f>-$K645</f>
        <v>4069952</v>
      </c>
      <c r="AH645" s="2">
        <f>K645+SUM(O645:AC645)</f>
        <v>0</v>
      </c>
      <c r="AI645" s="2">
        <f>K645+SUM(AF645:AG645)</f>
        <v>0</v>
      </c>
    </row>
    <row r="646" spans="1:35" x14ac:dyDescent="0.2">
      <c r="A646" s="23" t="s">
        <v>3</v>
      </c>
      <c r="B646" s="22" t="s">
        <v>231</v>
      </c>
      <c r="H646" s="11" t="s">
        <v>23</v>
      </c>
      <c r="I646" s="11" t="s">
        <v>242</v>
      </c>
      <c r="K646" s="13">
        <v>-4069952</v>
      </c>
      <c r="L646" s="12">
        <v>92025</v>
      </c>
      <c r="M646" s="11" t="str">
        <f>LEFT(I646,(LEN(LEFT(I646,FIND(";",I646)))-8))</f>
        <v>VNHD</v>
      </c>
      <c r="N646" s="11"/>
      <c r="O646" s="4">
        <f>IF($M646=O$3,-$K646,0)</f>
        <v>0</v>
      </c>
      <c r="P646" s="4">
        <f>IF($M646=P$3,-$K646,0)</f>
        <v>0</v>
      </c>
      <c r="Q646" s="4">
        <f>IF($M646=Q$3,-$K646,0)</f>
        <v>0</v>
      </c>
      <c r="R646" s="4">
        <f>IF($M646=R$3,-$K646,0)</f>
        <v>0</v>
      </c>
      <c r="S646" s="4">
        <f>IF($M646=S$3,-$K646,0)</f>
        <v>0</v>
      </c>
      <c r="T646" s="4">
        <f>IF($M646=T$3,-$K646,0)</f>
        <v>0</v>
      </c>
      <c r="U646" s="4">
        <f>IF($M646=U$3,-$K646,0)</f>
        <v>4069952</v>
      </c>
      <c r="V646" s="4">
        <f>IF($M646=V$3,-$K646,0)</f>
        <v>0</v>
      </c>
      <c r="W646" s="4">
        <f>IF($M646=W$3,-$K646,0)</f>
        <v>0</v>
      </c>
      <c r="X646" s="4">
        <f>IF($M646=X$3,-$K646,0)</f>
        <v>0</v>
      </c>
      <c r="Y646" s="4">
        <f>IF($M646=Y$3,-$K646,0)</f>
        <v>0</v>
      </c>
      <c r="Z646" s="4">
        <f>IF($M646=Z$3,-$K646,0)</f>
        <v>0</v>
      </c>
      <c r="AA646" s="4">
        <f>IF($M646=AA$3,-$K646,0)</f>
        <v>0</v>
      </c>
      <c r="AB646" s="4">
        <f>IF($M646=AB$3,-$K646,0)</f>
        <v>0</v>
      </c>
      <c r="AC646" s="10">
        <f>IF($M646=AC$3,-$K646,0)</f>
        <v>0</v>
      </c>
      <c r="AD646" s="9"/>
      <c r="AE646" s="8"/>
      <c r="AF646" s="4"/>
      <c r="AG646" s="4">
        <f>-$K646</f>
        <v>4069952</v>
      </c>
      <c r="AH646" s="2">
        <f>K646+SUM(O646:AC646)</f>
        <v>0</v>
      </c>
      <c r="AI646" s="2">
        <f>K646+SUM(AF646:AG646)</f>
        <v>0</v>
      </c>
    </row>
    <row r="647" spans="1:35" x14ac:dyDescent="0.2">
      <c r="A647" s="23" t="s">
        <v>3</v>
      </c>
      <c r="B647" s="22" t="s">
        <v>231</v>
      </c>
      <c r="H647" s="11" t="s">
        <v>21</v>
      </c>
      <c r="I647" s="11" t="s">
        <v>241</v>
      </c>
      <c r="K647" s="13">
        <v>-4564352</v>
      </c>
      <c r="L647" s="12">
        <v>92025</v>
      </c>
      <c r="M647" s="11" t="str">
        <f>LEFT(I647,(LEN(LEFT(I647,FIND(";",I647)))-8))</f>
        <v>VNHCM</v>
      </c>
      <c r="N647" s="11"/>
      <c r="O647" s="4">
        <f>IF($M647=O$3,-$K647,0)</f>
        <v>0</v>
      </c>
      <c r="P647" s="4">
        <f>IF($M647=P$3,-$K647,0)</f>
        <v>0</v>
      </c>
      <c r="Q647" s="4">
        <f>IF($M647=Q$3,-$K647,0)</f>
        <v>0</v>
      </c>
      <c r="R647" s="4">
        <f>IF($M647=R$3,-$K647,0)</f>
        <v>0</v>
      </c>
      <c r="S647" s="4">
        <f>IF($M647=S$3,-$K647,0)</f>
        <v>0</v>
      </c>
      <c r="T647" s="4">
        <f>IF($M647=T$3,-$K647,0)</f>
        <v>0</v>
      </c>
      <c r="U647" s="4">
        <f>IF($M647=U$3,-$K647,0)</f>
        <v>0</v>
      </c>
      <c r="V647" s="4">
        <f>IF($M647=V$3,-$K647,0)</f>
        <v>0</v>
      </c>
      <c r="W647" s="4">
        <f>IF($M647=W$3,-$K647,0)</f>
        <v>0</v>
      </c>
      <c r="X647" s="4">
        <f>IF($M647=X$3,-$K647,0)</f>
        <v>0</v>
      </c>
      <c r="Y647" s="4">
        <f>IF($M647=Y$3,-$K647,0)</f>
        <v>4564352</v>
      </c>
      <c r="Z647" s="4">
        <f>IF($M647=Z$3,-$K647,0)</f>
        <v>0</v>
      </c>
      <c r="AA647" s="4">
        <f>IF($M647=AA$3,-$K647,0)</f>
        <v>0</v>
      </c>
      <c r="AB647" s="4">
        <f>IF($M647=AB$3,-$K647,0)</f>
        <v>0</v>
      </c>
      <c r="AC647" s="10">
        <f>IF($M647=AC$3,-$K647,0)</f>
        <v>0</v>
      </c>
      <c r="AD647" s="9"/>
      <c r="AE647" s="8"/>
      <c r="AF647" s="4"/>
      <c r="AG647" s="4">
        <f>-$K647</f>
        <v>4564352</v>
      </c>
      <c r="AH647" s="2">
        <f>K647+SUM(O647:AC647)</f>
        <v>0</v>
      </c>
      <c r="AI647" s="2">
        <f>K647+SUM(AF647:AG647)</f>
        <v>0</v>
      </c>
    </row>
    <row r="648" spans="1:35" x14ac:dyDescent="0.2">
      <c r="A648" s="23" t="s">
        <v>3</v>
      </c>
      <c r="B648" s="22" t="s">
        <v>231</v>
      </c>
      <c r="H648" s="11" t="s">
        <v>156</v>
      </c>
      <c r="I648" s="11" t="s">
        <v>240</v>
      </c>
      <c r="K648" s="13">
        <v>0</v>
      </c>
      <c r="L648" s="12">
        <v>92025</v>
      </c>
      <c r="M648" s="11" t="str">
        <f>LEFT(I648,(LEN(LEFT(I648,FIND(";",I648)))-8))</f>
        <v>VNBG</v>
      </c>
      <c r="N648" s="11"/>
      <c r="O648" s="4">
        <f>IF($M648=O$3,-$K648,0)</f>
        <v>0</v>
      </c>
      <c r="P648" s="4">
        <f>IF($M648=P$3,-$K648,0)</f>
        <v>0</v>
      </c>
      <c r="Q648" s="4">
        <f>IF($M648=Q$3,-$K648,0)</f>
        <v>0</v>
      </c>
      <c r="R648" s="4">
        <f>IF($M648=R$3,-$K648,0)</f>
        <v>0</v>
      </c>
      <c r="S648" s="4">
        <f>IF($M648=S$3,-$K648,0)</f>
        <v>0</v>
      </c>
      <c r="T648" s="4">
        <f>IF($M648=T$3,-$K648,0)</f>
        <v>0</v>
      </c>
      <c r="U648" s="4">
        <f>IF($M648=U$3,-$K648,0)</f>
        <v>0</v>
      </c>
      <c r="V648" s="4">
        <f>IF($M648=V$3,-$K648,0)</f>
        <v>0</v>
      </c>
      <c r="W648" s="4">
        <f>IF($M648=W$3,-$K648,0)</f>
        <v>0</v>
      </c>
      <c r="X648" s="4">
        <f>IF($M648=X$3,-$K648,0)</f>
        <v>0</v>
      </c>
      <c r="Y648" s="4">
        <f>IF($M648=Y$3,-$K648,0)</f>
        <v>0</v>
      </c>
      <c r="Z648" s="4">
        <f>IF($M648=Z$3,-$K648,0)</f>
        <v>0</v>
      </c>
      <c r="AA648" s="4">
        <f>IF($M648=AA$3,-$K648,0)</f>
        <v>0</v>
      </c>
      <c r="AB648" s="4">
        <f>IF($M648=AB$3,-$K648,0)</f>
        <v>0</v>
      </c>
      <c r="AC648" s="10">
        <f>IF($M648=AC$3,-$K648,0)</f>
        <v>0</v>
      </c>
      <c r="AD648" s="9"/>
      <c r="AE648" s="8"/>
      <c r="AF648" s="4"/>
      <c r="AG648" s="4"/>
      <c r="AH648" s="2">
        <f>K648+SUM(O648:AC648)</f>
        <v>0</v>
      </c>
      <c r="AI648" s="2">
        <f>K648+SUM(AF648:AG648)</f>
        <v>0</v>
      </c>
    </row>
    <row r="649" spans="1:35" x14ac:dyDescent="0.2">
      <c r="A649" s="23" t="s">
        <v>3</v>
      </c>
      <c r="B649" s="22" t="s">
        <v>231</v>
      </c>
      <c r="H649" s="11" t="s">
        <v>19</v>
      </c>
      <c r="I649" s="11" t="s">
        <v>239</v>
      </c>
      <c r="K649" s="13">
        <v>-4564352</v>
      </c>
      <c r="L649" s="12">
        <v>92025</v>
      </c>
      <c r="M649" s="11" t="str">
        <f>LEFT(I649,(LEN(LEFT(I649,FIND(";",I649)))-8))</f>
        <v>VNHCM</v>
      </c>
      <c r="N649" s="11"/>
      <c r="O649" s="4">
        <f>IF($M649=O$3,-$K649,0)</f>
        <v>0</v>
      </c>
      <c r="P649" s="4">
        <f>IF($M649=P$3,-$K649,0)</f>
        <v>0</v>
      </c>
      <c r="Q649" s="4">
        <f>IF($M649=Q$3,-$K649,0)</f>
        <v>0</v>
      </c>
      <c r="R649" s="4">
        <f>IF($M649=R$3,-$K649,0)</f>
        <v>0</v>
      </c>
      <c r="S649" s="4">
        <f>IF($M649=S$3,-$K649,0)</f>
        <v>0</v>
      </c>
      <c r="T649" s="4">
        <f>IF($M649=T$3,-$K649,0)</f>
        <v>0</v>
      </c>
      <c r="U649" s="4">
        <f>IF($M649=U$3,-$K649,0)</f>
        <v>0</v>
      </c>
      <c r="V649" s="4">
        <f>IF($M649=V$3,-$K649,0)</f>
        <v>0</v>
      </c>
      <c r="W649" s="4">
        <f>IF($M649=W$3,-$K649,0)</f>
        <v>0</v>
      </c>
      <c r="X649" s="4">
        <f>IF($M649=X$3,-$K649,0)</f>
        <v>0</v>
      </c>
      <c r="Y649" s="4">
        <f>IF($M649=Y$3,-$K649,0)</f>
        <v>4564352</v>
      </c>
      <c r="Z649" s="4">
        <f>IF($M649=Z$3,-$K649,0)</f>
        <v>0</v>
      </c>
      <c r="AA649" s="4">
        <f>IF($M649=AA$3,-$K649,0)</f>
        <v>0</v>
      </c>
      <c r="AB649" s="4">
        <f>IF($M649=AB$3,-$K649,0)</f>
        <v>0</v>
      </c>
      <c r="AC649" s="10">
        <f>IF($M649=AC$3,-$K649,0)</f>
        <v>0</v>
      </c>
      <c r="AD649" s="9"/>
      <c r="AE649" s="8"/>
      <c r="AF649" s="4"/>
      <c r="AG649" s="4">
        <f>-$K649</f>
        <v>4564352</v>
      </c>
      <c r="AH649" s="2">
        <f>K649+SUM(O649:AC649)</f>
        <v>0</v>
      </c>
      <c r="AI649" s="2">
        <f>K649+SUM(AF649:AG649)</f>
        <v>0</v>
      </c>
    </row>
    <row r="650" spans="1:35" x14ac:dyDescent="0.2">
      <c r="A650" s="23" t="s">
        <v>3</v>
      </c>
      <c r="B650" s="22" t="s">
        <v>231</v>
      </c>
      <c r="H650" s="11" t="s">
        <v>153</v>
      </c>
      <c r="I650" s="11" t="s">
        <v>238</v>
      </c>
      <c r="K650" s="13">
        <v>0</v>
      </c>
      <c r="L650" s="12">
        <v>92025</v>
      </c>
      <c r="M650" s="11" t="str">
        <f>LEFT(I650,(LEN(LEFT(I650,FIND(";",I650)))-8))</f>
        <v>VNBN</v>
      </c>
      <c r="N650" s="11"/>
      <c r="O650" s="4">
        <f>IF($M650=O$3,-$K650,0)</f>
        <v>0</v>
      </c>
      <c r="P650" s="4">
        <f>IF($M650=P$3,-$K650,0)</f>
        <v>0</v>
      </c>
      <c r="Q650" s="4">
        <f>IF($M650=Q$3,-$K650,0)</f>
        <v>0</v>
      </c>
      <c r="R650" s="4">
        <f>IF($M650=R$3,-$K650,0)</f>
        <v>0</v>
      </c>
      <c r="S650" s="4">
        <f>IF($M650=S$3,-$K650,0)</f>
        <v>0</v>
      </c>
      <c r="T650" s="4">
        <f>IF($M650=T$3,-$K650,0)</f>
        <v>0</v>
      </c>
      <c r="U650" s="4">
        <f>IF($M650=U$3,-$K650,0)</f>
        <v>0</v>
      </c>
      <c r="V650" s="4">
        <f>IF($M650=V$3,-$K650,0)</f>
        <v>0</v>
      </c>
      <c r="W650" s="4">
        <f>IF($M650=W$3,-$K650,0)</f>
        <v>0</v>
      </c>
      <c r="X650" s="4">
        <f>IF($M650=X$3,-$K650,0)</f>
        <v>0</v>
      </c>
      <c r="Y650" s="4">
        <f>IF($M650=Y$3,-$K650,0)</f>
        <v>0</v>
      </c>
      <c r="Z650" s="4">
        <f>IF($M650=Z$3,-$K650,0)</f>
        <v>0</v>
      </c>
      <c r="AA650" s="4">
        <f>IF($M650=AA$3,-$K650,0)</f>
        <v>0</v>
      </c>
      <c r="AB650" s="4">
        <f>IF($M650=AB$3,-$K650,0)</f>
        <v>0</v>
      </c>
      <c r="AC650" s="10">
        <f>IF($M650=AC$3,-$K650,0)</f>
        <v>0</v>
      </c>
      <c r="AD650" s="9"/>
      <c r="AE650" s="8"/>
      <c r="AF650" s="4"/>
      <c r="AG650" s="4"/>
      <c r="AH650" s="2">
        <f>K650+SUM(O650:AC650)</f>
        <v>0</v>
      </c>
      <c r="AI650" s="2">
        <f>K650+SUM(AF650:AG650)</f>
        <v>0</v>
      </c>
    </row>
    <row r="651" spans="1:35" x14ac:dyDescent="0.2">
      <c r="A651" s="23" t="s">
        <v>3</v>
      </c>
      <c r="B651" s="22" t="s">
        <v>231</v>
      </c>
      <c r="H651" s="11" t="s">
        <v>151</v>
      </c>
      <c r="I651" s="11" t="s">
        <v>237</v>
      </c>
      <c r="K651" s="13">
        <v>0</v>
      </c>
      <c r="L651" s="12">
        <v>92025</v>
      </c>
      <c r="M651" s="11" t="str">
        <f>LEFT(I651,(LEN(LEFT(I651,FIND(";",I651)))-8))</f>
        <v>VNQN</v>
      </c>
      <c r="N651" s="11"/>
      <c r="O651" s="4">
        <f>IF($M651=O$3,-$K651,0)</f>
        <v>0</v>
      </c>
      <c r="P651" s="4">
        <f>IF($M651=P$3,-$K651,0)</f>
        <v>0</v>
      </c>
      <c r="Q651" s="4">
        <f>IF($M651=Q$3,-$K651,0)</f>
        <v>0</v>
      </c>
      <c r="R651" s="4">
        <f>IF($M651=R$3,-$K651,0)</f>
        <v>0</v>
      </c>
      <c r="S651" s="4">
        <f>IF($M651=S$3,-$K651,0)</f>
        <v>0</v>
      </c>
      <c r="T651" s="4">
        <f>IF($M651=T$3,-$K651,0)</f>
        <v>0</v>
      </c>
      <c r="U651" s="4">
        <f>IF($M651=U$3,-$K651,0)</f>
        <v>0</v>
      </c>
      <c r="V651" s="4">
        <f>IF($M651=V$3,-$K651,0)</f>
        <v>0</v>
      </c>
      <c r="W651" s="4">
        <f>IF($M651=W$3,-$K651,0)</f>
        <v>0</v>
      </c>
      <c r="X651" s="4">
        <f>IF($M651=X$3,-$K651,0)</f>
        <v>0</v>
      </c>
      <c r="Y651" s="4">
        <f>IF($M651=Y$3,-$K651,0)</f>
        <v>0</v>
      </c>
      <c r="Z651" s="4">
        <f>IF($M651=Z$3,-$K651,0)</f>
        <v>0</v>
      </c>
      <c r="AA651" s="4">
        <f>IF($M651=AA$3,-$K651,0)</f>
        <v>0</v>
      </c>
      <c r="AB651" s="4">
        <f>IF($M651=AB$3,-$K651,0)</f>
        <v>0</v>
      </c>
      <c r="AC651" s="10">
        <f>IF($M651=AC$3,-$K651,0)</f>
        <v>0</v>
      </c>
      <c r="AD651" s="9"/>
      <c r="AE651" s="8"/>
      <c r="AF651" s="4"/>
      <c r="AG651" s="4">
        <f>-$K651</f>
        <v>0</v>
      </c>
      <c r="AH651" s="2">
        <f>K651+SUM(O651:AC651)</f>
        <v>0</v>
      </c>
      <c r="AI651" s="2">
        <f>K651+SUM(AF651:AG651)</f>
        <v>0</v>
      </c>
    </row>
    <row r="652" spans="1:35" x14ac:dyDescent="0.2">
      <c r="A652" s="23" t="s">
        <v>3</v>
      </c>
      <c r="B652" s="22" t="s">
        <v>231</v>
      </c>
      <c r="H652" s="11" t="s">
        <v>76</v>
      </c>
      <c r="I652" s="11" t="s">
        <v>236</v>
      </c>
      <c r="K652" s="13">
        <v>0</v>
      </c>
      <c r="L652" s="12">
        <v>92025</v>
      </c>
      <c r="M652" s="11" t="str">
        <f>LEFT(I652,(LEN(LEFT(I652,FIND(";",I652)))-8))</f>
        <v>VNMOET</v>
      </c>
      <c r="N652" s="11"/>
      <c r="O652" s="4">
        <f>IF($M652=O$3,-$K652,0)</f>
        <v>0</v>
      </c>
      <c r="P652" s="4">
        <f>IF($M652=P$3,-$K652,0)</f>
        <v>0</v>
      </c>
      <c r="Q652" s="4">
        <f>IF($M652=Q$3,-$K652,0)</f>
        <v>0</v>
      </c>
      <c r="R652" s="4">
        <f>IF($M652=R$3,-$K652,0)</f>
        <v>0</v>
      </c>
      <c r="S652" s="4">
        <f>IF($M652=S$3,-$K652,0)</f>
        <v>0</v>
      </c>
      <c r="T652" s="4">
        <f>IF($M652=T$3,-$K652,0)</f>
        <v>0</v>
      </c>
      <c r="U652" s="4">
        <f>IF($M652=U$3,-$K652,0)</f>
        <v>0</v>
      </c>
      <c r="V652" s="4">
        <f>IF($M652=V$3,-$K652,0)</f>
        <v>0</v>
      </c>
      <c r="W652" s="4">
        <f>IF($M652=W$3,-$K652,0)</f>
        <v>0</v>
      </c>
      <c r="X652" s="4">
        <f>IF($M652=X$3,-$K652,0)</f>
        <v>0</v>
      </c>
      <c r="Y652" s="4">
        <f>IF($M652=Y$3,-$K652,0)</f>
        <v>0</v>
      </c>
      <c r="Z652" s="4">
        <f>IF($M652=Z$3,-$K652,0)</f>
        <v>0</v>
      </c>
      <c r="AA652" s="4">
        <f>IF($M652=AA$3,-$K652,0)</f>
        <v>0</v>
      </c>
      <c r="AB652" s="4">
        <f>IF($M652=AB$3,-$K652,0)</f>
        <v>0</v>
      </c>
      <c r="AC652" s="10">
        <f>IF($M652=AC$3,-$K652,0)</f>
        <v>0</v>
      </c>
      <c r="AD652" s="9"/>
      <c r="AE652" s="8"/>
      <c r="AF652" s="4">
        <f>-$K652</f>
        <v>0</v>
      </c>
      <c r="AG652" s="4"/>
      <c r="AH652" s="2">
        <f>K652+SUM(O652:AC652)</f>
        <v>0</v>
      </c>
      <c r="AI652" s="2">
        <f>K652+SUM(AF652:AG652)</f>
        <v>0</v>
      </c>
    </row>
    <row r="653" spans="1:35" x14ac:dyDescent="0.2">
      <c r="A653" s="23" t="s">
        <v>3</v>
      </c>
      <c r="B653" s="22" t="s">
        <v>231</v>
      </c>
      <c r="H653" s="11" t="s">
        <v>17</v>
      </c>
      <c r="I653" s="11" t="s">
        <v>235</v>
      </c>
      <c r="K653" s="13">
        <v>-3604352</v>
      </c>
      <c r="L653" s="12">
        <v>92025</v>
      </c>
      <c r="M653" s="11" t="str">
        <f>LEFT(I653,(LEN(LEFT(I653,FIND(";",I653)))-8))</f>
        <v>VNQN</v>
      </c>
      <c r="N653" s="11"/>
      <c r="O653" s="4">
        <f>IF($M653=O$3,-$K653,0)</f>
        <v>0</v>
      </c>
      <c r="P653" s="4">
        <f>IF($M653=P$3,-$K653,0)</f>
        <v>0</v>
      </c>
      <c r="Q653" s="4">
        <f>IF($M653=Q$3,-$K653,0)</f>
        <v>0</v>
      </c>
      <c r="R653" s="4">
        <f>IF($M653=R$3,-$K653,0)</f>
        <v>0</v>
      </c>
      <c r="S653" s="4">
        <f>IF($M653=S$3,-$K653,0)</f>
        <v>0</v>
      </c>
      <c r="T653" s="4">
        <f>IF($M653=T$3,-$K653,0)</f>
        <v>3604352</v>
      </c>
      <c r="U653" s="4">
        <f>IF($M653=U$3,-$K653,0)</f>
        <v>0</v>
      </c>
      <c r="V653" s="4">
        <f>IF($M653=V$3,-$K653,0)</f>
        <v>0</v>
      </c>
      <c r="W653" s="4">
        <f>IF($M653=W$3,-$K653,0)</f>
        <v>0</v>
      </c>
      <c r="X653" s="4">
        <f>IF($M653=X$3,-$K653,0)</f>
        <v>0</v>
      </c>
      <c r="Y653" s="4">
        <f>IF($M653=Y$3,-$K653,0)</f>
        <v>0</v>
      </c>
      <c r="Z653" s="4">
        <f>IF($M653=Z$3,-$K653,0)</f>
        <v>0</v>
      </c>
      <c r="AA653" s="4">
        <f>IF($M653=AA$3,-$K653,0)</f>
        <v>0</v>
      </c>
      <c r="AB653" s="4">
        <f>IF($M653=AB$3,-$K653,0)</f>
        <v>0</v>
      </c>
      <c r="AC653" s="10">
        <f>IF($M653=AC$3,-$K653,0)</f>
        <v>0</v>
      </c>
      <c r="AD653" s="9"/>
      <c r="AE653" s="8"/>
      <c r="AF653" s="4"/>
      <c r="AG653" s="4">
        <f>-$K653</f>
        <v>3604352</v>
      </c>
      <c r="AH653" s="2">
        <f>K653+SUM(O653:AC653)</f>
        <v>0</v>
      </c>
      <c r="AI653" s="2">
        <f>K653+SUM(AF653:AG653)</f>
        <v>0</v>
      </c>
    </row>
    <row r="654" spans="1:35" x14ac:dyDescent="0.2">
      <c r="A654" s="23" t="s">
        <v>3</v>
      </c>
      <c r="B654" s="22" t="s">
        <v>231</v>
      </c>
      <c r="H654" s="11" t="s">
        <v>73</v>
      </c>
      <c r="I654" s="11" t="s">
        <v>234</v>
      </c>
      <c r="K654" s="13">
        <v>0</v>
      </c>
      <c r="L654" s="12">
        <v>92025</v>
      </c>
      <c r="M654" s="11" t="str">
        <f>LEFT(I654,(LEN(LEFT(I654,FIND(";",I654)))-8))</f>
        <v>VNLA</v>
      </c>
      <c r="N654" s="11"/>
      <c r="O654" s="4">
        <f>IF($M654=O$3,-$K654,0)</f>
        <v>0</v>
      </c>
      <c r="P654" s="4">
        <f>IF($M654=P$3,-$K654,0)</f>
        <v>0</v>
      </c>
      <c r="Q654" s="4">
        <f>IF($M654=Q$3,-$K654,0)</f>
        <v>0</v>
      </c>
      <c r="R654" s="4">
        <f>IF($M654=R$3,-$K654,0)</f>
        <v>0</v>
      </c>
      <c r="S654" s="4">
        <f>IF($M654=S$3,-$K654,0)</f>
        <v>0</v>
      </c>
      <c r="T654" s="4">
        <f>IF($M654=T$3,-$K654,0)</f>
        <v>0</v>
      </c>
      <c r="U654" s="4">
        <f>IF($M654=U$3,-$K654,0)</f>
        <v>0</v>
      </c>
      <c r="V654" s="4">
        <f>IF($M654=V$3,-$K654,0)</f>
        <v>0</v>
      </c>
      <c r="W654" s="4">
        <f>IF($M654=W$3,-$K654,0)</f>
        <v>0</v>
      </c>
      <c r="X654" s="4">
        <f>IF($M654=X$3,-$K654,0)</f>
        <v>0</v>
      </c>
      <c r="Y654" s="4">
        <f>IF($M654=Y$3,-$K654,0)</f>
        <v>0</v>
      </c>
      <c r="Z654" s="4">
        <f>IF($M654=Z$3,-$K654,0)</f>
        <v>0</v>
      </c>
      <c r="AA654" s="4">
        <f>IF($M654=AA$3,-$K654,0)</f>
        <v>0</v>
      </c>
      <c r="AB654" s="4">
        <f>IF($M654=AB$3,-$K654,0)</f>
        <v>0</v>
      </c>
      <c r="AC654" s="10">
        <f>IF($M654=AC$3,-$K654,0)</f>
        <v>0</v>
      </c>
      <c r="AD654" s="9"/>
      <c r="AE654" s="8"/>
      <c r="AF654" s="4"/>
      <c r="AG654" s="4"/>
      <c r="AH654" s="2">
        <f>K654+SUM(O654:AC654)</f>
        <v>0</v>
      </c>
      <c r="AI654" s="2">
        <f>K654+SUM(AF654:AG654)</f>
        <v>0</v>
      </c>
    </row>
    <row r="655" spans="1:35" x14ac:dyDescent="0.2">
      <c r="A655" s="23" t="s">
        <v>3</v>
      </c>
      <c r="B655" s="22" t="s">
        <v>231</v>
      </c>
      <c r="H655" s="11" t="s">
        <v>15</v>
      </c>
      <c r="I655" s="11" t="s">
        <v>233</v>
      </c>
      <c r="K655" s="13">
        <v>-4160000</v>
      </c>
      <c r="L655" s="12">
        <v>92025</v>
      </c>
      <c r="M655" s="11" t="str">
        <f>LEFT(I655,(LEN(LEFT(I655,FIND(";",I655)))-8))</f>
        <v>VNLA</v>
      </c>
      <c r="N655" s="11"/>
      <c r="O655" s="4">
        <f>IF($M655=O$3,-$K655,0)</f>
        <v>0</v>
      </c>
      <c r="P655" s="4">
        <f>IF($M655=P$3,-$K655,0)</f>
        <v>0</v>
      </c>
      <c r="Q655" s="4">
        <f>IF($M655=Q$3,-$K655,0)</f>
        <v>0</v>
      </c>
      <c r="R655" s="4">
        <f>IF($M655=R$3,-$K655,0)</f>
        <v>0</v>
      </c>
      <c r="S655" s="4">
        <f>IF($M655=S$3,-$K655,0)</f>
        <v>0</v>
      </c>
      <c r="T655" s="4">
        <f>IF($M655=T$3,-$K655,0)</f>
        <v>0</v>
      </c>
      <c r="U655" s="4">
        <f>IF($M655=U$3,-$K655,0)</f>
        <v>0</v>
      </c>
      <c r="V655" s="4">
        <f>IF($M655=V$3,-$K655,0)</f>
        <v>0</v>
      </c>
      <c r="W655" s="4">
        <f>IF($M655=W$3,-$K655,0)</f>
        <v>0</v>
      </c>
      <c r="X655" s="4">
        <f>IF($M655=X$3,-$K655,0)</f>
        <v>4160000</v>
      </c>
      <c r="Y655" s="4">
        <f>IF($M655=Y$3,-$K655,0)</f>
        <v>0</v>
      </c>
      <c r="Z655" s="4">
        <f>IF($M655=Z$3,-$K655,0)</f>
        <v>0</v>
      </c>
      <c r="AA655" s="4">
        <f>IF($M655=AA$3,-$K655,0)</f>
        <v>0</v>
      </c>
      <c r="AB655" s="4">
        <f>IF($M655=AB$3,-$K655,0)</f>
        <v>0</v>
      </c>
      <c r="AC655" s="10">
        <f>IF($M655=AC$3,-$K655,0)</f>
        <v>0</v>
      </c>
      <c r="AD655" s="9"/>
      <c r="AE655" s="8"/>
      <c r="AF655" s="4"/>
      <c r="AG655" s="4">
        <f>-$K655</f>
        <v>4160000</v>
      </c>
      <c r="AH655" s="2">
        <f>K655+SUM(O655:AC655)</f>
        <v>0</v>
      </c>
      <c r="AI655" s="2">
        <f>K655+SUM(AF655:AG655)</f>
        <v>0</v>
      </c>
    </row>
    <row r="656" spans="1:35" x14ac:dyDescent="0.2">
      <c r="A656" s="23" t="s">
        <v>3</v>
      </c>
      <c r="B656" s="22" t="s">
        <v>231</v>
      </c>
      <c r="H656" s="11" t="s">
        <v>13</v>
      </c>
      <c r="I656" s="11" t="s">
        <v>232</v>
      </c>
      <c r="K656" s="13">
        <v>-1600000</v>
      </c>
      <c r="L656" s="12">
        <v>92025</v>
      </c>
      <c r="M656" s="11" t="str">
        <f>LEFT(I656,(LEN(LEFT(I656,FIND(";",I656)))-8))</f>
        <v>VNOther</v>
      </c>
      <c r="N656" s="11"/>
      <c r="O656" s="4">
        <f>IF($M656=O$3,-$K656,0)</f>
        <v>0</v>
      </c>
      <c r="P656" s="4">
        <f>IF($M656=P$3,-$K656,0)</f>
        <v>0</v>
      </c>
      <c r="Q656" s="4">
        <f>IF($M656=Q$3,-$K656,0)</f>
        <v>1600000</v>
      </c>
      <c r="R656" s="4">
        <f>IF($M656=R$3,-$K656,0)</f>
        <v>0</v>
      </c>
      <c r="S656" s="4">
        <f>IF($M656=S$3,-$K656,0)</f>
        <v>0</v>
      </c>
      <c r="T656" s="4">
        <f>IF($M656=T$3,-$K656,0)</f>
        <v>0</v>
      </c>
      <c r="U656" s="4">
        <f>IF($M656=U$3,-$K656,0)</f>
        <v>0</v>
      </c>
      <c r="V656" s="4">
        <f>IF($M656=V$3,-$K656,0)</f>
        <v>0</v>
      </c>
      <c r="W656" s="4">
        <f>IF($M656=W$3,-$K656,0)</f>
        <v>0</v>
      </c>
      <c r="X656" s="4">
        <f>IF($M656=X$3,-$K656,0)</f>
        <v>0</v>
      </c>
      <c r="Y656" s="4">
        <f>IF($M656=Y$3,-$K656,0)</f>
        <v>0</v>
      </c>
      <c r="Z656" s="4">
        <f>IF($M656=Z$3,-$K656,0)</f>
        <v>0</v>
      </c>
      <c r="AA656" s="4">
        <f>IF($M656=AA$3,-$K656,0)</f>
        <v>0</v>
      </c>
      <c r="AB656" s="4">
        <f>IF($M656=AB$3,-$K656,0)</f>
        <v>0</v>
      </c>
      <c r="AC656" s="10">
        <f>IF($M656=AC$3,-$K656,0)</f>
        <v>0</v>
      </c>
      <c r="AD656" s="9"/>
      <c r="AE656" s="8"/>
      <c r="AF656" s="4">
        <f>-$K656</f>
        <v>1600000</v>
      </c>
      <c r="AG656" s="4"/>
      <c r="AH656" s="2">
        <f>K656+SUM(O656:AC656)</f>
        <v>0</v>
      </c>
      <c r="AI656" s="2">
        <f>K656+SUM(AF656:AG656)</f>
        <v>0</v>
      </c>
    </row>
    <row r="657" spans="1:35" x14ac:dyDescent="0.2">
      <c r="A657" s="23" t="s">
        <v>3</v>
      </c>
      <c r="B657" s="22" t="s">
        <v>231</v>
      </c>
      <c r="H657" s="11" t="s">
        <v>11</v>
      </c>
      <c r="I657" s="11" t="s">
        <v>230</v>
      </c>
      <c r="K657" s="13">
        <v>-3976000</v>
      </c>
      <c r="L657" s="12">
        <v>92025</v>
      </c>
      <c r="M657" s="11" t="str">
        <f>LEFT(I657,(LEN(LEFT(I657,FIND(";",I657)))-8))</f>
        <v>VNQN</v>
      </c>
      <c r="N657" s="11"/>
      <c r="O657" s="4">
        <f>IF($M657=O$3,-$K657,0)</f>
        <v>0</v>
      </c>
      <c r="P657" s="4">
        <f>IF($M657=P$3,-$K657,0)</f>
        <v>0</v>
      </c>
      <c r="Q657" s="4">
        <f>IF($M657=Q$3,-$K657,0)</f>
        <v>0</v>
      </c>
      <c r="R657" s="4">
        <f>IF($M657=R$3,-$K657,0)</f>
        <v>0</v>
      </c>
      <c r="S657" s="4">
        <f>IF($M657=S$3,-$K657,0)</f>
        <v>0</v>
      </c>
      <c r="T657" s="4">
        <f>IF($M657=T$3,-$K657,0)</f>
        <v>3976000</v>
      </c>
      <c r="U657" s="4">
        <f>IF($M657=U$3,-$K657,0)</f>
        <v>0</v>
      </c>
      <c r="V657" s="4">
        <f>IF($M657=V$3,-$K657,0)</f>
        <v>0</v>
      </c>
      <c r="W657" s="4">
        <f>IF($M657=W$3,-$K657,0)</f>
        <v>0</v>
      </c>
      <c r="X657" s="4">
        <f>IF($M657=X$3,-$K657,0)</f>
        <v>0</v>
      </c>
      <c r="Y657" s="4">
        <f>IF($M657=Y$3,-$K657,0)</f>
        <v>0</v>
      </c>
      <c r="Z657" s="4">
        <f>IF($M657=Z$3,-$K657,0)</f>
        <v>0</v>
      </c>
      <c r="AA657" s="4">
        <f>IF($M657=AA$3,-$K657,0)</f>
        <v>0</v>
      </c>
      <c r="AB657" s="4">
        <f>IF($M657=AB$3,-$K657,0)</f>
        <v>0</v>
      </c>
      <c r="AC657" s="10">
        <f>IF($M657=AC$3,-$K657,0)</f>
        <v>0</v>
      </c>
      <c r="AD657" s="9"/>
      <c r="AE657" s="8"/>
      <c r="AF657" s="4"/>
      <c r="AG657" s="4">
        <f>-$K657</f>
        <v>3976000</v>
      </c>
      <c r="AH657" s="2">
        <f>K657+SUM(O657:AC657)</f>
        <v>0</v>
      </c>
      <c r="AI657" s="2">
        <f>K657+SUM(AF657:AG657)</f>
        <v>0</v>
      </c>
    </row>
    <row r="658" spans="1:35" s="25" customFormat="1" x14ac:dyDescent="0.2">
      <c r="A658" s="30" t="s">
        <v>99</v>
      </c>
      <c r="B658" s="33"/>
      <c r="H658" s="30"/>
      <c r="I658" s="30"/>
      <c r="K658" s="32"/>
      <c r="L658" s="31"/>
      <c r="M658" s="30"/>
      <c r="N658" s="30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9"/>
      <c r="AD658" s="28"/>
      <c r="AE658" s="27"/>
      <c r="AF658" s="26"/>
      <c r="AG658" s="26"/>
      <c r="AH658" s="26"/>
      <c r="AI658" s="2">
        <f>K658+SUM(AF658:AG658)</f>
        <v>0</v>
      </c>
    </row>
    <row r="659" spans="1:35" x14ac:dyDescent="0.2">
      <c r="A659" s="23" t="s">
        <v>61</v>
      </c>
      <c r="B659" s="22" t="s">
        <v>184</v>
      </c>
      <c r="H659" s="11" t="s">
        <v>135</v>
      </c>
      <c r="I659" s="11" t="s">
        <v>229</v>
      </c>
      <c r="K659" s="13">
        <v>-48410586</v>
      </c>
      <c r="L659" s="12">
        <v>102025</v>
      </c>
      <c r="M659" s="11" t="str">
        <f>LEFT(I659,(LEN(LEFT(I659,FIND(";",I659)))-8))</f>
        <v>VNOther</v>
      </c>
      <c r="N659" s="11"/>
      <c r="O659" s="15">
        <f>-$K659*IFERROR(INDEX('[1]salary allocation-v2'!$E$6:$J$22,MATCH($H659,'[1]salary allocation-v2'!$D$6:$D$22,0),MATCH(O$3,'[1]salary allocation-v2'!$E$3:$J$3,0)),0)</f>
        <v>0</v>
      </c>
      <c r="P659" s="15">
        <f>-$K659*IFERROR(INDEX('[1]salary allocation-v2'!$E$6:$J$22,MATCH($H659,'[1]salary allocation-v2'!$D$6:$D$22,0),MATCH(P$3,'[1]salary allocation-v2'!$E$3:$J$3,0)),0)</f>
        <v>0</v>
      </c>
      <c r="Q659" s="15">
        <f>-$K659*IFERROR(INDEX('[1]salary allocation-v2'!$E$6:$J$22,MATCH($H659,'[1]salary allocation-v2'!$D$6:$D$22,0),MATCH(Q$3,'[1]salary allocation-v2'!$E$3:$J$3,0)),0)</f>
        <v>0</v>
      </c>
      <c r="R659" s="15">
        <f>-$K659*IFERROR(INDEX('[1]salary allocation-v2'!$E$6:$J$22,MATCH($H659,'[1]salary allocation-v2'!$D$6:$D$22,0),MATCH(R$3,'[1]salary allocation-v2'!$E$3:$J$3,0)),0)</f>
        <v>0</v>
      </c>
      <c r="S659" s="15">
        <f>-$K659*IFERROR(INDEX('[1]salary allocation-v2'!$E$6:$J$22,MATCH($H659,'[1]salary allocation-v2'!$D$6:$D$22,0),MATCH(S$3,'[1]salary allocation-v2'!$E$3:$J$3,0)),0)</f>
        <v>4841058.6000000006</v>
      </c>
      <c r="T659" s="15">
        <f>-$K659*IFERROR(INDEX('[1]salary allocation-v2'!$E$6:$J$22,MATCH($H659,'[1]salary allocation-v2'!$D$6:$D$22,0),MATCH(T$3,'[1]salary allocation-v2'!$E$3:$J$3,0)),0)</f>
        <v>4841058.6000000006</v>
      </c>
      <c r="U659" s="15">
        <f>-$K659*IFERROR(INDEX('[1]salary allocation-v2'!$E$6:$J$22,MATCH($H659,'[1]salary allocation-v2'!$D$6:$D$22,0),MATCH(U$3,'[1]salary allocation-v2'!$E$3:$J$3,0)),0)</f>
        <v>4841058.6000000006</v>
      </c>
      <c r="V659" s="15">
        <f>-$K659*IFERROR(INDEX('[1]salary allocation-v2'!$E$6:$J$22,MATCH($H659,'[1]salary allocation-v2'!$D$6:$D$22,0),MATCH(V$3,'[1]salary allocation-v2'!$E$3:$J$3,0)),0)</f>
        <v>0</v>
      </c>
      <c r="W659" s="15">
        <f>-$K659*IFERROR(INDEX('[1]salary allocation-v2'!$E$6:$J$22,MATCH($H659,'[1]salary allocation-v2'!$D$6:$D$22,0),MATCH(W$3,'[1]salary allocation-v2'!$E$3:$J$3,0)),0)</f>
        <v>33887410.199999996</v>
      </c>
      <c r="X659" s="15">
        <f>-$K659*IFERROR(INDEX('[1]salary allocation-v2'!$E$6:$J$22,MATCH($H659,'[1]salary allocation-v2'!$D$6:$D$22,0),MATCH(X$3,'[1]salary allocation-v2'!$E$3:$J$3,0)),0)</f>
        <v>0</v>
      </c>
      <c r="Y659" s="15">
        <f>-$K659*IFERROR(INDEX('[1]salary allocation-v2'!$E$6:$J$22,MATCH($H659,'[1]salary allocation-v2'!$D$6:$D$22,0),MATCH(Y$3,'[1]salary allocation-v2'!$E$3:$J$3,0)),0)</f>
        <v>0</v>
      </c>
      <c r="Z659" s="15">
        <f>-$K659*IFERROR(INDEX('[1]salary allocation-v2'!$E$6:$J$22,MATCH($H659,'[1]salary allocation-v2'!$D$6:$D$22,0),MATCH(Z$3,'[1]salary allocation-v2'!$E$3:$J$3,0)),0)</f>
        <v>0</v>
      </c>
      <c r="AA659" s="15">
        <f>-$K659*IFERROR(INDEX('[1]salary allocation-v2'!$E$6:$J$22,MATCH($H659,'[1]salary allocation-v2'!$D$6:$D$22,0),MATCH(AA$3,'[1]salary allocation-v2'!$E$3:$J$3,0)),0)</f>
        <v>0</v>
      </c>
      <c r="AB659" s="15">
        <f>-$K659*IFERROR(INDEX('[1]salary allocation-v2'!$E$6:$J$22,MATCH($H659,'[1]salary allocation-v2'!$D$6:$D$22,0),MATCH(AB$3,'[1]salary allocation-v2'!$E$3:$J$3,0)),0)</f>
        <v>0</v>
      </c>
      <c r="AC659" s="18">
        <f>-$K659*IFERROR(INDEX('[1]salary allocation-v2'!$E$6:$J$22,MATCH($H659,'[1]salary allocation-v2'!$D$6:$D$22,0),MATCH(AC$3,'[1]salary allocation-v2'!$E$3:$J$3,0)),0)</f>
        <v>0</v>
      </c>
      <c r="AD659" s="17"/>
      <c r="AE659" s="16"/>
      <c r="AF659" s="15">
        <f>-$K659</f>
        <v>48410586</v>
      </c>
      <c r="AG659" s="15"/>
      <c r="AH659" s="2">
        <f>K659+SUM(O659:AC659)</f>
        <v>0</v>
      </c>
      <c r="AI659" s="2">
        <f>K659+SUM(AF659:AG659)</f>
        <v>0</v>
      </c>
    </row>
    <row r="660" spans="1:35" x14ac:dyDescent="0.2">
      <c r="A660" s="23" t="s">
        <v>61</v>
      </c>
      <c r="B660" s="22" t="s">
        <v>184</v>
      </c>
      <c r="H660" s="11" t="s">
        <v>57</v>
      </c>
      <c r="I660" s="11" t="s">
        <v>228</v>
      </c>
      <c r="K660" s="13">
        <v>-6955775</v>
      </c>
      <c r="L660" s="12">
        <v>102025</v>
      </c>
      <c r="M660" s="11" t="str">
        <f>LEFT(I660,(LEN(LEFT(I660,FIND(";",I660)))-8))</f>
        <v>VNOther</v>
      </c>
      <c r="N660" s="11"/>
      <c r="O660" s="15">
        <f>-$K660*IFERROR(INDEX('[1]salary allocation-v2'!$E$6:$J$22,MATCH($H660,'[1]salary allocation-v2'!$D$6:$D$22,0),MATCH(O$3,'[1]salary allocation-v2'!$E$3:$J$3,0)),0)</f>
        <v>0</v>
      </c>
      <c r="P660" s="15">
        <f>-$K660*IFERROR(INDEX('[1]salary allocation-v2'!$E$6:$J$22,MATCH($H660,'[1]salary allocation-v2'!$D$6:$D$22,0),MATCH(P$3,'[1]salary allocation-v2'!$E$3:$J$3,0)),0)</f>
        <v>3477887.5</v>
      </c>
      <c r="Q660" s="15">
        <f>-$K660*IFERROR(INDEX('[1]salary allocation-v2'!$E$6:$J$22,MATCH($H660,'[1]salary allocation-v2'!$D$6:$D$22,0),MATCH(Q$3,'[1]salary allocation-v2'!$E$3:$J$3,0)),0)</f>
        <v>0</v>
      </c>
      <c r="R660" s="15">
        <f>-$K660*IFERROR(INDEX('[1]salary allocation-v2'!$E$6:$J$22,MATCH($H660,'[1]salary allocation-v2'!$D$6:$D$22,0),MATCH(R$3,'[1]salary allocation-v2'!$E$3:$J$3,0)),0)</f>
        <v>0</v>
      </c>
      <c r="S660" s="15">
        <f>-$K660*IFERROR(INDEX('[1]salary allocation-v2'!$E$6:$J$22,MATCH($H660,'[1]salary allocation-v2'!$D$6:$D$22,0),MATCH(S$3,'[1]salary allocation-v2'!$E$3:$J$3,0)),0)</f>
        <v>695577.5</v>
      </c>
      <c r="T660" s="15">
        <f>-$K660*IFERROR(INDEX('[1]salary allocation-v2'!$E$6:$J$22,MATCH($H660,'[1]salary allocation-v2'!$D$6:$D$22,0),MATCH(T$3,'[1]salary allocation-v2'!$E$3:$J$3,0)),0)</f>
        <v>695577.5</v>
      </c>
      <c r="U660" s="15">
        <f>-$K660*IFERROR(INDEX('[1]salary allocation-v2'!$E$6:$J$22,MATCH($H660,'[1]salary allocation-v2'!$D$6:$D$22,0),MATCH(U$3,'[1]salary allocation-v2'!$E$3:$J$3,0)),0)</f>
        <v>695577.5</v>
      </c>
      <c r="V660" s="15">
        <f>-$K660*IFERROR(INDEX('[1]salary allocation-v2'!$E$6:$J$22,MATCH($H660,'[1]salary allocation-v2'!$D$6:$D$22,0),MATCH(V$3,'[1]salary allocation-v2'!$E$3:$J$3,0)),0)</f>
        <v>0</v>
      </c>
      <c r="W660" s="15">
        <f>-$K660*IFERROR(INDEX('[1]salary allocation-v2'!$E$6:$J$22,MATCH($H660,'[1]salary allocation-v2'!$D$6:$D$22,0),MATCH(W$3,'[1]salary allocation-v2'!$E$3:$J$3,0)),0)</f>
        <v>1391155</v>
      </c>
      <c r="X660" s="15">
        <f>-$K660*IFERROR(INDEX('[1]salary allocation-v2'!$E$6:$J$22,MATCH($H660,'[1]salary allocation-v2'!$D$6:$D$22,0),MATCH(X$3,'[1]salary allocation-v2'!$E$3:$J$3,0)),0)</f>
        <v>0</v>
      </c>
      <c r="Y660" s="15">
        <f>-$K660*IFERROR(INDEX('[1]salary allocation-v2'!$E$6:$J$22,MATCH($H660,'[1]salary allocation-v2'!$D$6:$D$22,0),MATCH(Y$3,'[1]salary allocation-v2'!$E$3:$J$3,0)),0)</f>
        <v>0</v>
      </c>
      <c r="Z660" s="15">
        <f>-$K660*IFERROR(INDEX('[1]salary allocation-v2'!$E$6:$J$22,MATCH($H660,'[1]salary allocation-v2'!$D$6:$D$22,0),MATCH(Z$3,'[1]salary allocation-v2'!$E$3:$J$3,0)),0)</f>
        <v>0</v>
      </c>
      <c r="AA660" s="15">
        <f>-$K660*IFERROR(INDEX('[1]salary allocation-v2'!$E$6:$J$22,MATCH($H660,'[1]salary allocation-v2'!$D$6:$D$22,0),MATCH(AA$3,'[1]salary allocation-v2'!$E$3:$J$3,0)),0)</f>
        <v>0</v>
      </c>
      <c r="AB660" s="15">
        <f>-$K660*IFERROR(INDEX('[1]salary allocation-v2'!$E$6:$J$22,MATCH($H660,'[1]salary allocation-v2'!$D$6:$D$22,0),MATCH(AB$3,'[1]salary allocation-v2'!$E$3:$J$3,0)),0)</f>
        <v>0</v>
      </c>
      <c r="AC660" s="18">
        <f>-$K660*IFERROR(INDEX('[1]salary allocation-v2'!$E$6:$J$22,MATCH($H660,'[1]salary allocation-v2'!$D$6:$D$22,0),MATCH(AC$3,'[1]salary allocation-v2'!$E$3:$J$3,0)),0)</f>
        <v>0</v>
      </c>
      <c r="AD660" s="17"/>
      <c r="AE660" s="16"/>
      <c r="AF660" s="15">
        <f>-$K660</f>
        <v>6955775</v>
      </c>
      <c r="AG660" s="15"/>
      <c r="AH660" s="2">
        <f>K660+SUM(O660:AC660)</f>
        <v>0</v>
      </c>
      <c r="AI660" s="2">
        <f>K660+SUM(AF660:AG660)</f>
        <v>0</v>
      </c>
    </row>
    <row r="661" spans="1:35" x14ac:dyDescent="0.2">
      <c r="A661" s="23" t="s">
        <v>61</v>
      </c>
      <c r="B661" s="22" t="s">
        <v>184</v>
      </c>
      <c r="H661" s="11" t="s">
        <v>55</v>
      </c>
      <c r="I661" s="11" t="s">
        <v>227</v>
      </c>
      <c r="K661" s="13">
        <v>-8832016</v>
      </c>
      <c r="L661" s="12">
        <v>102025</v>
      </c>
      <c r="M661" s="11" t="str">
        <f>LEFT(I661,(LEN(LEFT(I661,FIND(";",I661)))-8))</f>
        <v>VNHBC</v>
      </c>
      <c r="N661" s="11"/>
      <c r="O661" s="15">
        <f>-$K661*IFERROR(INDEX('[1]salary allocation-v2'!$E$6:$J$22,MATCH($H661,'[1]salary allocation-v2'!$D$6:$D$22,0),MATCH(O$3,'[1]salary allocation-v2'!$E$3:$J$3,0)),0)</f>
        <v>0</v>
      </c>
      <c r="P661" s="15">
        <f>-$K661*IFERROR(INDEX('[1]salary allocation-v2'!$E$6:$J$22,MATCH($H661,'[1]salary allocation-v2'!$D$6:$D$22,0),MATCH(P$3,'[1]salary allocation-v2'!$E$3:$J$3,0)),0)</f>
        <v>0</v>
      </c>
      <c r="Q661" s="15">
        <f>-$K661*IFERROR(INDEX('[1]salary allocation-v2'!$E$6:$J$22,MATCH($H661,'[1]salary allocation-v2'!$D$6:$D$22,0),MATCH(Q$3,'[1]salary allocation-v2'!$E$3:$J$3,0)),0)</f>
        <v>0</v>
      </c>
      <c r="R661" s="15">
        <f>-$K661*IFERROR(INDEX('[1]salary allocation-v2'!$E$6:$J$22,MATCH($H661,'[1]salary allocation-v2'!$D$6:$D$22,0),MATCH(R$3,'[1]salary allocation-v2'!$E$3:$J$3,0)),0)</f>
        <v>0</v>
      </c>
      <c r="S661" s="15">
        <f>-$K661*IFERROR(INDEX('[1]salary allocation-v2'!$E$6:$J$22,MATCH($H661,'[1]salary allocation-v2'!$D$6:$D$22,0),MATCH(S$3,'[1]salary allocation-v2'!$E$3:$J$3,0)),0)</f>
        <v>1766403.2000000002</v>
      </c>
      <c r="T661" s="15">
        <f>-$K661*IFERROR(INDEX('[1]salary allocation-v2'!$E$6:$J$22,MATCH($H661,'[1]salary allocation-v2'!$D$6:$D$22,0),MATCH(T$3,'[1]salary allocation-v2'!$E$3:$J$3,0)),0)</f>
        <v>1766403.2000000002</v>
      </c>
      <c r="U661" s="15">
        <f>-$K661*IFERROR(INDEX('[1]salary allocation-v2'!$E$6:$J$22,MATCH($H661,'[1]salary allocation-v2'!$D$6:$D$22,0),MATCH(U$3,'[1]salary allocation-v2'!$E$3:$J$3,0)),0)</f>
        <v>1766403.2000000002</v>
      </c>
      <c r="V661" s="15">
        <f>-$K661*IFERROR(INDEX('[1]salary allocation-v2'!$E$6:$J$22,MATCH($H661,'[1]salary allocation-v2'!$D$6:$D$22,0),MATCH(V$3,'[1]salary allocation-v2'!$E$3:$J$3,0)),0)</f>
        <v>0</v>
      </c>
      <c r="W661" s="15">
        <f>-$K661*IFERROR(INDEX('[1]salary allocation-v2'!$E$6:$J$22,MATCH($H661,'[1]salary allocation-v2'!$D$6:$D$22,0),MATCH(W$3,'[1]salary allocation-v2'!$E$3:$J$3,0)),0)</f>
        <v>3532806.4000000004</v>
      </c>
      <c r="X661" s="15">
        <f>-$K661*IFERROR(INDEX('[1]salary allocation-v2'!$E$6:$J$22,MATCH($H661,'[1]salary allocation-v2'!$D$6:$D$22,0),MATCH(X$3,'[1]salary allocation-v2'!$E$3:$J$3,0)),0)</f>
        <v>0</v>
      </c>
      <c r="Y661" s="15">
        <f>-$K661*IFERROR(INDEX('[1]salary allocation-v2'!$E$6:$J$22,MATCH($H661,'[1]salary allocation-v2'!$D$6:$D$22,0),MATCH(Y$3,'[1]salary allocation-v2'!$E$3:$J$3,0)),0)</f>
        <v>0</v>
      </c>
      <c r="Z661" s="15">
        <f>-$K661*IFERROR(INDEX('[1]salary allocation-v2'!$E$6:$J$22,MATCH($H661,'[1]salary allocation-v2'!$D$6:$D$22,0),MATCH(Z$3,'[1]salary allocation-v2'!$E$3:$J$3,0)),0)</f>
        <v>0</v>
      </c>
      <c r="AA661" s="15">
        <f>-$K661*IFERROR(INDEX('[1]salary allocation-v2'!$E$6:$J$22,MATCH($H661,'[1]salary allocation-v2'!$D$6:$D$22,0),MATCH(AA$3,'[1]salary allocation-v2'!$E$3:$J$3,0)),0)</f>
        <v>0</v>
      </c>
      <c r="AB661" s="15">
        <f>-$K661*IFERROR(INDEX('[1]salary allocation-v2'!$E$6:$J$22,MATCH($H661,'[1]salary allocation-v2'!$D$6:$D$22,0),MATCH(AB$3,'[1]salary allocation-v2'!$E$3:$J$3,0)),0)</f>
        <v>0</v>
      </c>
      <c r="AC661" s="18">
        <f>-$K661*IFERROR(INDEX('[1]salary allocation-v2'!$E$6:$J$22,MATCH($H661,'[1]salary allocation-v2'!$D$6:$D$22,0),MATCH(AC$3,'[1]salary allocation-v2'!$E$3:$J$3,0)),0)</f>
        <v>0</v>
      </c>
      <c r="AD661" s="17"/>
      <c r="AE661" s="16"/>
      <c r="AF661" s="15"/>
      <c r="AG661" s="15">
        <f>-$K661</f>
        <v>8832016</v>
      </c>
      <c r="AH661" s="2">
        <f>K661+SUM(O661:AC661)</f>
        <v>0</v>
      </c>
      <c r="AI661" s="2">
        <f>K661+SUM(AF661:AG661)</f>
        <v>0</v>
      </c>
    </row>
    <row r="662" spans="1:35" x14ac:dyDescent="0.2">
      <c r="A662" s="23" t="s">
        <v>61</v>
      </c>
      <c r="B662" s="22" t="s">
        <v>184</v>
      </c>
      <c r="H662" s="11" t="s">
        <v>53</v>
      </c>
      <c r="I662" s="11" t="s">
        <v>226</v>
      </c>
      <c r="K662" s="13">
        <v>-5346637</v>
      </c>
      <c r="L662" s="12">
        <v>102025</v>
      </c>
      <c r="M662" s="11" t="str">
        <f>LEFT(I662,(LEN(LEFT(I662,FIND(";",I662)))-8))</f>
        <v>VNOther</v>
      </c>
      <c r="N662" s="11"/>
      <c r="O662" s="15">
        <f>-$K662*IFERROR(INDEX('[1]salary allocation-v2'!$E$6:$J$22,MATCH($H662,'[1]salary allocation-v2'!$D$6:$D$22,0),MATCH(O$3,'[1]salary allocation-v2'!$E$3:$J$3,0)),0)</f>
        <v>0</v>
      </c>
      <c r="P662" s="15">
        <f>-$K662*IFERROR(INDEX('[1]salary allocation-v2'!$E$6:$J$22,MATCH($H662,'[1]salary allocation-v2'!$D$6:$D$22,0),MATCH(P$3,'[1]salary allocation-v2'!$E$3:$J$3,0)),0)</f>
        <v>0</v>
      </c>
      <c r="Q662" s="15">
        <f>-$K662*IFERROR(INDEX('[1]salary allocation-v2'!$E$6:$J$22,MATCH($H662,'[1]salary allocation-v2'!$D$6:$D$22,0),MATCH(Q$3,'[1]salary allocation-v2'!$E$3:$J$3,0)),0)</f>
        <v>0</v>
      </c>
      <c r="R662" s="15">
        <f>-$K662*IFERROR(INDEX('[1]salary allocation-v2'!$E$6:$J$22,MATCH($H662,'[1]salary allocation-v2'!$D$6:$D$22,0),MATCH(R$3,'[1]salary allocation-v2'!$E$3:$J$3,0)),0)</f>
        <v>0</v>
      </c>
      <c r="S662" s="15">
        <f>-$K662*IFERROR(INDEX('[1]salary allocation-v2'!$E$6:$J$22,MATCH($H662,'[1]salary allocation-v2'!$D$6:$D$22,0),MATCH(S$3,'[1]salary allocation-v2'!$E$3:$J$3,0)),0)</f>
        <v>908928.28999999992</v>
      </c>
      <c r="T662" s="15">
        <f>-$K662*IFERROR(INDEX('[1]salary allocation-v2'!$E$6:$J$22,MATCH($H662,'[1]salary allocation-v2'!$D$6:$D$22,0),MATCH(T$3,'[1]salary allocation-v2'!$E$3:$J$3,0)),0)</f>
        <v>908928.28999999992</v>
      </c>
      <c r="U662" s="15">
        <f>-$K662*IFERROR(INDEX('[1]salary allocation-v2'!$E$6:$J$22,MATCH($H662,'[1]salary allocation-v2'!$D$6:$D$22,0),MATCH(U$3,'[1]salary allocation-v2'!$E$3:$J$3,0)),0)</f>
        <v>908928.28999999992</v>
      </c>
      <c r="V662" s="15">
        <f>-$K662*IFERROR(INDEX('[1]salary allocation-v2'!$E$6:$J$22,MATCH($H662,'[1]salary allocation-v2'!$D$6:$D$22,0),MATCH(V$3,'[1]salary allocation-v2'!$E$3:$J$3,0)),0)</f>
        <v>0</v>
      </c>
      <c r="W662" s="15">
        <f>-$K662*IFERROR(INDEX('[1]salary allocation-v2'!$E$6:$J$22,MATCH($H662,'[1]salary allocation-v2'!$D$6:$D$22,0),MATCH(W$3,'[1]salary allocation-v2'!$E$3:$J$3,0)),0)</f>
        <v>2619852.13</v>
      </c>
      <c r="X662" s="15">
        <f>-$K662*IFERROR(INDEX('[1]salary allocation-v2'!$E$6:$J$22,MATCH($H662,'[1]salary allocation-v2'!$D$6:$D$22,0),MATCH(X$3,'[1]salary allocation-v2'!$E$3:$J$3,0)),0)</f>
        <v>0</v>
      </c>
      <c r="Y662" s="15">
        <f>-$K662*IFERROR(INDEX('[1]salary allocation-v2'!$E$6:$J$22,MATCH($H662,'[1]salary allocation-v2'!$D$6:$D$22,0),MATCH(Y$3,'[1]salary allocation-v2'!$E$3:$J$3,0)),0)</f>
        <v>0</v>
      </c>
      <c r="Z662" s="15">
        <f>-$K662*IFERROR(INDEX('[1]salary allocation-v2'!$E$6:$J$22,MATCH($H662,'[1]salary allocation-v2'!$D$6:$D$22,0),MATCH(Z$3,'[1]salary allocation-v2'!$E$3:$J$3,0)),0)</f>
        <v>0</v>
      </c>
      <c r="AA662" s="15">
        <f>-$K662*IFERROR(INDEX('[1]salary allocation-v2'!$E$6:$J$22,MATCH($H662,'[1]salary allocation-v2'!$D$6:$D$22,0),MATCH(AA$3,'[1]salary allocation-v2'!$E$3:$J$3,0)),0)</f>
        <v>0</v>
      </c>
      <c r="AB662" s="15">
        <f>-$K662*IFERROR(INDEX('[1]salary allocation-v2'!$E$6:$J$22,MATCH($H662,'[1]salary allocation-v2'!$D$6:$D$22,0),MATCH(AB$3,'[1]salary allocation-v2'!$E$3:$J$3,0)),0)</f>
        <v>0</v>
      </c>
      <c r="AC662" s="18">
        <f>-$K662*IFERROR(INDEX('[1]salary allocation-v2'!$E$6:$J$22,MATCH($H662,'[1]salary allocation-v2'!$D$6:$D$22,0),MATCH(AC$3,'[1]salary allocation-v2'!$E$3:$J$3,0)),0)</f>
        <v>0</v>
      </c>
      <c r="AD662" s="17"/>
      <c r="AE662" s="16"/>
      <c r="AF662" s="15">
        <f>-$K662</f>
        <v>5346637</v>
      </c>
      <c r="AG662" s="15"/>
      <c r="AH662" s="2">
        <f>K662+SUM(O662:AC662)</f>
        <v>0</v>
      </c>
      <c r="AI662" s="2">
        <f>K662+SUM(AF662:AG662)</f>
        <v>0</v>
      </c>
    </row>
    <row r="663" spans="1:35" x14ac:dyDescent="0.2">
      <c r="A663" s="23" t="s">
        <v>61</v>
      </c>
      <c r="B663" s="22" t="s">
        <v>184</v>
      </c>
      <c r="H663" s="11" t="s">
        <v>51</v>
      </c>
      <c r="I663" s="11" t="s">
        <v>225</v>
      </c>
      <c r="K663" s="13">
        <v>-2342376</v>
      </c>
      <c r="L663" s="12">
        <v>102025</v>
      </c>
      <c r="M663" s="11" t="str">
        <f>LEFT(I663,(LEN(LEFT(I663,FIND(";",I663)))-8))</f>
        <v>VNOther</v>
      </c>
      <c r="N663" s="11"/>
      <c r="O663" s="15">
        <f>-$K663*IFERROR(INDEX('[1]salary allocation-v2'!$E$6:$J$22,MATCH($H663,'[1]salary allocation-v2'!$D$6:$D$22,0),MATCH(O$3,'[1]salary allocation-v2'!$E$3:$J$3,0)),0)</f>
        <v>0</v>
      </c>
      <c r="P663" s="15">
        <f>-$K663*IFERROR(INDEX('[1]salary allocation-v2'!$E$6:$J$22,MATCH($H663,'[1]salary allocation-v2'!$D$6:$D$22,0),MATCH(P$3,'[1]salary allocation-v2'!$E$3:$J$3,0)),0)</f>
        <v>0</v>
      </c>
      <c r="Q663" s="15">
        <f>-$K663*IFERROR(INDEX('[1]salary allocation-v2'!$E$6:$J$22,MATCH($H663,'[1]salary allocation-v2'!$D$6:$D$22,0),MATCH(Q$3,'[1]salary allocation-v2'!$E$3:$J$3,0)),0)</f>
        <v>0</v>
      </c>
      <c r="R663" s="15">
        <f>-$K663*IFERROR(INDEX('[1]salary allocation-v2'!$E$6:$J$22,MATCH($H663,'[1]salary allocation-v2'!$D$6:$D$22,0),MATCH(R$3,'[1]salary allocation-v2'!$E$3:$J$3,0)),0)</f>
        <v>0</v>
      </c>
      <c r="S663" s="15">
        <f>-$K663*IFERROR(INDEX('[1]salary allocation-v2'!$E$6:$J$22,MATCH($H663,'[1]salary allocation-v2'!$D$6:$D$22,0),MATCH(S$3,'[1]salary allocation-v2'!$E$3:$J$3,0)),0)</f>
        <v>234237.6</v>
      </c>
      <c r="T663" s="15">
        <f>-$K663*IFERROR(INDEX('[1]salary allocation-v2'!$E$6:$J$22,MATCH($H663,'[1]salary allocation-v2'!$D$6:$D$22,0),MATCH(T$3,'[1]salary allocation-v2'!$E$3:$J$3,0)),0)</f>
        <v>234237.6</v>
      </c>
      <c r="U663" s="15">
        <f>-$K663*IFERROR(INDEX('[1]salary allocation-v2'!$E$6:$J$22,MATCH($H663,'[1]salary allocation-v2'!$D$6:$D$22,0),MATCH(U$3,'[1]salary allocation-v2'!$E$3:$J$3,0)),0)</f>
        <v>234237.6</v>
      </c>
      <c r="V663" s="15">
        <f>-$K663*IFERROR(INDEX('[1]salary allocation-v2'!$E$6:$J$22,MATCH($H663,'[1]salary allocation-v2'!$D$6:$D$22,0),MATCH(V$3,'[1]salary allocation-v2'!$E$3:$J$3,0)),0)</f>
        <v>0</v>
      </c>
      <c r="W663" s="15">
        <f>-$K663*IFERROR(INDEX('[1]salary allocation-v2'!$E$6:$J$22,MATCH($H663,'[1]salary allocation-v2'!$D$6:$D$22,0),MATCH(W$3,'[1]salary allocation-v2'!$E$3:$J$3,0)),0)</f>
        <v>1639663.2</v>
      </c>
      <c r="X663" s="15">
        <f>-$K663*IFERROR(INDEX('[1]salary allocation-v2'!$E$6:$J$22,MATCH($H663,'[1]salary allocation-v2'!$D$6:$D$22,0),MATCH(X$3,'[1]salary allocation-v2'!$E$3:$J$3,0)),0)</f>
        <v>0</v>
      </c>
      <c r="Y663" s="15">
        <f>-$K663*IFERROR(INDEX('[1]salary allocation-v2'!$E$6:$J$22,MATCH($H663,'[1]salary allocation-v2'!$D$6:$D$22,0),MATCH(Y$3,'[1]salary allocation-v2'!$E$3:$J$3,0)),0)</f>
        <v>0</v>
      </c>
      <c r="Z663" s="15">
        <f>-$K663*IFERROR(INDEX('[1]salary allocation-v2'!$E$6:$J$22,MATCH($H663,'[1]salary allocation-v2'!$D$6:$D$22,0),MATCH(Z$3,'[1]salary allocation-v2'!$E$3:$J$3,0)),0)</f>
        <v>0</v>
      </c>
      <c r="AA663" s="15">
        <f>-$K663*IFERROR(INDEX('[1]salary allocation-v2'!$E$6:$J$22,MATCH($H663,'[1]salary allocation-v2'!$D$6:$D$22,0),MATCH(AA$3,'[1]salary allocation-v2'!$E$3:$J$3,0)),0)</f>
        <v>0</v>
      </c>
      <c r="AB663" s="15">
        <f>-$K663*IFERROR(INDEX('[1]salary allocation-v2'!$E$6:$J$22,MATCH($H663,'[1]salary allocation-v2'!$D$6:$D$22,0),MATCH(AB$3,'[1]salary allocation-v2'!$E$3:$J$3,0)),0)</f>
        <v>0</v>
      </c>
      <c r="AC663" s="18">
        <f>-$K663*IFERROR(INDEX('[1]salary allocation-v2'!$E$6:$J$22,MATCH($H663,'[1]salary allocation-v2'!$D$6:$D$22,0),MATCH(AC$3,'[1]salary allocation-v2'!$E$3:$J$3,0)),0)</f>
        <v>0</v>
      </c>
      <c r="AD663" s="17"/>
      <c r="AE663" s="16"/>
      <c r="AF663" s="15">
        <f>-$K663</f>
        <v>2342376</v>
      </c>
      <c r="AG663" s="15"/>
      <c r="AH663" s="2">
        <f>K663+SUM(O663:AC663)</f>
        <v>0</v>
      </c>
      <c r="AI663" s="2">
        <f>K663+SUM(AF663:AG663)</f>
        <v>0</v>
      </c>
    </row>
    <row r="664" spans="1:35" x14ac:dyDescent="0.2">
      <c r="A664" s="23" t="s">
        <v>61</v>
      </c>
      <c r="B664" s="22" t="s">
        <v>184</v>
      </c>
      <c r="H664" s="11" t="s">
        <v>49</v>
      </c>
      <c r="I664" s="11" t="s">
        <v>224</v>
      </c>
      <c r="K664" s="13">
        <v>-1390947</v>
      </c>
      <c r="L664" s="12">
        <v>102025</v>
      </c>
      <c r="M664" s="11" t="str">
        <f>LEFT(I664,(LEN(LEFT(I664,FIND(";",I664)))-8))</f>
        <v>VNMOET</v>
      </c>
      <c r="N664" s="11"/>
      <c r="O664" s="15">
        <f>-$K664*IFERROR(INDEX('[1]salary allocation-v2'!$E$6:$J$22,MATCH($H664,'[1]salary allocation-v2'!$D$6:$D$22,0),MATCH(O$3,'[1]salary allocation-v2'!$E$3:$J$3,0)),0)</f>
        <v>0</v>
      </c>
      <c r="P664" s="15">
        <f>-$K664*IFERROR(INDEX('[1]salary allocation-v2'!$E$6:$J$22,MATCH($H664,'[1]salary allocation-v2'!$D$6:$D$22,0),MATCH(P$3,'[1]salary allocation-v2'!$E$3:$J$3,0)),0)</f>
        <v>0</v>
      </c>
      <c r="Q664" s="15">
        <f>-$K664*IFERROR(INDEX('[1]salary allocation-v2'!$E$6:$J$22,MATCH($H664,'[1]salary allocation-v2'!$D$6:$D$22,0),MATCH(Q$3,'[1]salary allocation-v2'!$E$3:$J$3,0)),0)</f>
        <v>0</v>
      </c>
      <c r="R664" s="15">
        <f>-$K664*IFERROR(INDEX('[1]salary allocation-v2'!$E$6:$J$22,MATCH($H664,'[1]salary allocation-v2'!$D$6:$D$22,0),MATCH(R$3,'[1]salary allocation-v2'!$E$3:$J$3,0)),0)</f>
        <v>0</v>
      </c>
      <c r="S664" s="15">
        <f>-$K664*IFERROR(INDEX('[1]salary allocation-v2'!$E$6:$J$22,MATCH($H664,'[1]salary allocation-v2'!$D$6:$D$22,0),MATCH(S$3,'[1]salary allocation-v2'!$E$3:$J$3,0)),0)</f>
        <v>278189.40000000002</v>
      </c>
      <c r="T664" s="15">
        <f>-$K664*IFERROR(INDEX('[1]salary allocation-v2'!$E$6:$J$22,MATCH($H664,'[1]salary allocation-v2'!$D$6:$D$22,0),MATCH(T$3,'[1]salary allocation-v2'!$E$3:$J$3,0)),0)</f>
        <v>278189.40000000002</v>
      </c>
      <c r="U664" s="15">
        <f>-$K664*IFERROR(INDEX('[1]salary allocation-v2'!$E$6:$J$22,MATCH($H664,'[1]salary allocation-v2'!$D$6:$D$22,0),MATCH(U$3,'[1]salary allocation-v2'!$E$3:$J$3,0)),0)</f>
        <v>278189.40000000002</v>
      </c>
      <c r="V664" s="15">
        <f>-$K664*IFERROR(INDEX('[1]salary allocation-v2'!$E$6:$J$22,MATCH($H664,'[1]salary allocation-v2'!$D$6:$D$22,0),MATCH(V$3,'[1]salary allocation-v2'!$E$3:$J$3,0)),0)</f>
        <v>0</v>
      </c>
      <c r="W664" s="15">
        <f>-$K664*IFERROR(INDEX('[1]salary allocation-v2'!$E$6:$J$22,MATCH($H664,'[1]salary allocation-v2'!$D$6:$D$22,0),MATCH(W$3,'[1]salary allocation-v2'!$E$3:$J$3,0)),0)</f>
        <v>556378.80000000005</v>
      </c>
      <c r="X664" s="15">
        <f>-$K664*IFERROR(INDEX('[1]salary allocation-v2'!$E$6:$J$22,MATCH($H664,'[1]salary allocation-v2'!$D$6:$D$22,0),MATCH(X$3,'[1]salary allocation-v2'!$E$3:$J$3,0)),0)</f>
        <v>0</v>
      </c>
      <c r="Y664" s="15">
        <f>-$K664*IFERROR(INDEX('[1]salary allocation-v2'!$E$6:$J$22,MATCH($H664,'[1]salary allocation-v2'!$D$6:$D$22,0),MATCH(Y$3,'[1]salary allocation-v2'!$E$3:$J$3,0)),0)</f>
        <v>0</v>
      </c>
      <c r="Z664" s="15">
        <f>-$K664*IFERROR(INDEX('[1]salary allocation-v2'!$E$6:$J$22,MATCH($H664,'[1]salary allocation-v2'!$D$6:$D$22,0),MATCH(Z$3,'[1]salary allocation-v2'!$E$3:$J$3,0)),0)</f>
        <v>0</v>
      </c>
      <c r="AA664" s="15">
        <f>-$K664*IFERROR(INDEX('[1]salary allocation-v2'!$E$6:$J$22,MATCH($H664,'[1]salary allocation-v2'!$D$6:$D$22,0),MATCH(AA$3,'[1]salary allocation-v2'!$E$3:$J$3,0)),0)</f>
        <v>0</v>
      </c>
      <c r="AB664" s="15">
        <f>-$K664*IFERROR(INDEX('[1]salary allocation-v2'!$E$6:$J$22,MATCH($H664,'[1]salary allocation-v2'!$D$6:$D$22,0),MATCH(AB$3,'[1]salary allocation-v2'!$E$3:$J$3,0)),0)</f>
        <v>0</v>
      </c>
      <c r="AC664" s="18">
        <f>-$K664*IFERROR(INDEX('[1]salary allocation-v2'!$E$6:$J$22,MATCH($H664,'[1]salary allocation-v2'!$D$6:$D$22,0),MATCH(AC$3,'[1]salary allocation-v2'!$E$3:$J$3,0)),0)</f>
        <v>0</v>
      </c>
      <c r="AD664" s="17"/>
      <c r="AE664" s="16"/>
      <c r="AF664" s="15"/>
      <c r="AG664" s="15">
        <f>-K664</f>
        <v>1390947</v>
      </c>
      <c r="AH664" s="2">
        <f>K664+SUM(O664:AC664)</f>
        <v>0</v>
      </c>
      <c r="AI664" s="2">
        <f>K664+SUM(AF664:AG664)</f>
        <v>0</v>
      </c>
    </row>
    <row r="665" spans="1:35" x14ac:dyDescent="0.2">
      <c r="A665" s="23" t="s">
        <v>61</v>
      </c>
      <c r="B665" s="22" t="s">
        <v>184</v>
      </c>
      <c r="H665" s="11" t="s">
        <v>47</v>
      </c>
      <c r="I665" s="11" t="s">
        <v>223</v>
      </c>
      <c r="K665" s="13">
        <v>-4582631</v>
      </c>
      <c r="L665" s="12">
        <v>102025</v>
      </c>
      <c r="M665" s="11" t="str">
        <f>LEFT(I665,(LEN(LEFT(I665,FIND(";",I665)))-8))</f>
        <v>VNHBC</v>
      </c>
      <c r="N665" s="11"/>
      <c r="O665" s="15">
        <f>-$K665*IFERROR(INDEX('[1]salary allocation-v2'!$E$6:$J$22,MATCH($H665,'[1]salary allocation-v2'!$D$6:$D$22,0),MATCH(O$3,'[1]salary allocation-v2'!$E$3:$J$3,0)),0)</f>
        <v>0</v>
      </c>
      <c r="P665" s="15">
        <f>-$K665*IFERROR(INDEX('[1]salary allocation-v2'!$E$6:$J$22,MATCH($H665,'[1]salary allocation-v2'!$D$6:$D$22,0),MATCH(P$3,'[1]salary allocation-v2'!$E$3:$J$3,0)),0)</f>
        <v>0</v>
      </c>
      <c r="Q665" s="15">
        <f>-$K665*IFERROR(INDEX('[1]salary allocation-v2'!$E$6:$J$22,MATCH($H665,'[1]salary allocation-v2'!$D$6:$D$22,0),MATCH(Q$3,'[1]salary allocation-v2'!$E$3:$J$3,0)),0)</f>
        <v>0</v>
      </c>
      <c r="R665" s="15">
        <f>-$K665*IFERROR(INDEX('[1]salary allocation-v2'!$E$6:$J$22,MATCH($H665,'[1]salary allocation-v2'!$D$6:$D$22,0),MATCH(R$3,'[1]salary allocation-v2'!$E$3:$J$3,0)),0)</f>
        <v>0</v>
      </c>
      <c r="S665" s="15">
        <f>-$K665*IFERROR(INDEX('[1]salary allocation-v2'!$E$6:$J$22,MATCH($H665,'[1]salary allocation-v2'!$D$6:$D$22,0),MATCH(S$3,'[1]salary allocation-v2'!$E$3:$J$3,0)),0)</f>
        <v>916526.20000000007</v>
      </c>
      <c r="T665" s="15">
        <f>-$K665*IFERROR(INDEX('[1]salary allocation-v2'!$E$6:$J$22,MATCH($H665,'[1]salary allocation-v2'!$D$6:$D$22,0),MATCH(T$3,'[1]salary allocation-v2'!$E$3:$J$3,0)),0)</f>
        <v>916526.20000000007</v>
      </c>
      <c r="U665" s="15">
        <f>-$K665*IFERROR(INDEX('[1]salary allocation-v2'!$E$6:$J$22,MATCH($H665,'[1]salary allocation-v2'!$D$6:$D$22,0),MATCH(U$3,'[1]salary allocation-v2'!$E$3:$J$3,0)),0)</f>
        <v>916526.20000000007</v>
      </c>
      <c r="V665" s="15">
        <f>-$K665*IFERROR(INDEX('[1]salary allocation-v2'!$E$6:$J$22,MATCH($H665,'[1]salary allocation-v2'!$D$6:$D$22,0),MATCH(V$3,'[1]salary allocation-v2'!$E$3:$J$3,0)),0)</f>
        <v>0</v>
      </c>
      <c r="W665" s="15">
        <f>-$K665*IFERROR(INDEX('[1]salary allocation-v2'!$E$6:$J$22,MATCH($H665,'[1]salary allocation-v2'!$D$6:$D$22,0),MATCH(W$3,'[1]salary allocation-v2'!$E$3:$J$3,0)),0)</f>
        <v>1833052.4000000001</v>
      </c>
      <c r="X665" s="15">
        <f>-$K665*IFERROR(INDEX('[1]salary allocation-v2'!$E$6:$J$22,MATCH($H665,'[1]salary allocation-v2'!$D$6:$D$22,0),MATCH(X$3,'[1]salary allocation-v2'!$E$3:$J$3,0)),0)</f>
        <v>0</v>
      </c>
      <c r="Y665" s="15">
        <f>-$K665*IFERROR(INDEX('[1]salary allocation-v2'!$E$6:$J$22,MATCH($H665,'[1]salary allocation-v2'!$D$6:$D$22,0),MATCH(Y$3,'[1]salary allocation-v2'!$E$3:$J$3,0)),0)</f>
        <v>0</v>
      </c>
      <c r="Z665" s="15">
        <f>-$K665*IFERROR(INDEX('[1]salary allocation-v2'!$E$6:$J$22,MATCH($H665,'[1]salary allocation-v2'!$D$6:$D$22,0),MATCH(Z$3,'[1]salary allocation-v2'!$E$3:$J$3,0)),0)</f>
        <v>0</v>
      </c>
      <c r="AA665" s="15">
        <f>-$K665*IFERROR(INDEX('[1]salary allocation-v2'!$E$6:$J$22,MATCH($H665,'[1]salary allocation-v2'!$D$6:$D$22,0),MATCH(AA$3,'[1]salary allocation-v2'!$E$3:$J$3,0)),0)</f>
        <v>0</v>
      </c>
      <c r="AB665" s="15">
        <f>-$K665*IFERROR(INDEX('[1]salary allocation-v2'!$E$6:$J$22,MATCH($H665,'[1]salary allocation-v2'!$D$6:$D$22,0),MATCH(AB$3,'[1]salary allocation-v2'!$E$3:$J$3,0)),0)</f>
        <v>0</v>
      </c>
      <c r="AC665" s="18">
        <f>-$K665*IFERROR(INDEX('[1]salary allocation-v2'!$E$6:$J$22,MATCH($H665,'[1]salary allocation-v2'!$D$6:$D$22,0),MATCH(AC$3,'[1]salary allocation-v2'!$E$3:$J$3,0)),0)</f>
        <v>0</v>
      </c>
      <c r="AD665" s="17"/>
      <c r="AE665" s="16"/>
      <c r="AF665" s="15">
        <f>-$K665</f>
        <v>4582631</v>
      </c>
      <c r="AG665" s="15"/>
      <c r="AH665" s="2">
        <f>K665+SUM(O665:AC665)</f>
        <v>0</v>
      </c>
      <c r="AI665" s="2">
        <f>K665+SUM(AF665:AG665)</f>
        <v>0</v>
      </c>
    </row>
    <row r="666" spans="1:35" x14ac:dyDescent="0.2">
      <c r="A666" s="23" t="s">
        <v>61</v>
      </c>
      <c r="B666" s="22" t="s">
        <v>184</v>
      </c>
      <c r="H666" s="11" t="s">
        <v>173</v>
      </c>
      <c r="I666" s="11" t="s">
        <v>222</v>
      </c>
      <c r="K666" s="13">
        <v>0</v>
      </c>
      <c r="L666" s="12">
        <v>102025</v>
      </c>
      <c r="M666" s="11" t="str">
        <f>LEFT(I666,(LEN(LEFT(I666,FIND(";",I666)))-8))</f>
        <v>VNELC</v>
      </c>
      <c r="N666" s="11"/>
      <c r="O666" s="15">
        <f>-$K666*IFERROR(INDEX('[1]salary allocation-v2'!$E$6:$J$22,MATCH($H666,'[1]salary allocation-v2'!$D$6:$D$22,0),MATCH(O$3,'[1]salary allocation-v2'!$E$3:$J$3,0)),0)</f>
        <v>0</v>
      </c>
      <c r="P666" s="15">
        <f>-$K666*IFERROR(INDEX('[1]salary allocation-v2'!$E$6:$J$22,MATCH($H666,'[1]salary allocation-v2'!$D$6:$D$22,0),MATCH(P$3,'[1]salary allocation-v2'!$E$3:$J$3,0)),0)</f>
        <v>0</v>
      </c>
      <c r="Q666" s="15">
        <f>-$K666*IFERROR(INDEX('[1]salary allocation-v2'!$E$6:$J$22,MATCH($H666,'[1]salary allocation-v2'!$D$6:$D$22,0),MATCH(Q$3,'[1]salary allocation-v2'!$E$3:$J$3,0)),0)</f>
        <v>0</v>
      </c>
      <c r="R666" s="15">
        <f>-$K666*IFERROR(INDEX('[1]salary allocation-v2'!$E$6:$J$22,MATCH($H666,'[1]salary allocation-v2'!$D$6:$D$22,0),MATCH(R$3,'[1]salary allocation-v2'!$E$3:$J$3,0)),0)</f>
        <v>0</v>
      </c>
      <c r="S666" s="15">
        <f>-$K666*IFERROR(INDEX('[1]salary allocation-v2'!$E$6:$J$22,MATCH($H666,'[1]salary allocation-v2'!$D$6:$D$22,0),MATCH(S$3,'[1]salary allocation-v2'!$E$3:$J$3,0)),0)</f>
        <v>0</v>
      </c>
      <c r="T666" s="15">
        <f>-$K666*IFERROR(INDEX('[1]salary allocation-v2'!$E$6:$J$22,MATCH($H666,'[1]salary allocation-v2'!$D$6:$D$22,0),MATCH(T$3,'[1]salary allocation-v2'!$E$3:$J$3,0)),0)</f>
        <v>0</v>
      </c>
      <c r="U666" s="15">
        <f>-$K666*IFERROR(INDEX('[1]salary allocation-v2'!$E$6:$J$22,MATCH($H666,'[1]salary allocation-v2'!$D$6:$D$22,0),MATCH(U$3,'[1]salary allocation-v2'!$E$3:$J$3,0)),0)</f>
        <v>0</v>
      </c>
      <c r="V666" s="15">
        <f>-$K666*IFERROR(INDEX('[1]salary allocation-v2'!$E$6:$J$22,MATCH($H666,'[1]salary allocation-v2'!$D$6:$D$22,0),MATCH(V$3,'[1]salary allocation-v2'!$E$3:$J$3,0)),0)</f>
        <v>0</v>
      </c>
      <c r="W666" s="15">
        <f>-$K666*IFERROR(INDEX('[1]salary allocation-v2'!$E$6:$J$22,MATCH($H666,'[1]salary allocation-v2'!$D$6:$D$22,0),MATCH(W$3,'[1]salary allocation-v2'!$E$3:$J$3,0)),0)</f>
        <v>0</v>
      </c>
      <c r="X666" s="15">
        <f>-$K666*IFERROR(INDEX('[1]salary allocation-v2'!$E$6:$J$22,MATCH($H666,'[1]salary allocation-v2'!$D$6:$D$22,0),MATCH(X$3,'[1]salary allocation-v2'!$E$3:$J$3,0)),0)</f>
        <v>0</v>
      </c>
      <c r="Y666" s="15">
        <f>-$K666*IFERROR(INDEX('[1]salary allocation-v2'!$E$6:$J$22,MATCH($H666,'[1]salary allocation-v2'!$D$6:$D$22,0),MATCH(Y$3,'[1]salary allocation-v2'!$E$3:$J$3,0)),0)</f>
        <v>0</v>
      </c>
      <c r="Z666" s="15">
        <f>-$K666*IFERROR(INDEX('[1]salary allocation-v2'!$E$6:$J$22,MATCH($H666,'[1]salary allocation-v2'!$D$6:$D$22,0),MATCH(Z$3,'[1]salary allocation-v2'!$E$3:$J$3,0)),0)</f>
        <v>0</v>
      </c>
      <c r="AA666" s="15">
        <f>-$K666*IFERROR(INDEX('[1]salary allocation-v2'!$E$6:$J$22,MATCH($H666,'[1]salary allocation-v2'!$D$6:$D$22,0),MATCH(AA$3,'[1]salary allocation-v2'!$E$3:$J$3,0)),0)</f>
        <v>0</v>
      </c>
      <c r="AB666" s="15">
        <f>-$K666*IFERROR(INDEX('[1]salary allocation-v2'!$E$6:$J$22,MATCH($H666,'[1]salary allocation-v2'!$D$6:$D$22,0),MATCH(AB$3,'[1]salary allocation-v2'!$E$3:$J$3,0)),0)</f>
        <v>0</v>
      </c>
      <c r="AC666" s="18">
        <f>-$K666*IFERROR(INDEX('[1]salary allocation-v2'!$E$6:$J$22,MATCH($H666,'[1]salary allocation-v2'!$D$6:$D$22,0),MATCH(AC$3,'[1]salary allocation-v2'!$E$3:$J$3,0)),0)</f>
        <v>0</v>
      </c>
      <c r="AD666" s="17"/>
      <c r="AE666" s="16"/>
      <c r="AF666" s="15"/>
      <c r="AG666" s="15">
        <f>-$K666</f>
        <v>0</v>
      </c>
      <c r="AH666" s="2">
        <f>K666+SUM(O666:AC666)</f>
        <v>0</v>
      </c>
      <c r="AI666" s="2">
        <f>K666+SUM(AF666:AG666)</f>
        <v>0</v>
      </c>
    </row>
    <row r="667" spans="1:35" x14ac:dyDescent="0.2">
      <c r="A667" s="23" t="s">
        <v>61</v>
      </c>
      <c r="B667" s="22" t="s">
        <v>184</v>
      </c>
      <c r="H667" s="11" t="s">
        <v>45</v>
      </c>
      <c r="I667" s="11" t="s">
        <v>221</v>
      </c>
      <c r="K667" s="13">
        <v>-140866</v>
      </c>
      <c r="L667" s="12">
        <v>102025</v>
      </c>
      <c r="M667" s="11" t="str">
        <f>LEFT(I667,(LEN(LEFT(I667,FIND(";",I667)))-9))</f>
        <v>VNHBC</v>
      </c>
      <c r="N667" s="11"/>
      <c r="O667" s="15">
        <f>-$K667*IFERROR(INDEX('[1]salary allocation-v2'!$E$6:$J$22,MATCH($H667,'[1]salary allocation-v2'!$D$6:$D$22,0),MATCH(O$3,'[1]salary allocation-v2'!$E$3:$J$3,0)),0)</f>
        <v>0</v>
      </c>
      <c r="P667" s="15">
        <f>-$K667*IFERROR(INDEX('[1]salary allocation-v2'!$E$6:$J$22,MATCH($H667,'[1]salary allocation-v2'!$D$6:$D$22,0),MATCH(P$3,'[1]salary allocation-v2'!$E$3:$J$3,0)),0)</f>
        <v>0</v>
      </c>
      <c r="Q667" s="15">
        <f>-$K667*IFERROR(INDEX('[1]salary allocation-v2'!$E$6:$J$22,MATCH($H667,'[1]salary allocation-v2'!$D$6:$D$22,0),MATCH(Q$3,'[1]salary allocation-v2'!$E$3:$J$3,0)),0)</f>
        <v>0</v>
      </c>
      <c r="R667" s="15">
        <f>-$K667*IFERROR(INDEX('[1]salary allocation-v2'!$E$6:$J$22,MATCH($H667,'[1]salary allocation-v2'!$D$6:$D$22,0),MATCH(R$3,'[1]salary allocation-v2'!$E$3:$J$3,0)),0)</f>
        <v>0</v>
      </c>
      <c r="S667" s="15">
        <f>-$K667*IFERROR(INDEX('[1]salary allocation-v2'!$E$6:$J$22,MATCH($H667,'[1]salary allocation-v2'!$D$6:$D$22,0),MATCH(S$3,'[1]salary allocation-v2'!$E$3:$J$3,0)),0)</f>
        <v>28173.200000000001</v>
      </c>
      <c r="T667" s="15">
        <f>-$K667*IFERROR(INDEX('[1]salary allocation-v2'!$E$6:$J$22,MATCH($H667,'[1]salary allocation-v2'!$D$6:$D$22,0),MATCH(T$3,'[1]salary allocation-v2'!$E$3:$J$3,0)),0)</f>
        <v>28173.200000000001</v>
      </c>
      <c r="U667" s="15">
        <f>-$K667*IFERROR(INDEX('[1]salary allocation-v2'!$E$6:$J$22,MATCH($H667,'[1]salary allocation-v2'!$D$6:$D$22,0),MATCH(U$3,'[1]salary allocation-v2'!$E$3:$J$3,0)),0)</f>
        <v>28173.200000000001</v>
      </c>
      <c r="V667" s="15">
        <f>-$K667*IFERROR(INDEX('[1]salary allocation-v2'!$E$6:$J$22,MATCH($H667,'[1]salary allocation-v2'!$D$6:$D$22,0),MATCH(V$3,'[1]salary allocation-v2'!$E$3:$J$3,0)),0)</f>
        <v>0</v>
      </c>
      <c r="W667" s="15">
        <f>-$K667*IFERROR(INDEX('[1]salary allocation-v2'!$E$6:$J$22,MATCH($H667,'[1]salary allocation-v2'!$D$6:$D$22,0),MATCH(W$3,'[1]salary allocation-v2'!$E$3:$J$3,0)),0)</f>
        <v>56346.400000000001</v>
      </c>
      <c r="X667" s="15">
        <f>-$K667*IFERROR(INDEX('[1]salary allocation-v2'!$E$6:$J$22,MATCH($H667,'[1]salary allocation-v2'!$D$6:$D$22,0),MATCH(X$3,'[1]salary allocation-v2'!$E$3:$J$3,0)),0)</f>
        <v>0</v>
      </c>
      <c r="Y667" s="15">
        <f>-$K667*IFERROR(INDEX('[1]salary allocation-v2'!$E$6:$J$22,MATCH($H667,'[1]salary allocation-v2'!$D$6:$D$22,0),MATCH(Y$3,'[1]salary allocation-v2'!$E$3:$J$3,0)),0)</f>
        <v>0</v>
      </c>
      <c r="Z667" s="15">
        <f>-$K667*IFERROR(INDEX('[1]salary allocation-v2'!$E$6:$J$22,MATCH($H667,'[1]salary allocation-v2'!$D$6:$D$22,0),MATCH(Z$3,'[1]salary allocation-v2'!$E$3:$J$3,0)),0)</f>
        <v>0</v>
      </c>
      <c r="AA667" s="15">
        <f>-$K667*IFERROR(INDEX('[1]salary allocation-v2'!$E$6:$J$22,MATCH($H667,'[1]salary allocation-v2'!$D$6:$D$22,0),MATCH(AA$3,'[1]salary allocation-v2'!$E$3:$J$3,0)),0)</f>
        <v>0</v>
      </c>
      <c r="AB667" s="15">
        <f>-$K667*IFERROR(INDEX('[1]salary allocation-v2'!$E$6:$J$22,MATCH($H667,'[1]salary allocation-v2'!$D$6:$D$22,0),MATCH(AB$3,'[1]salary allocation-v2'!$E$3:$J$3,0)),0)</f>
        <v>0</v>
      </c>
      <c r="AC667" s="18">
        <f>-$K667*IFERROR(INDEX('[1]salary allocation-v2'!$E$6:$J$22,MATCH($H667,'[1]salary allocation-v2'!$D$6:$D$22,0),MATCH(AC$3,'[1]salary allocation-v2'!$E$3:$J$3,0)),0)</f>
        <v>0</v>
      </c>
      <c r="AD667" s="17"/>
      <c r="AE667" s="16"/>
      <c r="AF667" s="15"/>
      <c r="AG667" s="15">
        <f>-K667</f>
        <v>140866</v>
      </c>
      <c r="AH667" s="2">
        <f>K667+SUM(O667:AC667)</f>
        <v>0</v>
      </c>
      <c r="AI667" s="2">
        <f>K667+SUM(AF667:AG667)</f>
        <v>0</v>
      </c>
    </row>
    <row r="668" spans="1:35" x14ac:dyDescent="0.2">
      <c r="A668" s="23" t="s">
        <v>61</v>
      </c>
      <c r="B668" s="22" t="s">
        <v>184</v>
      </c>
      <c r="H668" s="11" t="s">
        <v>43</v>
      </c>
      <c r="I668" s="11" t="s">
        <v>220</v>
      </c>
      <c r="K668" s="13">
        <v>-5339133</v>
      </c>
      <c r="L668" s="12">
        <v>102025</v>
      </c>
      <c r="M668" s="11" t="str">
        <f>LEFT(I668,(LEN(LEFT(I668,FIND(";",I668)))-8))</f>
        <v>VNMOET</v>
      </c>
      <c r="N668" s="11"/>
      <c r="O668" s="15">
        <f>-$K668*IFERROR(INDEX('[1]salary allocation-v2'!$E$6:$J$22,MATCH($H668,'[1]salary allocation-v2'!$D$6:$D$22,0),MATCH(O$3,'[1]salary allocation-v2'!$E$3:$J$3,0)),0)</f>
        <v>0</v>
      </c>
      <c r="P668" s="15">
        <f>-$K668*IFERROR(INDEX('[1]salary allocation-v2'!$E$6:$J$22,MATCH($H668,'[1]salary allocation-v2'!$D$6:$D$22,0),MATCH(P$3,'[1]salary allocation-v2'!$E$3:$J$3,0)),0)</f>
        <v>0</v>
      </c>
      <c r="Q668" s="15">
        <f>-$K668*IFERROR(INDEX('[1]salary allocation-v2'!$E$6:$J$22,MATCH($H668,'[1]salary allocation-v2'!$D$6:$D$22,0),MATCH(Q$3,'[1]salary allocation-v2'!$E$3:$J$3,0)),0)</f>
        <v>0</v>
      </c>
      <c r="R668" s="15">
        <f>-$K668*IFERROR(INDEX('[1]salary allocation-v2'!$E$6:$J$22,MATCH($H668,'[1]salary allocation-v2'!$D$6:$D$22,0),MATCH(R$3,'[1]salary allocation-v2'!$E$3:$J$3,0)),0)</f>
        <v>0</v>
      </c>
      <c r="S668" s="15">
        <f>-$K668*IFERROR(INDEX('[1]salary allocation-v2'!$E$6:$J$22,MATCH($H668,'[1]salary allocation-v2'!$D$6:$D$22,0),MATCH(S$3,'[1]salary allocation-v2'!$E$3:$J$3,0)),0)</f>
        <v>1067826.6000000001</v>
      </c>
      <c r="T668" s="15">
        <f>-$K668*IFERROR(INDEX('[1]salary allocation-v2'!$E$6:$J$22,MATCH($H668,'[1]salary allocation-v2'!$D$6:$D$22,0),MATCH(T$3,'[1]salary allocation-v2'!$E$3:$J$3,0)),0)</f>
        <v>1067826.6000000001</v>
      </c>
      <c r="U668" s="15">
        <f>-$K668*IFERROR(INDEX('[1]salary allocation-v2'!$E$6:$J$22,MATCH($H668,'[1]salary allocation-v2'!$D$6:$D$22,0),MATCH(U$3,'[1]salary allocation-v2'!$E$3:$J$3,0)),0)</f>
        <v>1067826.6000000001</v>
      </c>
      <c r="V668" s="15">
        <f>-$K668*IFERROR(INDEX('[1]salary allocation-v2'!$E$6:$J$22,MATCH($H668,'[1]salary allocation-v2'!$D$6:$D$22,0),MATCH(V$3,'[1]salary allocation-v2'!$E$3:$J$3,0)),0)</f>
        <v>0</v>
      </c>
      <c r="W668" s="15">
        <f>-$K668*IFERROR(INDEX('[1]salary allocation-v2'!$E$6:$J$22,MATCH($H668,'[1]salary allocation-v2'!$D$6:$D$22,0),MATCH(W$3,'[1]salary allocation-v2'!$E$3:$J$3,0)),0)</f>
        <v>2135653.2000000002</v>
      </c>
      <c r="X668" s="15">
        <f>-$K668*IFERROR(INDEX('[1]salary allocation-v2'!$E$6:$J$22,MATCH($H668,'[1]salary allocation-v2'!$D$6:$D$22,0),MATCH(X$3,'[1]salary allocation-v2'!$E$3:$J$3,0)),0)</f>
        <v>0</v>
      </c>
      <c r="Y668" s="15">
        <f>-$K668*IFERROR(INDEX('[1]salary allocation-v2'!$E$6:$J$22,MATCH($H668,'[1]salary allocation-v2'!$D$6:$D$22,0),MATCH(Y$3,'[1]salary allocation-v2'!$E$3:$J$3,0)),0)</f>
        <v>0</v>
      </c>
      <c r="Z668" s="15">
        <f>-$K668*IFERROR(INDEX('[1]salary allocation-v2'!$E$6:$J$22,MATCH($H668,'[1]salary allocation-v2'!$D$6:$D$22,0),MATCH(Z$3,'[1]salary allocation-v2'!$E$3:$J$3,0)),0)</f>
        <v>0</v>
      </c>
      <c r="AA668" s="15">
        <f>-$K668*IFERROR(INDEX('[1]salary allocation-v2'!$E$6:$J$22,MATCH($H668,'[1]salary allocation-v2'!$D$6:$D$22,0),MATCH(AA$3,'[1]salary allocation-v2'!$E$3:$J$3,0)),0)</f>
        <v>0</v>
      </c>
      <c r="AB668" s="15">
        <f>-$K668*IFERROR(INDEX('[1]salary allocation-v2'!$E$6:$J$22,MATCH($H668,'[1]salary allocation-v2'!$D$6:$D$22,0),MATCH(AB$3,'[1]salary allocation-v2'!$E$3:$J$3,0)),0)</f>
        <v>0</v>
      </c>
      <c r="AC668" s="18">
        <f>-$K668*IFERROR(INDEX('[1]salary allocation-v2'!$E$6:$J$22,MATCH($H668,'[1]salary allocation-v2'!$D$6:$D$22,0),MATCH(AC$3,'[1]salary allocation-v2'!$E$3:$J$3,0)),0)</f>
        <v>0</v>
      </c>
      <c r="AD668" s="17"/>
      <c r="AE668" s="16"/>
      <c r="AF668" s="15">
        <f>-$K668</f>
        <v>5339133</v>
      </c>
      <c r="AG668" s="15"/>
      <c r="AH668" s="2">
        <f>K668+SUM(O668:AC668)</f>
        <v>0</v>
      </c>
      <c r="AI668" s="2">
        <f>K668+SUM(AF668:AG668)</f>
        <v>0</v>
      </c>
    </row>
    <row r="669" spans="1:35" x14ac:dyDescent="0.2">
      <c r="A669" s="23" t="s">
        <v>61</v>
      </c>
      <c r="B669" s="22" t="s">
        <v>184</v>
      </c>
      <c r="H669" s="11" t="s">
        <v>41</v>
      </c>
      <c r="I669" s="11" t="s">
        <v>219</v>
      </c>
      <c r="K669" s="13">
        <v>-4679281</v>
      </c>
      <c r="L669" s="12">
        <v>102025</v>
      </c>
      <c r="M669" s="11" t="str">
        <f>LEFT(I669,(LEN(LEFT(I669,FIND(";",I669)))-8))</f>
        <v>VNMOET</v>
      </c>
      <c r="N669" s="11"/>
      <c r="O669" s="15">
        <f>-$K669*IFERROR(INDEX('[1]salary allocation-v2'!$E$6:$J$22,MATCH($H669,'[1]salary allocation-v2'!$D$6:$D$22,0),MATCH(O$3,'[1]salary allocation-v2'!$E$3:$J$3,0)),0)</f>
        <v>0</v>
      </c>
      <c r="P669" s="15">
        <f>-$K669*IFERROR(INDEX('[1]salary allocation-v2'!$E$6:$J$22,MATCH($H669,'[1]salary allocation-v2'!$D$6:$D$22,0),MATCH(P$3,'[1]salary allocation-v2'!$E$3:$J$3,0)),0)</f>
        <v>0</v>
      </c>
      <c r="Q669" s="15">
        <f>-$K669*IFERROR(INDEX('[1]salary allocation-v2'!$E$6:$J$22,MATCH($H669,'[1]salary allocation-v2'!$D$6:$D$22,0),MATCH(Q$3,'[1]salary allocation-v2'!$E$3:$J$3,0)),0)</f>
        <v>0</v>
      </c>
      <c r="R669" s="15">
        <f>-$K669*IFERROR(INDEX('[1]salary allocation-v2'!$E$6:$J$22,MATCH($H669,'[1]salary allocation-v2'!$D$6:$D$22,0),MATCH(R$3,'[1]salary allocation-v2'!$E$3:$J$3,0)),0)</f>
        <v>0</v>
      </c>
      <c r="S669" s="15">
        <f>-$K669*IFERROR(INDEX('[1]salary allocation-v2'!$E$6:$J$22,MATCH($H669,'[1]salary allocation-v2'!$D$6:$D$22,0),MATCH(S$3,'[1]salary allocation-v2'!$E$3:$J$3,0)),0)</f>
        <v>0</v>
      </c>
      <c r="T669" s="15">
        <f>-$K669*IFERROR(INDEX('[1]salary allocation-v2'!$E$6:$J$22,MATCH($H669,'[1]salary allocation-v2'!$D$6:$D$22,0),MATCH(T$3,'[1]salary allocation-v2'!$E$3:$J$3,0)),0)</f>
        <v>0</v>
      </c>
      <c r="U669" s="15">
        <f>-$K669*IFERROR(INDEX('[1]salary allocation-v2'!$E$6:$J$22,MATCH($H669,'[1]salary allocation-v2'!$D$6:$D$22,0),MATCH(U$3,'[1]salary allocation-v2'!$E$3:$J$3,0)),0)</f>
        <v>0</v>
      </c>
      <c r="V669" s="15">
        <f>-$K669*IFERROR(INDEX('[1]salary allocation-v2'!$E$6:$J$22,MATCH($H669,'[1]salary allocation-v2'!$D$6:$D$22,0),MATCH(V$3,'[1]salary allocation-v2'!$E$3:$J$3,0)),0)</f>
        <v>0</v>
      </c>
      <c r="W669" s="15">
        <f>-$K669*IFERROR(INDEX('[1]salary allocation-v2'!$E$6:$J$22,MATCH($H669,'[1]salary allocation-v2'!$D$6:$D$22,0),MATCH(W$3,'[1]salary allocation-v2'!$E$3:$J$3,0)),0)</f>
        <v>4679281</v>
      </c>
      <c r="X669" s="15">
        <f>-$K669*IFERROR(INDEX('[1]salary allocation-v2'!$E$6:$J$22,MATCH($H669,'[1]salary allocation-v2'!$D$6:$D$22,0),MATCH(X$3,'[1]salary allocation-v2'!$E$3:$J$3,0)),0)</f>
        <v>0</v>
      </c>
      <c r="Y669" s="15">
        <f>-$K669*IFERROR(INDEX('[1]salary allocation-v2'!$E$6:$J$22,MATCH($H669,'[1]salary allocation-v2'!$D$6:$D$22,0),MATCH(Y$3,'[1]salary allocation-v2'!$E$3:$J$3,0)),0)</f>
        <v>0</v>
      </c>
      <c r="Z669" s="15">
        <f>-$K669*IFERROR(INDEX('[1]salary allocation-v2'!$E$6:$J$22,MATCH($H669,'[1]salary allocation-v2'!$D$6:$D$22,0),MATCH(Z$3,'[1]salary allocation-v2'!$E$3:$J$3,0)),0)</f>
        <v>0</v>
      </c>
      <c r="AA669" s="15">
        <f>-$K669*IFERROR(INDEX('[1]salary allocation-v2'!$E$6:$J$22,MATCH($H669,'[1]salary allocation-v2'!$D$6:$D$22,0),MATCH(AA$3,'[1]salary allocation-v2'!$E$3:$J$3,0)),0)</f>
        <v>0</v>
      </c>
      <c r="AB669" s="15">
        <f>-$K669*IFERROR(INDEX('[1]salary allocation-v2'!$E$6:$J$22,MATCH($H669,'[1]salary allocation-v2'!$D$6:$D$22,0),MATCH(AB$3,'[1]salary allocation-v2'!$E$3:$J$3,0)),0)</f>
        <v>0</v>
      </c>
      <c r="AC669" s="18">
        <f>-$K669*IFERROR(INDEX('[1]salary allocation-v2'!$E$6:$J$22,MATCH($H669,'[1]salary allocation-v2'!$D$6:$D$22,0),MATCH(AC$3,'[1]salary allocation-v2'!$E$3:$J$3,0)),0)</f>
        <v>0</v>
      </c>
      <c r="AD669" s="17"/>
      <c r="AE669" s="16"/>
      <c r="AF669" s="15">
        <f>-$K669</f>
        <v>4679281</v>
      </c>
      <c r="AG669" s="15"/>
      <c r="AH669" s="2">
        <f>K669+SUM(O669:AC669)</f>
        <v>0</v>
      </c>
      <c r="AI669" s="2">
        <f>K669+SUM(AF669:AG669)</f>
        <v>0</v>
      </c>
    </row>
    <row r="670" spans="1:35" x14ac:dyDescent="0.2">
      <c r="A670" s="23" t="s">
        <v>61</v>
      </c>
      <c r="B670" s="22" t="s">
        <v>184</v>
      </c>
      <c r="H670" s="11" t="s">
        <v>39</v>
      </c>
      <c r="I670" s="11" t="s">
        <v>218</v>
      </c>
      <c r="K670" s="13">
        <v>-5339133</v>
      </c>
      <c r="L670" s="12">
        <v>102025</v>
      </c>
      <c r="M670" s="11" t="str">
        <f>LEFT(I670,(LEN(LEFT(I670,FIND(";",I670)))-8))</f>
        <v>VNMOET</v>
      </c>
      <c r="N670" s="11"/>
      <c r="O670" s="15">
        <f>-$K670*IFERROR(INDEX('[1]salary allocation-v2'!$E$6:$J$22,MATCH($H670,'[1]salary allocation-v2'!$D$6:$D$22,0),MATCH(O$3,'[1]salary allocation-v2'!$E$3:$J$3,0)),0)</f>
        <v>0</v>
      </c>
      <c r="P670" s="15">
        <f>-$K670*IFERROR(INDEX('[1]salary allocation-v2'!$E$6:$J$22,MATCH($H670,'[1]salary allocation-v2'!$D$6:$D$22,0),MATCH(P$3,'[1]salary allocation-v2'!$E$3:$J$3,0)),0)</f>
        <v>0</v>
      </c>
      <c r="Q670" s="15">
        <f>-$K670*IFERROR(INDEX('[1]salary allocation-v2'!$E$6:$J$22,MATCH($H670,'[1]salary allocation-v2'!$D$6:$D$22,0),MATCH(Q$3,'[1]salary allocation-v2'!$E$3:$J$3,0)),0)</f>
        <v>0</v>
      </c>
      <c r="R670" s="15">
        <f>-$K670*IFERROR(INDEX('[1]salary allocation-v2'!$E$6:$J$22,MATCH($H670,'[1]salary allocation-v2'!$D$6:$D$22,0),MATCH(R$3,'[1]salary allocation-v2'!$E$3:$J$3,0)),0)</f>
        <v>0</v>
      </c>
      <c r="S670" s="15">
        <f>-$K670*IFERROR(INDEX('[1]salary allocation-v2'!$E$6:$J$22,MATCH($H670,'[1]salary allocation-v2'!$D$6:$D$22,0),MATCH(S$3,'[1]salary allocation-v2'!$E$3:$J$3,0)),0)</f>
        <v>0</v>
      </c>
      <c r="T670" s="15">
        <f>-$K670*IFERROR(INDEX('[1]salary allocation-v2'!$E$6:$J$22,MATCH($H670,'[1]salary allocation-v2'!$D$6:$D$22,0),MATCH(T$3,'[1]salary allocation-v2'!$E$3:$J$3,0)),0)</f>
        <v>0</v>
      </c>
      <c r="U670" s="15">
        <f>-$K670*IFERROR(INDEX('[1]salary allocation-v2'!$E$6:$J$22,MATCH($H670,'[1]salary allocation-v2'!$D$6:$D$22,0),MATCH(U$3,'[1]salary allocation-v2'!$E$3:$J$3,0)),0)</f>
        <v>0</v>
      </c>
      <c r="V670" s="15">
        <f>-$K670*IFERROR(INDEX('[1]salary allocation-v2'!$E$6:$J$22,MATCH($H670,'[1]salary allocation-v2'!$D$6:$D$22,0),MATCH(V$3,'[1]salary allocation-v2'!$E$3:$J$3,0)),0)</f>
        <v>0</v>
      </c>
      <c r="W670" s="15">
        <f>-$K670*IFERROR(INDEX('[1]salary allocation-v2'!$E$6:$J$22,MATCH($H670,'[1]salary allocation-v2'!$D$6:$D$22,0),MATCH(W$3,'[1]salary allocation-v2'!$E$3:$J$3,0)),0)</f>
        <v>5339133</v>
      </c>
      <c r="X670" s="15">
        <f>-$K670*IFERROR(INDEX('[1]salary allocation-v2'!$E$6:$J$22,MATCH($H670,'[1]salary allocation-v2'!$D$6:$D$22,0),MATCH(X$3,'[1]salary allocation-v2'!$E$3:$J$3,0)),0)</f>
        <v>0</v>
      </c>
      <c r="Y670" s="15">
        <f>-$K670*IFERROR(INDEX('[1]salary allocation-v2'!$E$6:$J$22,MATCH($H670,'[1]salary allocation-v2'!$D$6:$D$22,0),MATCH(Y$3,'[1]salary allocation-v2'!$E$3:$J$3,0)),0)</f>
        <v>0</v>
      </c>
      <c r="Z670" s="15">
        <f>-$K670*IFERROR(INDEX('[1]salary allocation-v2'!$E$6:$J$22,MATCH($H670,'[1]salary allocation-v2'!$D$6:$D$22,0),MATCH(Z$3,'[1]salary allocation-v2'!$E$3:$J$3,0)),0)</f>
        <v>0</v>
      </c>
      <c r="AA670" s="15">
        <f>-$K670*IFERROR(INDEX('[1]salary allocation-v2'!$E$6:$J$22,MATCH($H670,'[1]salary allocation-v2'!$D$6:$D$22,0),MATCH(AA$3,'[1]salary allocation-v2'!$E$3:$J$3,0)),0)</f>
        <v>0</v>
      </c>
      <c r="AB670" s="15">
        <f>-$K670*IFERROR(INDEX('[1]salary allocation-v2'!$E$6:$J$22,MATCH($H670,'[1]salary allocation-v2'!$D$6:$D$22,0),MATCH(AB$3,'[1]salary allocation-v2'!$E$3:$J$3,0)),0)</f>
        <v>0</v>
      </c>
      <c r="AC670" s="18">
        <f>-$K670*IFERROR(INDEX('[1]salary allocation-v2'!$E$6:$J$22,MATCH($H670,'[1]salary allocation-v2'!$D$6:$D$22,0),MATCH(AC$3,'[1]salary allocation-v2'!$E$3:$J$3,0)),0)</f>
        <v>0</v>
      </c>
      <c r="AD670" s="17"/>
      <c r="AE670" s="16"/>
      <c r="AF670" s="15">
        <f>-$K670</f>
        <v>5339133</v>
      </c>
      <c r="AG670" s="15"/>
      <c r="AH670" s="2">
        <f>K670+SUM(O670:AC670)</f>
        <v>0</v>
      </c>
      <c r="AI670" s="2">
        <f>K670+SUM(AF670:AG670)</f>
        <v>0</v>
      </c>
    </row>
    <row r="671" spans="1:35" x14ac:dyDescent="0.2">
      <c r="A671" s="23" t="s">
        <v>61</v>
      </c>
      <c r="B671" s="22" t="s">
        <v>184</v>
      </c>
      <c r="H671" s="11" t="s">
        <v>37</v>
      </c>
      <c r="I671" s="11" t="s">
        <v>217</v>
      </c>
      <c r="K671" s="13">
        <v>-4173169</v>
      </c>
      <c r="L671" s="12">
        <v>102025</v>
      </c>
      <c r="M671" s="11" t="str">
        <f>LEFT(I671,(LEN(LEFT(I671,FIND(";",I671)))-8))</f>
        <v>VNOther</v>
      </c>
      <c r="N671" s="11"/>
      <c r="O671" s="15">
        <f>-$K671*IFERROR(INDEX('[1]salary allocation-v2'!$E$6:$J$22,MATCH($H671,'[1]salary allocation-v2'!$D$6:$D$22,0),MATCH(O$3,'[1]salary allocation-v2'!$E$3:$J$3,0)),0)</f>
        <v>0</v>
      </c>
      <c r="P671" s="15">
        <f>-$K671*IFERROR(INDEX('[1]salary allocation-v2'!$E$6:$J$22,MATCH($H671,'[1]salary allocation-v2'!$D$6:$D$22,0),MATCH(P$3,'[1]salary allocation-v2'!$E$3:$J$3,0)),0)</f>
        <v>0</v>
      </c>
      <c r="Q671" s="15">
        <f>-$K671*IFERROR(INDEX('[1]salary allocation-v2'!$E$6:$J$22,MATCH($H671,'[1]salary allocation-v2'!$D$6:$D$22,0),MATCH(Q$3,'[1]salary allocation-v2'!$E$3:$J$3,0)),0)</f>
        <v>0</v>
      </c>
      <c r="R671" s="15">
        <f>-$K671*IFERROR(INDEX('[1]salary allocation-v2'!$E$6:$J$22,MATCH($H671,'[1]salary allocation-v2'!$D$6:$D$22,0),MATCH(R$3,'[1]salary allocation-v2'!$E$3:$J$3,0)),0)</f>
        <v>0</v>
      </c>
      <c r="S671" s="15">
        <f>-$K671*IFERROR(INDEX('[1]salary allocation-v2'!$E$6:$J$22,MATCH($H671,'[1]salary allocation-v2'!$D$6:$D$22,0),MATCH(S$3,'[1]salary allocation-v2'!$E$3:$J$3,0)),0)</f>
        <v>709438.73</v>
      </c>
      <c r="T671" s="15">
        <f>-$K671*IFERROR(INDEX('[1]salary allocation-v2'!$E$6:$J$22,MATCH($H671,'[1]salary allocation-v2'!$D$6:$D$22,0),MATCH(T$3,'[1]salary allocation-v2'!$E$3:$J$3,0)),0)</f>
        <v>709438.73</v>
      </c>
      <c r="U671" s="15">
        <f>-$K671*IFERROR(INDEX('[1]salary allocation-v2'!$E$6:$J$22,MATCH($H671,'[1]salary allocation-v2'!$D$6:$D$22,0),MATCH(U$3,'[1]salary allocation-v2'!$E$3:$J$3,0)),0)</f>
        <v>709438.73</v>
      </c>
      <c r="V671" s="15">
        <f>-$K671*IFERROR(INDEX('[1]salary allocation-v2'!$E$6:$J$22,MATCH($H671,'[1]salary allocation-v2'!$D$6:$D$22,0),MATCH(V$3,'[1]salary allocation-v2'!$E$3:$J$3,0)),0)</f>
        <v>0</v>
      </c>
      <c r="W671" s="15">
        <f>-$K671*IFERROR(INDEX('[1]salary allocation-v2'!$E$6:$J$22,MATCH($H671,'[1]salary allocation-v2'!$D$6:$D$22,0),MATCH(W$3,'[1]salary allocation-v2'!$E$3:$J$3,0)),0)</f>
        <v>2044852.81</v>
      </c>
      <c r="X671" s="15">
        <f>-$K671*IFERROR(INDEX('[1]salary allocation-v2'!$E$6:$J$22,MATCH($H671,'[1]salary allocation-v2'!$D$6:$D$22,0),MATCH(X$3,'[1]salary allocation-v2'!$E$3:$J$3,0)),0)</f>
        <v>0</v>
      </c>
      <c r="Y671" s="15">
        <f>-$K671*IFERROR(INDEX('[1]salary allocation-v2'!$E$6:$J$22,MATCH($H671,'[1]salary allocation-v2'!$D$6:$D$22,0),MATCH(Y$3,'[1]salary allocation-v2'!$E$3:$J$3,0)),0)</f>
        <v>0</v>
      </c>
      <c r="Z671" s="15">
        <f>-$K671*IFERROR(INDEX('[1]salary allocation-v2'!$E$6:$J$22,MATCH($H671,'[1]salary allocation-v2'!$D$6:$D$22,0),MATCH(Z$3,'[1]salary allocation-v2'!$E$3:$J$3,0)),0)</f>
        <v>0</v>
      </c>
      <c r="AA671" s="15">
        <f>-$K671*IFERROR(INDEX('[1]salary allocation-v2'!$E$6:$J$22,MATCH($H671,'[1]salary allocation-v2'!$D$6:$D$22,0),MATCH(AA$3,'[1]salary allocation-v2'!$E$3:$J$3,0)),0)</f>
        <v>0</v>
      </c>
      <c r="AB671" s="15">
        <f>-$K671*IFERROR(INDEX('[1]salary allocation-v2'!$E$6:$J$22,MATCH($H671,'[1]salary allocation-v2'!$D$6:$D$22,0),MATCH(AB$3,'[1]salary allocation-v2'!$E$3:$J$3,0)),0)</f>
        <v>0</v>
      </c>
      <c r="AC671" s="18">
        <f>-$K671*IFERROR(INDEX('[1]salary allocation-v2'!$E$6:$J$22,MATCH($H671,'[1]salary allocation-v2'!$D$6:$D$22,0),MATCH(AC$3,'[1]salary allocation-v2'!$E$3:$J$3,0)),0)</f>
        <v>0</v>
      </c>
      <c r="AD671" s="17"/>
      <c r="AE671" s="16"/>
      <c r="AF671" s="15">
        <f>-K671</f>
        <v>4173169</v>
      </c>
      <c r="AG671" s="15"/>
      <c r="AH671" s="2">
        <f>K671+SUM(O671:AC671)</f>
        <v>0</v>
      </c>
      <c r="AI671" s="2">
        <f>K671+SUM(AF671:AG671)</f>
        <v>0</v>
      </c>
    </row>
    <row r="672" spans="1:35" x14ac:dyDescent="0.2">
      <c r="A672" s="23" t="s">
        <v>61</v>
      </c>
      <c r="B672" s="22" t="s">
        <v>184</v>
      </c>
      <c r="H672" s="11" t="s">
        <v>35</v>
      </c>
      <c r="I672" s="11" t="s">
        <v>216</v>
      </c>
      <c r="K672" s="13">
        <v>-9483489</v>
      </c>
      <c r="L672" s="12">
        <v>102025</v>
      </c>
      <c r="M672" s="11" t="str">
        <f>LEFT(I672,(LEN(LEFT(I672,FIND(";",I672)))-8))</f>
        <v>VNOther</v>
      </c>
      <c r="N672" s="11"/>
      <c r="O672" s="15">
        <f>-$K672*IFERROR(INDEX('[1]salary allocation-v2'!$E$6:$J$22,MATCH($H672,'[1]salary allocation-v2'!$D$6:$D$22,0),MATCH(O$3,'[1]salary allocation-v2'!$E$3:$J$3,0)),0)</f>
        <v>0</v>
      </c>
      <c r="P672" s="15">
        <f>-$K672*IFERROR(INDEX('[1]salary allocation-v2'!$E$6:$J$22,MATCH($H672,'[1]salary allocation-v2'!$D$6:$D$22,0),MATCH(P$3,'[1]salary allocation-v2'!$E$3:$J$3,0)),0)</f>
        <v>0</v>
      </c>
      <c r="Q672" s="15">
        <f>-$K672*IFERROR(INDEX('[1]salary allocation-v2'!$E$6:$J$22,MATCH($H672,'[1]salary allocation-v2'!$D$6:$D$22,0),MATCH(Q$3,'[1]salary allocation-v2'!$E$3:$J$3,0)),0)</f>
        <v>0</v>
      </c>
      <c r="R672" s="15">
        <f>-$K672*IFERROR(INDEX('[1]salary allocation-v2'!$E$6:$J$22,MATCH($H672,'[1]salary allocation-v2'!$D$6:$D$22,0),MATCH(R$3,'[1]salary allocation-v2'!$E$3:$J$3,0)),0)</f>
        <v>0</v>
      </c>
      <c r="S672" s="15">
        <f>-$K672*IFERROR(INDEX('[1]salary allocation-v2'!$E$6:$J$22,MATCH($H672,'[1]salary allocation-v2'!$D$6:$D$22,0),MATCH(S$3,'[1]salary allocation-v2'!$E$3:$J$3,0)),0)</f>
        <v>1612193.13</v>
      </c>
      <c r="T672" s="15">
        <f>-$K672*IFERROR(INDEX('[1]salary allocation-v2'!$E$6:$J$22,MATCH($H672,'[1]salary allocation-v2'!$D$6:$D$22,0),MATCH(T$3,'[1]salary allocation-v2'!$E$3:$J$3,0)),0)</f>
        <v>1612193.13</v>
      </c>
      <c r="U672" s="15">
        <f>-$K672*IFERROR(INDEX('[1]salary allocation-v2'!$E$6:$J$22,MATCH($H672,'[1]salary allocation-v2'!$D$6:$D$22,0),MATCH(U$3,'[1]salary allocation-v2'!$E$3:$J$3,0)),0)</f>
        <v>1612193.13</v>
      </c>
      <c r="V672" s="15">
        <f>-$K672*IFERROR(INDEX('[1]salary allocation-v2'!$E$6:$J$22,MATCH($H672,'[1]salary allocation-v2'!$D$6:$D$22,0),MATCH(V$3,'[1]salary allocation-v2'!$E$3:$J$3,0)),0)</f>
        <v>0</v>
      </c>
      <c r="W672" s="15">
        <f>-$K672*IFERROR(INDEX('[1]salary allocation-v2'!$E$6:$J$22,MATCH($H672,'[1]salary allocation-v2'!$D$6:$D$22,0),MATCH(W$3,'[1]salary allocation-v2'!$E$3:$J$3,0)),0)</f>
        <v>4646909.6100000003</v>
      </c>
      <c r="X672" s="15">
        <f>-$K672*IFERROR(INDEX('[1]salary allocation-v2'!$E$6:$J$22,MATCH($H672,'[1]salary allocation-v2'!$D$6:$D$22,0),MATCH(X$3,'[1]salary allocation-v2'!$E$3:$J$3,0)),0)</f>
        <v>0</v>
      </c>
      <c r="Y672" s="15">
        <f>-$K672*IFERROR(INDEX('[1]salary allocation-v2'!$E$6:$J$22,MATCH($H672,'[1]salary allocation-v2'!$D$6:$D$22,0),MATCH(Y$3,'[1]salary allocation-v2'!$E$3:$J$3,0)),0)</f>
        <v>0</v>
      </c>
      <c r="Z672" s="15">
        <f>-$K672*IFERROR(INDEX('[1]salary allocation-v2'!$E$6:$J$22,MATCH($H672,'[1]salary allocation-v2'!$D$6:$D$22,0),MATCH(Z$3,'[1]salary allocation-v2'!$E$3:$J$3,0)),0)</f>
        <v>0</v>
      </c>
      <c r="AA672" s="15">
        <f>-$K672*IFERROR(INDEX('[1]salary allocation-v2'!$E$6:$J$22,MATCH($H672,'[1]salary allocation-v2'!$D$6:$D$22,0),MATCH(AA$3,'[1]salary allocation-v2'!$E$3:$J$3,0)),0)</f>
        <v>0</v>
      </c>
      <c r="AB672" s="15">
        <f>-$K672*IFERROR(INDEX('[1]salary allocation-v2'!$E$6:$J$22,MATCH($H672,'[1]salary allocation-v2'!$D$6:$D$22,0),MATCH(AB$3,'[1]salary allocation-v2'!$E$3:$J$3,0)),0)</f>
        <v>0</v>
      </c>
      <c r="AC672" s="18">
        <f>-$K672*IFERROR(INDEX('[1]salary allocation-v2'!$E$6:$J$22,MATCH($H672,'[1]salary allocation-v2'!$D$6:$D$22,0),MATCH(AC$3,'[1]salary allocation-v2'!$E$3:$J$3,0)),0)</f>
        <v>0</v>
      </c>
      <c r="AD672" s="17"/>
      <c r="AE672" s="16"/>
      <c r="AF672" s="15">
        <f>-$K672</f>
        <v>9483489</v>
      </c>
      <c r="AG672" s="15"/>
      <c r="AH672" s="2">
        <f>K672+SUM(O672:AC672)</f>
        <v>0</v>
      </c>
      <c r="AI672" s="2">
        <f>K672+SUM(AF672:AG672)</f>
        <v>0</v>
      </c>
    </row>
    <row r="673" spans="1:35" x14ac:dyDescent="0.2">
      <c r="A673" s="23" t="s">
        <v>61</v>
      </c>
      <c r="B673" s="22" t="s">
        <v>184</v>
      </c>
      <c r="H673" s="11" t="s">
        <v>121</v>
      </c>
      <c r="I673" s="11" t="s">
        <v>215</v>
      </c>
      <c r="K673" s="13">
        <v>-6153</v>
      </c>
      <c r="L673" s="12">
        <v>102025</v>
      </c>
      <c r="M673" s="11" t="str">
        <f>LEFT(I673,(LEN(LEFT(I673,FIND(";",I673)))-8))</f>
        <v>VNLA</v>
      </c>
      <c r="N673" s="11"/>
      <c r="O673" s="2">
        <f>IF($M673=O$3,-$K673,0)</f>
        <v>0</v>
      </c>
      <c r="P673" s="2">
        <f>IF($M673=P$3,-$K673,0)</f>
        <v>0</v>
      </c>
      <c r="Q673" s="2">
        <f>IF($M673=Q$3,-$K673,0)</f>
        <v>0</v>
      </c>
      <c r="R673" s="2">
        <f>IF($M673=R$3,-$K673,0)</f>
        <v>0</v>
      </c>
      <c r="S673" s="2">
        <f>IF($M673=S$3,-$K673,0)</f>
        <v>0</v>
      </c>
      <c r="T673" s="2">
        <f>IF($M673=T$3,-$K673,0)</f>
        <v>0</v>
      </c>
      <c r="U673" s="2">
        <f>IF($M673=U$3,-$K673,0)</f>
        <v>0</v>
      </c>
      <c r="V673" s="2">
        <f>IF($M673=V$3,-$K673,0)</f>
        <v>0</v>
      </c>
      <c r="W673" s="2">
        <f>IF($M673=W$3,-$K673,0)</f>
        <v>0</v>
      </c>
      <c r="X673" s="2">
        <f>IF($M673=X$3,-$K673,0)</f>
        <v>6153</v>
      </c>
      <c r="Y673" s="2">
        <f>IF($M673=Y$3,-$K673,0)</f>
        <v>0</v>
      </c>
      <c r="Z673" s="2">
        <f>IF($M673=Z$3,-$K673,0)</f>
        <v>0</v>
      </c>
      <c r="AA673" s="2">
        <f>IF($M673=AA$3,-$K673,0)</f>
        <v>0</v>
      </c>
      <c r="AB673" s="2">
        <f>IF($M673=AB$3,-$K673,0)</f>
        <v>0</v>
      </c>
      <c r="AC673" s="21">
        <f>IF($M673=AC$3,-$K673,0)</f>
        <v>0</v>
      </c>
      <c r="AD673" s="20"/>
      <c r="AE673" s="19"/>
      <c r="AF673" s="2"/>
      <c r="AG673" s="2">
        <f>-$K673</f>
        <v>6153</v>
      </c>
      <c r="AH673" s="2">
        <f>K673+SUM(O673:AC673)</f>
        <v>0</v>
      </c>
      <c r="AI673" s="2">
        <f>K673+SUM(AF673:AG673)</f>
        <v>0</v>
      </c>
    </row>
    <row r="674" spans="1:35" x14ac:dyDescent="0.2">
      <c r="A674" s="23" t="s">
        <v>61</v>
      </c>
      <c r="B674" s="22" t="s">
        <v>184</v>
      </c>
      <c r="H674" s="11" t="s">
        <v>33</v>
      </c>
      <c r="I674" s="11" t="s">
        <v>214</v>
      </c>
      <c r="K674" s="13">
        <v>-127254</v>
      </c>
      <c r="L674" s="12">
        <v>102025</v>
      </c>
      <c r="M674" s="11" t="str">
        <f>LEFT(I674,(LEN(LEFT(I674,FIND(";",I674)))-8))</f>
        <v>VNDN</v>
      </c>
      <c r="N674" s="11"/>
      <c r="O674" s="2">
        <f>IF($M674=O$3,-$K674,0)</f>
        <v>0</v>
      </c>
      <c r="P674" s="2">
        <f>IF($M674=P$3,-$K674,0)</f>
        <v>0</v>
      </c>
      <c r="Q674" s="2">
        <f>IF($M674=Q$3,-$K674,0)</f>
        <v>0</v>
      </c>
      <c r="R674" s="2">
        <f>IF($M674=R$3,-$K674,0)</f>
        <v>0</v>
      </c>
      <c r="S674" s="2">
        <f>IF($M674=S$3,-$K674,0)</f>
        <v>127254</v>
      </c>
      <c r="T674" s="2">
        <f>IF($M674=T$3,-$K674,0)</f>
        <v>0</v>
      </c>
      <c r="U674" s="2">
        <f>IF($M674=U$3,-$K674,0)</f>
        <v>0</v>
      </c>
      <c r="V674" s="2">
        <f>IF($M674=V$3,-$K674,0)</f>
        <v>0</v>
      </c>
      <c r="W674" s="2">
        <f>IF($M674=W$3,-$K674,0)</f>
        <v>0</v>
      </c>
      <c r="X674" s="2">
        <f>IF($M674=X$3,-$K674,0)</f>
        <v>0</v>
      </c>
      <c r="Y674" s="2">
        <f>IF($M674=Y$3,-$K674,0)</f>
        <v>0</v>
      </c>
      <c r="Z674" s="2">
        <f>IF($M674=Z$3,-$K674,0)</f>
        <v>0</v>
      </c>
      <c r="AA674" s="2">
        <f>IF($M674=AA$3,-$K674,0)</f>
        <v>0</v>
      </c>
      <c r="AB674" s="2">
        <f>IF($M674=AB$3,-$K674,0)</f>
        <v>0</v>
      </c>
      <c r="AC674" s="21">
        <f>IF($M674=AC$3,-$K674,0)</f>
        <v>0</v>
      </c>
      <c r="AD674" s="20"/>
      <c r="AE674" s="19"/>
      <c r="AF674" s="2"/>
      <c r="AG674" s="2">
        <f>-$K674</f>
        <v>127254</v>
      </c>
      <c r="AH674" s="2">
        <f>K674+SUM(O674:AC674)</f>
        <v>0</v>
      </c>
      <c r="AI674" s="2">
        <f>K674+SUM(AF674:AG674)</f>
        <v>0</v>
      </c>
    </row>
    <row r="675" spans="1:35" x14ac:dyDescent="0.2">
      <c r="A675" s="23" t="s">
        <v>61</v>
      </c>
      <c r="B675" s="22" t="s">
        <v>184</v>
      </c>
      <c r="H675" s="11" t="s">
        <v>31</v>
      </c>
      <c r="I675" s="11" t="s">
        <v>213</v>
      </c>
      <c r="K675" s="13">
        <v>0</v>
      </c>
      <c r="L675" s="12">
        <v>102025</v>
      </c>
      <c r="M675" s="11" t="str">
        <f>LEFT(I675,(LEN(LEFT(I675,FIND(";",I675)))-8))</f>
        <v>VNDN</v>
      </c>
      <c r="N675" s="11"/>
      <c r="O675" s="2">
        <f>IF($M675=O$3,-$K675,0)</f>
        <v>0</v>
      </c>
      <c r="P675" s="2">
        <f>IF($M675=P$3,-$K675,0)</f>
        <v>0</v>
      </c>
      <c r="Q675" s="2">
        <f>IF($M675=Q$3,-$K675,0)</f>
        <v>0</v>
      </c>
      <c r="R675" s="2">
        <f>IF($M675=R$3,-$K675,0)</f>
        <v>0</v>
      </c>
      <c r="S675" s="2">
        <f>IF($M675=S$3,-$K675,0)</f>
        <v>0</v>
      </c>
      <c r="T675" s="2">
        <f>IF($M675=T$3,-$K675,0)</f>
        <v>0</v>
      </c>
      <c r="U675" s="2">
        <f>IF($M675=U$3,-$K675,0)</f>
        <v>0</v>
      </c>
      <c r="V675" s="2">
        <f>IF($M675=V$3,-$K675,0)</f>
        <v>0</v>
      </c>
      <c r="W675" s="2">
        <f>IF($M675=W$3,-$K675,0)</f>
        <v>0</v>
      </c>
      <c r="X675" s="2">
        <f>IF($M675=X$3,-$K675,0)</f>
        <v>0</v>
      </c>
      <c r="Y675" s="2">
        <f>IF($M675=Y$3,-$K675,0)</f>
        <v>0</v>
      </c>
      <c r="Z675" s="2">
        <f>IF($M675=Z$3,-$K675,0)</f>
        <v>0</v>
      </c>
      <c r="AA675" s="2">
        <f>IF($M675=AA$3,-$K675,0)</f>
        <v>0</v>
      </c>
      <c r="AB675" s="2">
        <f>IF($M675=AB$3,-$K675,0)</f>
        <v>0</v>
      </c>
      <c r="AC675" s="21">
        <f>IF($M675=AC$3,-$K675,0)</f>
        <v>0</v>
      </c>
      <c r="AD675" s="20"/>
      <c r="AE675" s="19"/>
      <c r="AF675" s="2"/>
      <c r="AG675" s="2">
        <f>-$K675</f>
        <v>0</v>
      </c>
      <c r="AH675" s="2">
        <f>K675+SUM(O675:AC675)</f>
        <v>0</v>
      </c>
      <c r="AI675" s="2">
        <f>K675+SUM(AF675:AG675)</f>
        <v>0</v>
      </c>
    </row>
    <row r="676" spans="1:35" x14ac:dyDescent="0.2">
      <c r="A676" s="23" t="s">
        <v>61</v>
      </c>
      <c r="B676" s="22" t="s">
        <v>184</v>
      </c>
      <c r="H676" s="11" t="s">
        <v>29</v>
      </c>
      <c r="I676" s="11" t="s">
        <v>212</v>
      </c>
      <c r="K676" s="13">
        <v>-63771</v>
      </c>
      <c r="L676" s="12">
        <v>102025</v>
      </c>
      <c r="M676" s="11" t="str">
        <f>LEFT(I676,(LEN(LEFT(I676,FIND(";",I676)))-8))</f>
        <v>VNDN</v>
      </c>
      <c r="N676" s="11"/>
      <c r="O676" s="2">
        <f>IF($M676=O$3,-$K676,0)</f>
        <v>0</v>
      </c>
      <c r="P676" s="2">
        <f>IF($M676=P$3,-$K676,0)</f>
        <v>0</v>
      </c>
      <c r="Q676" s="2">
        <f>IF($M676=Q$3,-$K676,0)</f>
        <v>0</v>
      </c>
      <c r="R676" s="2">
        <f>IF($M676=R$3,-$K676,0)</f>
        <v>0</v>
      </c>
      <c r="S676" s="2">
        <f>IF($M676=S$3,-$K676,0)</f>
        <v>63771</v>
      </c>
      <c r="T676" s="2">
        <f>IF($M676=T$3,-$K676,0)</f>
        <v>0</v>
      </c>
      <c r="U676" s="2">
        <f>IF($M676=U$3,-$K676,0)</f>
        <v>0</v>
      </c>
      <c r="V676" s="2">
        <f>IF($M676=V$3,-$K676,0)</f>
        <v>0</v>
      </c>
      <c r="W676" s="2">
        <f>IF($M676=W$3,-$K676,0)</f>
        <v>0</v>
      </c>
      <c r="X676" s="2">
        <f>IF($M676=X$3,-$K676,0)</f>
        <v>0</v>
      </c>
      <c r="Y676" s="2">
        <f>IF($M676=Y$3,-$K676,0)</f>
        <v>0</v>
      </c>
      <c r="Z676" s="2">
        <f>IF($M676=Z$3,-$K676,0)</f>
        <v>0</v>
      </c>
      <c r="AA676" s="2">
        <f>IF($M676=AA$3,-$K676,0)</f>
        <v>0</v>
      </c>
      <c r="AB676" s="2">
        <f>IF($M676=AB$3,-$K676,0)</f>
        <v>0</v>
      </c>
      <c r="AC676" s="21">
        <f>IF($M676=AC$3,-$K676,0)</f>
        <v>0</v>
      </c>
      <c r="AD676" s="20"/>
      <c r="AE676" s="19"/>
      <c r="AF676" s="2"/>
      <c r="AG676" s="2">
        <f>-$K676</f>
        <v>63771</v>
      </c>
      <c r="AH676" s="2">
        <f>K676+SUM(O676:AC676)</f>
        <v>0</v>
      </c>
      <c r="AI676" s="2">
        <f>K676+SUM(AF676:AG676)</f>
        <v>0</v>
      </c>
    </row>
    <row r="677" spans="1:35" x14ac:dyDescent="0.2">
      <c r="A677" s="23" t="s">
        <v>61</v>
      </c>
      <c r="B677" s="22" t="s">
        <v>184</v>
      </c>
      <c r="H677" s="11" t="s">
        <v>27</v>
      </c>
      <c r="I677" s="11" t="s">
        <v>211</v>
      </c>
      <c r="K677" s="13">
        <v>0</v>
      </c>
      <c r="L677" s="12">
        <v>102025</v>
      </c>
      <c r="M677" s="11" t="str">
        <f>LEFT(I677,(LEN(LEFT(I677,FIND(";",I677)))-8))</f>
        <v>VNDN</v>
      </c>
      <c r="N677" s="11"/>
      <c r="O677" s="2">
        <f>IF($M677=O$3,-$K677,0)</f>
        <v>0</v>
      </c>
      <c r="P677" s="2">
        <f>IF($M677=P$3,-$K677,0)</f>
        <v>0</v>
      </c>
      <c r="Q677" s="2">
        <f>IF($M677=Q$3,-$K677,0)</f>
        <v>0</v>
      </c>
      <c r="R677" s="2">
        <f>IF($M677=R$3,-$K677,0)</f>
        <v>0</v>
      </c>
      <c r="S677" s="2">
        <f>IF($M677=S$3,-$K677,0)</f>
        <v>0</v>
      </c>
      <c r="T677" s="2">
        <f>IF($M677=T$3,-$K677,0)</f>
        <v>0</v>
      </c>
      <c r="U677" s="2">
        <f>IF($M677=U$3,-$K677,0)</f>
        <v>0</v>
      </c>
      <c r="V677" s="2">
        <f>IF($M677=V$3,-$K677,0)</f>
        <v>0</v>
      </c>
      <c r="W677" s="2">
        <f>IF($M677=W$3,-$K677,0)</f>
        <v>0</v>
      </c>
      <c r="X677" s="2">
        <f>IF($M677=X$3,-$K677,0)</f>
        <v>0</v>
      </c>
      <c r="Y677" s="2">
        <f>IF($M677=Y$3,-$K677,0)</f>
        <v>0</v>
      </c>
      <c r="Z677" s="2">
        <f>IF($M677=Z$3,-$K677,0)</f>
        <v>0</v>
      </c>
      <c r="AA677" s="2">
        <f>IF($M677=AA$3,-$K677,0)</f>
        <v>0</v>
      </c>
      <c r="AB677" s="2">
        <f>IF($M677=AB$3,-$K677,0)</f>
        <v>0</v>
      </c>
      <c r="AC677" s="21">
        <f>IF($M677=AC$3,-$K677,0)</f>
        <v>0</v>
      </c>
      <c r="AD677" s="20"/>
      <c r="AE677" s="19"/>
      <c r="AF677" s="2"/>
      <c r="AG677" s="2">
        <f>-$K677</f>
        <v>0</v>
      </c>
      <c r="AH677" s="2">
        <f>K677+SUM(O677:AC677)</f>
        <v>0</v>
      </c>
      <c r="AI677" s="2">
        <f>K677+SUM(AF677:AG677)</f>
        <v>0</v>
      </c>
    </row>
    <row r="678" spans="1:35" x14ac:dyDescent="0.2">
      <c r="A678" s="23" t="s">
        <v>61</v>
      </c>
      <c r="B678" s="22" t="s">
        <v>184</v>
      </c>
      <c r="H678" s="11" t="s">
        <v>25</v>
      </c>
      <c r="I678" s="11" t="s">
        <v>210</v>
      </c>
      <c r="K678" s="13">
        <v>0</v>
      </c>
      <c r="L678" s="12">
        <v>102025</v>
      </c>
      <c r="M678" s="11" t="str">
        <f>LEFT(I678,(LEN(LEFT(I678,FIND(";",I678)))-8))</f>
        <v>VNQN</v>
      </c>
      <c r="N678" s="11"/>
      <c r="O678" s="2">
        <f>IF($M678=O$3,-$K678,0)</f>
        <v>0</v>
      </c>
      <c r="P678" s="2">
        <f>IF($M678=P$3,-$K678,0)</f>
        <v>0</v>
      </c>
      <c r="Q678" s="2">
        <f>IF($M678=Q$3,-$K678,0)</f>
        <v>0</v>
      </c>
      <c r="R678" s="2">
        <f>IF($M678=R$3,-$K678,0)</f>
        <v>0</v>
      </c>
      <c r="S678" s="2">
        <f>IF($M678=S$3,-$K678,0)</f>
        <v>0</v>
      </c>
      <c r="T678" s="2">
        <f>IF($M678=T$3,-$K678,0)</f>
        <v>0</v>
      </c>
      <c r="U678" s="2">
        <f>IF($M678=U$3,-$K678,0)</f>
        <v>0</v>
      </c>
      <c r="V678" s="2">
        <f>IF($M678=V$3,-$K678,0)</f>
        <v>0</v>
      </c>
      <c r="W678" s="2">
        <f>IF($M678=W$3,-$K678,0)</f>
        <v>0</v>
      </c>
      <c r="X678" s="2">
        <f>IF($M678=X$3,-$K678,0)</f>
        <v>0</v>
      </c>
      <c r="Y678" s="2">
        <f>IF($M678=Y$3,-$K678,0)</f>
        <v>0</v>
      </c>
      <c r="Z678" s="2">
        <f>IF($M678=Z$3,-$K678,0)</f>
        <v>0</v>
      </c>
      <c r="AA678" s="2">
        <f>IF($M678=AA$3,-$K678,0)</f>
        <v>0</v>
      </c>
      <c r="AB678" s="2">
        <f>IF($M678=AB$3,-$K678,0)</f>
        <v>0</v>
      </c>
      <c r="AC678" s="21">
        <f>IF($M678=AC$3,-$K678,0)</f>
        <v>0</v>
      </c>
      <c r="AD678" s="20"/>
      <c r="AE678" s="19"/>
      <c r="AF678" s="2"/>
      <c r="AG678" s="2">
        <f>-$K678</f>
        <v>0</v>
      </c>
      <c r="AH678" s="2">
        <f>K678+SUM(O678:AC678)</f>
        <v>0</v>
      </c>
      <c r="AI678" s="2">
        <f>K678+SUM(AF678:AG678)</f>
        <v>0</v>
      </c>
    </row>
    <row r="679" spans="1:35" x14ac:dyDescent="0.2">
      <c r="A679" s="23" t="s">
        <v>61</v>
      </c>
      <c r="B679" s="22" t="s">
        <v>184</v>
      </c>
      <c r="H679" s="11" t="s">
        <v>81</v>
      </c>
      <c r="I679" s="11" t="s">
        <v>209</v>
      </c>
      <c r="K679" s="13">
        <v>0</v>
      </c>
      <c r="L679" s="12">
        <v>102025</v>
      </c>
      <c r="M679" s="11" t="str">
        <f>LEFT(I679,(LEN(LEFT(I679,FIND(";",I679)))-8))</f>
        <v>VNQN</v>
      </c>
      <c r="N679" s="11"/>
      <c r="O679" s="2">
        <f>IF($M679=O$3,-$K679,0)</f>
        <v>0</v>
      </c>
      <c r="P679" s="2">
        <f>IF($M679=P$3,-$K679,0)</f>
        <v>0</v>
      </c>
      <c r="Q679" s="2">
        <f>IF($M679=Q$3,-$K679,0)</f>
        <v>0</v>
      </c>
      <c r="R679" s="2">
        <f>IF($M679=R$3,-$K679,0)</f>
        <v>0</v>
      </c>
      <c r="S679" s="2">
        <f>IF($M679=S$3,-$K679,0)</f>
        <v>0</v>
      </c>
      <c r="T679" s="2">
        <f>IF($M679=T$3,-$K679,0)</f>
        <v>0</v>
      </c>
      <c r="U679" s="2">
        <f>IF($M679=U$3,-$K679,0)</f>
        <v>0</v>
      </c>
      <c r="V679" s="2">
        <f>IF($M679=V$3,-$K679,0)</f>
        <v>0</v>
      </c>
      <c r="W679" s="2">
        <f>IF($M679=W$3,-$K679,0)</f>
        <v>0</v>
      </c>
      <c r="X679" s="2">
        <f>IF($M679=X$3,-$K679,0)</f>
        <v>0</v>
      </c>
      <c r="Y679" s="2">
        <f>IF($M679=Y$3,-$K679,0)</f>
        <v>0</v>
      </c>
      <c r="Z679" s="2">
        <f>IF($M679=Z$3,-$K679,0)</f>
        <v>0</v>
      </c>
      <c r="AA679" s="2">
        <f>IF($M679=AA$3,-$K679,0)</f>
        <v>0</v>
      </c>
      <c r="AB679" s="2">
        <f>IF($M679=AB$3,-$K679,0)</f>
        <v>0</v>
      </c>
      <c r="AC679" s="21">
        <f>IF($M679=AC$3,-$K679,0)</f>
        <v>0</v>
      </c>
      <c r="AD679" s="20"/>
      <c r="AE679" s="19"/>
      <c r="AF679" s="2"/>
      <c r="AG679" s="2">
        <f>-$K679</f>
        <v>0</v>
      </c>
      <c r="AH679" s="2">
        <f>K679+SUM(O679:AC679)</f>
        <v>0</v>
      </c>
      <c r="AI679" s="2">
        <f>K679+SUM(AF679:AG679)</f>
        <v>0</v>
      </c>
    </row>
    <row r="680" spans="1:35" x14ac:dyDescent="0.2">
      <c r="A680" s="23" t="s">
        <v>61</v>
      </c>
      <c r="B680" s="22" t="s">
        <v>184</v>
      </c>
      <c r="H680" s="11" t="s">
        <v>23</v>
      </c>
      <c r="I680" s="11" t="s">
        <v>208</v>
      </c>
      <c r="K680" s="13">
        <v>0</v>
      </c>
      <c r="L680" s="12">
        <v>102025</v>
      </c>
      <c r="M680" s="11" t="str">
        <f>LEFT(I680,(LEN(LEFT(I680,FIND(";",I680)))-8))</f>
        <v>VNHD</v>
      </c>
      <c r="N680" s="11"/>
      <c r="O680" s="2">
        <f>IF($M680=O$3,-$K680,0)</f>
        <v>0</v>
      </c>
      <c r="P680" s="2">
        <f>IF($M680=P$3,-$K680,0)</f>
        <v>0</v>
      </c>
      <c r="Q680" s="2">
        <f>IF($M680=Q$3,-$K680,0)</f>
        <v>0</v>
      </c>
      <c r="R680" s="2">
        <f>IF($M680=R$3,-$K680,0)</f>
        <v>0</v>
      </c>
      <c r="S680" s="2">
        <f>IF($M680=S$3,-$K680,0)</f>
        <v>0</v>
      </c>
      <c r="T680" s="2">
        <f>IF($M680=T$3,-$K680,0)</f>
        <v>0</v>
      </c>
      <c r="U680" s="2">
        <f>IF($M680=U$3,-$K680,0)</f>
        <v>0</v>
      </c>
      <c r="V680" s="2">
        <f>IF($M680=V$3,-$K680,0)</f>
        <v>0</v>
      </c>
      <c r="W680" s="2">
        <f>IF($M680=W$3,-$K680,0)</f>
        <v>0</v>
      </c>
      <c r="X680" s="2">
        <f>IF($M680=X$3,-$K680,0)</f>
        <v>0</v>
      </c>
      <c r="Y680" s="2">
        <f>IF($M680=Y$3,-$K680,0)</f>
        <v>0</v>
      </c>
      <c r="Z680" s="2">
        <f>IF($M680=Z$3,-$K680,0)</f>
        <v>0</v>
      </c>
      <c r="AA680" s="2">
        <f>IF($M680=AA$3,-$K680,0)</f>
        <v>0</v>
      </c>
      <c r="AB680" s="2">
        <f>IF($M680=AB$3,-$K680,0)</f>
        <v>0</v>
      </c>
      <c r="AC680" s="21">
        <f>IF($M680=AC$3,-$K680,0)</f>
        <v>0</v>
      </c>
      <c r="AD680" s="20"/>
      <c r="AE680" s="19"/>
      <c r="AF680" s="2"/>
      <c r="AG680" s="2">
        <f>-$K680</f>
        <v>0</v>
      </c>
      <c r="AH680" s="2">
        <f>K680+SUM(O680:AC680)</f>
        <v>0</v>
      </c>
      <c r="AI680" s="2">
        <f>K680+SUM(AF680:AG680)</f>
        <v>0</v>
      </c>
    </row>
    <row r="681" spans="1:35" x14ac:dyDescent="0.2">
      <c r="A681" s="23" t="s">
        <v>61</v>
      </c>
      <c r="B681" s="22" t="s">
        <v>184</v>
      </c>
      <c r="H681" s="11" t="s">
        <v>21</v>
      </c>
      <c r="I681" s="11" t="s">
        <v>207</v>
      </c>
      <c r="K681" s="13">
        <v>-188296</v>
      </c>
      <c r="L681" s="12">
        <v>102025</v>
      </c>
      <c r="M681" s="11" t="str">
        <f>LEFT(I681,(LEN(LEFT(I681,FIND(";",I681)))-8))</f>
        <v>VNHCM</v>
      </c>
      <c r="N681" s="11"/>
      <c r="O681" s="2">
        <f>IF($M681=O$3,-$K681,0)</f>
        <v>0</v>
      </c>
      <c r="P681" s="2">
        <f>IF($M681=P$3,-$K681,0)</f>
        <v>0</v>
      </c>
      <c r="Q681" s="2">
        <f>IF($M681=Q$3,-$K681,0)</f>
        <v>0</v>
      </c>
      <c r="R681" s="2">
        <f>IF($M681=R$3,-$K681,0)</f>
        <v>0</v>
      </c>
      <c r="S681" s="2">
        <f>IF($M681=S$3,-$K681,0)</f>
        <v>0</v>
      </c>
      <c r="T681" s="2">
        <f>IF($M681=T$3,-$K681,0)</f>
        <v>0</v>
      </c>
      <c r="U681" s="2">
        <f>IF($M681=U$3,-$K681,0)</f>
        <v>0</v>
      </c>
      <c r="V681" s="2">
        <f>IF($M681=V$3,-$K681,0)</f>
        <v>0</v>
      </c>
      <c r="W681" s="2">
        <f>IF($M681=W$3,-$K681,0)</f>
        <v>0</v>
      </c>
      <c r="X681" s="2">
        <f>IF($M681=X$3,-$K681,0)</f>
        <v>0</v>
      </c>
      <c r="Y681" s="2">
        <f>IF($M681=Y$3,-$K681,0)</f>
        <v>188296</v>
      </c>
      <c r="Z681" s="2">
        <f>IF($M681=Z$3,-$K681,0)</f>
        <v>0</v>
      </c>
      <c r="AA681" s="2">
        <f>IF($M681=AA$3,-$K681,0)</f>
        <v>0</v>
      </c>
      <c r="AB681" s="2">
        <f>IF($M681=AB$3,-$K681,0)</f>
        <v>0</v>
      </c>
      <c r="AC681" s="21">
        <f>IF($M681=AC$3,-$K681,0)</f>
        <v>0</v>
      </c>
      <c r="AD681" s="20"/>
      <c r="AE681" s="19"/>
      <c r="AF681" s="2"/>
      <c r="AG681" s="2">
        <f>-$K681</f>
        <v>188296</v>
      </c>
      <c r="AH681" s="2">
        <f>K681+SUM(O681:AC681)</f>
        <v>0</v>
      </c>
      <c r="AI681" s="2">
        <f>K681+SUM(AF681:AG681)</f>
        <v>0</v>
      </c>
    </row>
    <row r="682" spans="1:35" x14ac:dyDescent="0.2">
      <c r="A682" s="23" t="s">
        <v>61</v>
      </c>
      <c r="B682" s="22" t="s">
        <v>184</v>
      </c>
      <c r="H682" s="11" t="s">
        <v>156</v>
      </c>
      <c r="I682" s="11" t="s">
        <v>206</v>
      </c>
      <c r="K682" s="13">
        <v>0</v>
      </c>
      <c r="L682" s="12">
        <v>102025</v>
      </c>
      <c r="M682" s="11" t="str">
        <f>LEFT(I682,(LEN(LEFT(I682,FIND(";",I682)))-8))</f>
        <v>VNBG</v>
      </c>
      <c r="N682" s="11"/>
      <c r="O682" s="2">
        <f>IF($M682=O$3,-$K682,0)</f>
        <v>0</v>
      </c>
      <c r="P682" s="2">
        <f>IF($M682=P$3,-$K682,0)</f>
        <v>0</v>
      </c>
      <c r="Q682" s="2">
        <f>IF($M682=Q$3,-$K682,0)</f>
        <v>0</v>
      </c>
      <c r="R682" s="2">
        <f>IF($M682=R$3,-$K682,0)</f>
        <v>0</v>
      </c>
      <c r="S682" s="2">
        <f>IF($M682=S$3,-$K682,0)</f>
        <v>0</v>
      </c>
      <c r="T682" s="2">
        <f>IF($M682=T$3,-$K682,0)</f>
        <v>0</v>
      </c>
      <c r="U682" s="2">
        <f>IF($M682=U$3,-$K682,0)</f>
        <v>0</v>
      </c>
      <c r="V682" s="2">
        <f>IF($M682=V$3,-$K682,0)</f>
        <v>0</v>
      </c>
      <c r="W682" s="2">
        <f>IF($M682=W$3,-$K682,0)</f>
        <v>0</v>
      </c>
      <c r="X682" s="2">
        <f>IF($M682=X$3,-$K682,0)</f>
        <v>0</v>
      </c>
      <c r="Y682" s="2">
        <f>IF($M682=Y$3,-$K682,0)</f>
        <v>0</v>
      </c>
      <c r="Z682" s="2">
        <f>IF($M682=Z$3,-$K682,0)</f>
        <v>0</v>
      </c>
      <c r="AA682" s="2">
        <f>IF($M682=AA$3,-$K682,0)</f>
        <v>0</v>
      </c>
      <c r="AB682" s="2">
        <f>IF($M682=AB$3,-$K682,0)</f>
        <v>0</v>
      </c>
      <c r="AC682" s="21">
        <f>IF($M682=AC$3,-$K682,0)</f>
        <v>0</v>
      </c>
      <c r="AD682" s="20"/>
      <c r="AE682" s="19"/>
      <c r="AF682" s="2"/>
      <c r="AG682" s="2"/>
      <c r="AH682" s="2">
        <f>K682+SUM(O682:AC682)</f>
        <v>0</v>
      </c>
      <c r="AI682" s="2">
        <f>K682+SUM(AF682:AG682)</f>
        <v>0</v>
      </c>
    </row>
    <row r="683" spans="1:35" x14ac:dyDescent="0.2">
      <c r="A683" s="23" t="s">
        <v>61</v>
      </c>
      <c r="B683" s="22" t="s">
        <v>184</v>
      </c>
      <c r="H683" s="11" t="s">
        <v>19</v>
      </c>
      <c r="I683" s="11" t="s">
        <v>205</v>
      </c>
      <c r="K683" s="13">
        <v>-188296</v>
      </c>
      <c r="L683" s="12">
        <v>102025</v>
      </c>
      <c r="M683" s="11" t="str">
        <f>LEFT(I683,(LEN(LEFT(I683,FIND(";",I683)))-8))</f>
        <v>VNHCM</v>
      </c>
      <c r="N683" s="11"/>
      <c r="O683" s="2">
        <f>IF($M683=O$3,-$K683,0)</f>
        <v>0</v>
      </c>
      <c r="P683" s="2">
        <f>IF($M683=P$3,-$K683,0)</f>
        <v>0</v>
      </c>
      <c r="Q683" s="2">
        <f>IF($M683=Q$3,-$K683,0)</f>
        <v>0</v>
      </c>
      <c r="R683" s="2">
        <f>IF($M683=R$3,-$K683,0)</f>
        <v>0</v>
      </c>
      <c r="S683" s="2">
        <f>IF($M683=S$3,-$K683,0)</f>
        <v>0</v>
      </c>
      <c r="T683" s="2">
        <f>IF($M683=T$3,-$K683,0)</f>
        <v>0</v>
      </c>
      <c r="U683" s="2">
        <f>IF($M683=U$3,-$K683,0)</f>
        <v>0</v>
      </c>
      <c r="V683" s="2">
        <f>IF($M683=V$3,-$K683,0)</f>
        <v>0</v>
      </c>
      <c r="W683" s="2">
        <f>IF($M683=W$3,-$K683,0)</f>
        <v>0</v>
      </c>
      <c r="X683" s="2">
        <f>IF($M683=X$3,-$K683,0)</f>
        <v>0</v>
      </c>
      <c r="Y683" s="2">
        <f>IF($M683=Y$3,-$K683,0)</f>
        <v>188296</v>
      </c>
      <c r="Z683" s="2">
        <f>IF($M683=Z$3,-$K683,0)</f>
        <v>0</v>
      </c>
      <c r="AA683" s="2">
        <f>IF($M683=AA$3,-$K683,0)</f>
        <v>0</v>
      </c>
      <c r="AB683" s="2">
        <f>IF($M683=AB$3,-$K683,0)</f>
        <v>0</v>
      </c>
      <c r="AC683" s="21">
        <f>IF($M683=AC$3,-$K683,0)</f>
        <v>0</v>
      </c>
      <c r="AD683" s="20"/>
      <c r="AE683" s="19"/>
      <c r="AF683" s="2"/>
      <c r="AG683" s="2">
        <f>-$K683</f>
        <v>188296</v>
      </c>
      <c r="AH683" s="2">
        <f>K683+SUM(O683:AC683)</f>
        <v>0</v>
      </c>
      <c r="AI683" s="2">
        <f>K683+SUM(AF683:AG683)</f>
        <v>0</v>
      </c>
    </row>
    <row r="684" spans="1:35" x14ac:dyDescent="0.2">
      <c r="A684" s="23" t="s">
        <v>61</v>
      </c>
      <c r="B684" s="22" t="s">
        <v>184</v>
      </c>
      <c r="H684" s="11" t="s">
        <v>110</v>
      </c>
      <c r="I684" s="11" t="s">
        <v>204</v>
      </c>
      <c r="K684" s="13">
        <v>-813226</v>
      </c>
      <c r="L684" s="12">
        <v>102025</v>
      </c>
      <c r="M684" s="11" t="str">
        <f>LEFT(I684,(LEN(LEFT(I684,FIND(";",I684)))-8))</f>
        <v>VNOther</v>
      </c>
      <c r="N684" s="11"/>
      <c r="O684" s="15">
        <f>-$K684*IFERROR(INDEX('[1]salary allocation-v2'!$E$6:$J$22,MATCH($H684,'[1]salary allocation-v2'!$D$6:$D$22,0),MATCH(O$3,'[1]salary allocation-v2'!$E$3:$J$3,0)),0)</f>
        <v>0</v>
      </c>
      <c r="P684" s="15">
        <f>-$K684*IFERROR(INDEX('[1]salary allocation-v2'!$E$6:$J$22,MATCH($H684,'[1]salary allocation-v2'!$D$6:$D$22,0),MATCH(P$3,'[1]salary allocation-v2'!$E$3:$J$3,0)),0)</f>
        <v>0</v>
      </c>
      <c r="Q684" s="15">
        <f>-$K684*IFERROR(INDEX('[1]salary allocation-v2'!$E$6:$J$22,MATCH($H684,'[1]salary allocation-v2'!$D$6:$D$22,0),MATCH(Q$3,'[1]salary allocation-v2'!$E$3:$J$3,0)),0)</f>
        <v>0</v>
      </c>
      <c r="R684" s="15">
        <f>-$K684*IFERROR(INDEX('[1]salary allocation-v2'!$E$6:$J$22,MATCH($H684,'[1]salary allocation-v2'!$D$6:$D$22,0),MATCH(R$3,'[1]salary allocation-v2'!$E$3:$J$3,0)),0)</f>
        <v>0</v>
      </c>
      <c r="S684" s="15">
        <f>-$K684*IFERROR(INDEX('[1]salary allocation-v2'!$E$6:$J$22,MATCH($H684,'[1]salary allocation-v2'!$D$6:$D$22,0),MATCH(S$3,'[1]salary allocation-v2'!$E$3:$J$3,0)),0)</f>
        <v>138248.41999999998</v>
      </c>
      <c r="T684" s="15">
        <f>-$K684*IFERROR(INDEX('[1]salary allocation-v2'!$E$6:$J$22,MATCH($H684,'[1]salary allocation-v2'!$D$6:$D$22,0),MATCH(T$3,'[1]salary allocation-v2'!$E$3:$J$3,0)),0)</f>
        <v>138248.41999999998</v>
      </c>
      <c r="U684" s="15">
        <f>-$K684*IFERROR(INDEX('[1]salary allocation-v2'!$E$6:$J$22,MATCH($H684,'[1]salary allocation-v2'!$D$6:$D$22,0),MATCH(U$3,'[1]salary allocation-v2'!$E$3:$J$3,0)),0)</f>
        <v>138248.41999999998</v>
      </c>
      <c r="V684" s="15">
        <f>-$K684*IFERROR(INDEX('[1]salary allocation-v2'!$E$6:$J$22,MATCH($H684,'[1]salary allocation-v2'!$D$6:$D$22,0),MATCH(V$3,'[1]salary allocation-v2'!$E$3:$J$3,0)),0)</f>
        <v>0</v>
      </c>
      <c r="W684" s="15">
        <f>-$K684*IFERROR(INDEX('[1]salary allocation-v2'!$E$6:$J$22,MATCH($H684,'[1]salary allocation-v2'!$D$6:$D$22,0),MATCH(W$3,'[1]salary allocation-v2'!$E$3:$J$3,0)),0)</f>
        <v>398480.74</v>
      </c>
      <c r="X684" s="15">
        <f>-$K684*IFERROR(INDEX('[1]salary allocation-v2'!$E$6:$J$22,MATCH($H684,'[1]salary allocation-v2'!$D$6:$D$22,0),MATCH(X$3,'[1]salary allocation-v2'!$E$3:$J$3,0)),0)</f>
        <v>0</v>
      </c>
      <c r="Y684" s="15">
        <f>-$K684*IFERROR(INDEX('[1]salary allocation-v2'!$E$6:$J$22,MATCH($H684,'[1]salary allocation-v2'!$D$6:$D$22,0),MATCH(Y$3,'[1]salary allocation-v2'!$E$3:$J$3,0)),0)</f>
        <v>0</v>
      </c>
      <c r="Z684" s="15">
        <f>-$K684*IFERROR(INDEX('[1]salary allocation-v2'!$E$6:$J$22,MATCH($H684,'[1]salary allocation-v2'!$D$6:$D$22,0),MATCH(Z$3,'[1]salary allocation-v2'!$E$3:$J$3,0)),0)</f>
        <v>0</v>
      </c>
      <c r="AA684" s="15">
        <f>-$K684*IFERROR(INDEX('[1]salary allocation-v2'!$E$6:$J$22,MATCH($H684,'[1]salary allocation-v2'!$D$6:$D$22,0),MATCH(AA$3,'[1]salary allocation-v2'!$E$3:$J$3,0)),0)</f>
        <v>0</v>
      </c>
      <c r="AB684" s="15">
        <f>-$K684*IFERROR(INDEX('[1]salary allocation-v2'!$E$6:$J$22,MATCH($H684,'[1]salary allocation-v2'!$D$6:$D$22,0),MATCH(AB$3,'[1]salary allocation-v2'!$E$3:$J$3,0)),0)</f>
        <v>0</v>
      </c>
      <c r="AC684" s="18">
        <f>-$K684*IFERROR(INDEX('[1]salary allocation-v2'!$E$6:$J$22,MATCH($H684,'[1]salary allocation-v2'!$D$6:$D$22,0),MATCH(AC$3,'[1]salary allocation-v2'!$E$3:$J$3,0)),0)</f>
        <v>0</v>
      </c>
      <c r="AD684" s="17"/>
      <c r="AE684" s="16"/>
      <c r="AF684" s="15">
        <f>-$K684</f>
        <v>813226</v>
      </c>
      <c r="AG684" s="15"/>
      <c r="AH684" s="2">
        <f>K684+SUM(O684:AC684)</f>
        <v>0</v>
      </c>
      <c r="AI684" s="2">
        <f>K684+SUM(AF684:AG684)</f>
        <v>0</v>
      </c>
    </row>
    <row r="685" spans="1:35" x14ac:dyDescent="0.2">
      <c r="A685" s="23" t="s">
        <v>61</v>
      </c>
      <c r="B685" s="22" t="s">
        <v>184</v>
      </c>
      <c r="H685" s="11" t="s">
        <v>153</v>
      </c>
      <c r="I685" s="11" t="s">
        <v>203</v>
      </c>
      <c r="K685" s="13">
        <v>0</v>
      </c>
      <c r="L685" s="12">
        <v>102025</v>
      </c>
      <c r="M685" s="11" t="str">
        <f>LEFT(I685,(LEN(LEFT(I685,FIND(";",I685)))-8))</f>
        <v>VNBN</v>
      </c>
      <c r="N685" s="11"/>
      <c r="O685" s="2">
        <f>IF($M685=O$3,-$K685,0)</f>
        <v>0</v>
      </c>
      <c r="P685" s="2">
        <f>IF($M685=P$3,-$K685,0)</f>
        <v>0</v>
      </c>
      <c r="Q685" s="2">
        <f>IF($M685=Q$3,-$K685,0)</f>
        <v>0</v>
      </c>
      <c r="R685" s="2">
        <f>IF($M685=R$3,-$K685,0)</f>
        <v>0</v>
      </c>
      <c r="S685" s="2">
        <f>IF($M685=S$3,-$K685,0)</f>
        <v>0</v>
      </c>
      <c r="T685" s="2">
        <f>IF($M685=T$3,-$K685,0)</f>
        <v>0</v>
      </c>
      <c r="U685" s="2">
        <f>IF($M685=U$3,-$K685,0)</f>
        <v>0</v>
      </c>
      <c r="V685" s="2">
        <f>IF($M685=V$3,-$K685,0)</f>
        <v>0</v>
      </c>
      <c r="W685" s="2">
        <f>IF($M685=W$3,-$K685,0)</f>
        <v>0</v>
      </c>
      <c r="X685" s="2">
        <f>IF($M685=X$3,-$K685,0)</f>
        <v>0</v>
      </c>
      <c r="Y685" s="2">
        <f>IF($M685=Y$3,-$K685,0)</f>
        <v>0</v>
      </c>
      <c r="Z685" s="2">
        <f>IF($M685=Z$3,-$K685,0)</f>
        <v>0</v>
      </c>
      <c r="AA685" s="2">
        <f>IF($M685=AA$3,-$K685,0)</f>
        <v>0</v>
      </c>
      <c r="AB685" s="2">
        <f>IF($M685=AB$3,-$K685,0)</f>
        <v>0</v>
      </c>
      <c r="AC685" s="21">
        <f>IF($M685=AC$3,-$K685,0)</f>
        <v>0</v>
      </c>
      <c r="AD685" s="20"/>
      <c r="AE685" s="19"/>
      <c r="AF685" s="2"/>
      <c r="AG685" s="2"/>
      <c r="AH685" s="2">
        <f>K685+SUM(O685:AC685)</f>
        <v>0</v>
      </c>
      <c r="AI685" s="2">
        <f>K685+SUM(AF685:AG685)</f>
        <v>0</v>
      </c>
    </row>
    <row r="686" spans="1:35" x14ac:dyDescent="0.2">
      <c r="A686" s="23" t="s">
        <v>61</v>
      </c>
      <c r="B686" s="22" t="s">
        <v>184</v>
      </c>
      <c r="H686" s="11" t="s">
        <v>151</v>
      </c>
      <c r="I686" s="11" t="s">
        <v>202</v>
      </c>
      <c r="K686" s="13">
        <v>0</v>
      </c>
      <c r="L686" s="12">
        <v>102025</v>
      </c>
      <c r="M686" s="11" t="str">
        <f>LEFT(I686,(LEN(LEFT(I686,FIND(";",I686)))-8))</f>
        <v>VNQN</v>
      </c>
      <c r="N686" s="11"/>
      <c r="O686" s="2">
        <f>IF($M686=O$3,-$K686,0)</f>
        <v>0</v>
      </c>
      <c r="P686" s="2">
        <f>IF($M686=P$3,-$K686,0)</f>
        <v>0</v>
      </c>
      <c r="Q686" s="2">
        <f>IF($M686=Q$3,-$K686,0)</f>
        <v>0</v>
      </c>
      <c r="R686" s="2">
        <f>IF($M686=R$3,-$K686,0)</f>
        <v>0</v>
      </c>
      <c r="S686" s="2">
        <f>IF($M686=S$3,-$K686,0)</f>
        <v>0</v>
      </c>
      <c r="T686" s="2">
        <f>IF($M686=T$3,-$K686,0)</f>
        <v>0</v>
      </c>
      <c r="U686" s="2">
        <f>IF($M686=U$3,-$K686,0)</f>
        <v>0</v>
      </c>
      <c r="V686" s="2">
        <f>IF($M686=V$3,-$K686,0)</f>
        <v>0</v>
      </c>
      <c r="W686" s="2">
        <f>IF($M686=W$3,-$K686,0)</f>
        <v>0</v>
      </c>
      <c r="X686" s="2">
        <f>IF($M686=X$3,-$K686,0)</f>
        <v>0</v>
      </c>
      <c r="Y686" s="2">
        <f>IF($M686=Y$3,-$K686,0)</f>
        <v>0</v>
      </c>
      <c r="Z686" s="2">
        <f>IF($M686=Z$3,-$K686,0)</f>
        <v>0</v>
      </c>
      <c r="AA686" s="2">
        <f>IF($M686=AA$3,-$K686,0)</f>
        <v>0</v>
      </c>
      <c r="AB686" s="2">
        <f>IF($M686=AB$3,-$K686,0)</f>
        <v>0</v>
      </c>
      <c r="AC686" s="21">
        <f>IF($M686=AC$3,-$K686,0)</f>
        <v>0</v>
      </c>
      <c r="AD686" s="20"/>
      <c r="AE686" s="19"/>
      <c r="AF686" s="2"/>
      <c r="AG686" s="2">
        <f>-$K686</f>
        <v>0</v>
      </c>
      <c r="AH686" s="2">
        <f>K686+SUM(O686:AC686)</f>
        <v>0</v>
      </c>
      <c r="AI686" s="2">
        <f>K686+SUM(AF686:AG686)</f>
        <v>0</v>
      </c>
    </row>
    <row r="687" spans="1:35" x14ac:dyDescent="0.2">
      <c r="A687" s="23" t="s">
        <v>61</v>
      </c>
      <c r="B687" s="22" t="s">
        <v>184</v>
      </c>
      <c r="H687" s="11" t="s">
        <v>76</v>
      </c>
      <c r="I687" s="11" t="s">
        <v>201</v>
      </c>
      <c r="K687" s="13">
        <v>-17647581</v>
      </c>
      <c r="L687" s="12">
        <v>102025</v>
      </c>
      <c r="M687" s="11" t="str">
        <f>LEFT(I687,(LEN(LEFT(I687,FIND(";",I687)))-8))</f>
        <v>VNMOET</v>
      </c>
      <c r="N687" s="11"/>
      <c r="O687" s="2">
        <f>IF($M687=O$3,-$K687,0)</f>
        <v>0</v>
      </c>
      <c r="P687" s="2">
        <f>IF($M687=P$3,-$K687,0)</f>
        <v>0</v>
      </c>
      <c r="Q687" s="2">
        <f>IF($M687=Q$3,-$K687,0)</f>
        <v>0</v>
      </c>
      <c r="R687" s="2">
        <f>IF($M687=R$3,-$K687,0)</f>
        <v>0</v>
      </c>
      <c r="S687" s="2">
        <f>IF($M687=S$3,-$K687,0)</f>
        <v>0</v>
      </c>
      <c r="T687" s="2">
        <f>IF($M687=T$3,-$K687,0)</f>
        <v>0</v>
      </c>
      <c r="U687" s="2">
        <f>IF($M687=U$3,-$K687,0)</f>
        <v>0</v>
      </c>
      <c r="V687" s="2">
        <f>IF($M687=V$3,-$K687,0)</f>
        <v>0</v>
      </c>
      <c r="W687" s="2">
        <f>IF($M687=W$3,-$K687,0)</f>
        <v>17647581</v>
      </c>
      <c r="X687" s="2">
        <f>IF($M687=X$3,-$K687,0)</f>
        <v>0</v>
      </c>
      <c r="Y687" s="2">
        <f>IF($M687=Y$3,-$K687,0)</f>
        <v>0</v>
      </c>
      <c r="Z687" s="2">
        <f>IF($M687=Z$3,-$K687,0)</f>
        <v>0</v>
      </c>
      <c r="AA687" s="2">
        <f>IF($M687=AA$3,-$K687,0)</f>
        <v>0</v>
      </c>
      <c r="AB687" s="2">
        <f>IF($M687=AB$3,-$K687,0)</f>
        <v>0</v>
      </c>
      <c r="AC687" s="21">
        <f>IF($M687=AC$3,-$K687,0)</f>
        <v>0</v>
      </c>
      <c r="AD687" s="20"/>
      <c r="AE687" s="19"/>
      <c r="AF687" s="2">
        <f>-$K687</f>
        <v>17647581</v>
      </c>
      <c r="AG687" s="2"/>
      <c r="AH687" s="2">
        <f>K687+SUM(O687:AC687)</f>
        <v>0</v>
      </c>
      <c r="AI687" s="2">
        <f>K687+SUM(AF687:AG687)</f>
        <v>0</v>
      </c>
    </row>
    <row r="688" spans="1:35" x14ac:dyDescent="0.2">
      <c r="A688" s="23" t="s">
        <v>61</v>
      </c>
      <c r="B688" s="22" t="s">
        <v>184</v>
      </c>
      <c r="H688" s="11" t="s">
        <v>17</v>
      </c>
      <c r="I688" s="11" t="s">
        <v>200</v>
      </c>
      <c r="K688" s="13">
        <v>-54046</v>
      </c>
      <c r="L688" s="12">
        <v>102025</v>
      </c>
      <c r="M688" s="11" t="str">
        <f>LEFT(I688,(LEN(LEFT(I688,FIND(";",I688)))-8))</f>
        <v>VNQN</v>
      </c>
      <c r="N688" s="11"/>
      <c r="O688" s="2">
        <f>IF($M688=O$3,-$K688,0)</f>
        <v>0</v>
      </c>
      <c r="P688" s="2">
        <f>IF($M688=P$3,-$K688,0)</f>
        <v>0</v>
      </c>
      <c r="Q688" s="2">
        <f>IF($M688=Q$3,-$K688,0)</f>
        <v>0</v>
      </c>
      <c r="R688" s="2">
        <f>IF($M688=R$3,-$K688,0)</f>
        <v>0</v>
      </c>
      <c r="S688" s="2">
        <f>IF($M688=S$3,-$K688,0)</f>
        <v>0</v>
      </c>
      <c r="T688" s="2">
        <f>IF($M688=T$3,-$K688,0)</f>
        <v>54046</v>
      </c>
      <c r="U688" s="2">
        <f>IF($M688=U$3,-$K688,0)</f>
        <v>0</v>
      </c>
      <c r="V688" s="2">
        <f>IF($M688=V$3,-$K688,0)</f>
        <v>0</v>
      </c>
      <c r="W688" s="2">
        <f>IF($M688=W$3,-$K688,0)</f>
        <v>0</v>
      </c>
      <c r="X688" s="2">
        <f>IF($M688=X$3,-$K688,0)</f>
        <v>0</v>
      </c>
      <c r="Y688" s="2">
        <f>IF($M688=Y$3,-$K688,0)</f>
        <v>0</v>
      </c>
      <c r="Z688" s="2">
        <f>IF($M688=Z$3,-$K688,0)</f>
        <v>0</v>
      </c>
      <c r="AA688" s="2">
        <f>IF($M688=AA$3,-$K688,0)</f>
        <v>0</v>
      </c>
      <c r="AB688" s="2">
        <f>IF($M688=AB$3,-$K688,0)</f>
        <v>0</v>
      </c>
      <c r="AC688" s="21">
        <f>IF($M688=AC$3,-$K688,0)</f>
        <v>0</v>
      </c>
      <c r="AD688" s="20"/>
      <c r="AE688" s="19"/>
      <c r="AF688" s="2"/>
      <c r="AG688" s="2">
        <f>-$K688</f>
        <v>54046</v>
      </c>
      <c r="AH688" s="2">
        <f>K688+SUM(O688:AC688)</f>
        <v>0</v>
      </c>
      <c r="AI688" s="2">
        <f>K688+SUM(AF688:AG688)</f>
        <v>0</v>
      </c>
    </row>
    <row r="689" spans="1:35" x14ac:dyDescent="0.2">
      <c r="A689" s="23" t="s">
        <v>61</v>
      </c>
      <c r="B689" s="22" t="s">
        <v>184</v>
      </c>
      <c r="H689" s="11" t="s">
        <v>73</v>
      </c>
      <c r="I689" s="11" t="s">
        <v>199</v>
      </c>
      <c r="K689" s="13">
        <v>0</v>
      </c>
      <c r="L689" s="12">
        <v>102025</v>
      </c>
      <c r="M689" s="11" t="str">
        <f>LEFT(I689,(LEN(LEFT(I689,FIND(";",I689)))-8))</f>
        <v>VNLA</v>
      </c>
      <c r="N689" s="11"/>
      <c r="O689" s="2">
        <f>IF($M689=O$3,-$K689,0)</f>
        <v>0</v>
      </c>
      <c r="P689" s="2">
        <f>IF($M689=P$3,-$K689,0)</f>
        <v>0</v>
      </c>
      <c r="Q689" s="2">
        <f>IF($M689=Q$3,-$K689,0)</f>
        <v>0</v>
      </c>
      <c r="R689" s="2">
        <f>IF($M689=R$3,-$K689,0)</f>
        <v>0</v>
      </c>
      <c r="S689" s="2">
        <f>IF($M689=S$3,-$K689,0)</f>
        <v>0</v>
      </c>
      <c r="T689" s="2">
        <f>IF($M689=T$3,-$K689,0)</f>
        <v>0</v>
      </c>
      <c r="U689" s="2">
        <f>IF($M689=U$3,-$K689,0)</f>
        <v>0</v>
      </c>
      <c r="V689" s="2">
        <f>IF($M689=V$3,-$K689,0)</f>
        <v>0</v>
      </c>
      <c r="W689" s="2">
        <f>IF($M689=W$3,-$K689,0)</f>
        <v>0</v>
      </c>
      <c r="X689" s="2">
        <f>IF($M689=X$3,-$K689,0)</f>
        <v>0</v>
      </c>
      <c r="Y689" s="2">
        <f>IF($M689=Y$3,-$K689,0)</f>
        <v>0</v>
      </c>
      <c r="Z689" s="2">
        <f>IF($M689=Z$3,-$K689,0)</f>
        <v>0</v>
      </c>
      <c r="AA689" s="2">
        <f>IF($M689=AA$3,-$K689,0)</f>
        <v>0</v>
      </c>
      <c r="AB689" s="2">
        <f>IF($M689=AB$3,-$K689,0)</f>
        <v>0</v>
      </c>
      <c r="AC689" s="21">
        <f>IF($M689=AC$3,-$K689,0)</f>
        <v>0</v>
      </c>
      <c r="AD689" s="20"/>
      <c r="AE689" s="19"/>
      <c r="AF689" s="2"/>
      <c r="AG689" s="2"/>
      <c r="AH689" s="2">
        <f>K689+SUM(O689:AC689)</f>
        <v>0</v>
      </c>
      <c r="AI689" s="2">
        <f>K689+SUM(AF689:AG689)</f>
        <v>0</v>
      </c>
    </row>
    <row r="690" spans="1:35" x14ac:dyDescent="0.2">
      <c r="A690" s="23" t="s">
        <v>61</v>
      </c>
      <c r="B690" s="22" t="s">
        <v>184</v>
      </c>
      <c r="H690" s="11" t="s">
        <v>15</v>
      </c>
      <c r="I690" s="11" t="s">
        <v>198</v>
      </c>
      <c r="K690" s="13">
        <v>-131750</v>
      </c>
      <c r="L690" s="12">
        <v>102025</v>
      </c>
      <c r="M690" s="11" t="str">
        <f>LEFT(I690,(LEN(LEFT(I690,FIND(";",I690)))-8))</f>
        <v>VNLA</v>
      </c>
      <c r="N690" s="11"/>
      <c r="O690" s="2">
        <f>IF($M690=O$3,-$K690,0)</f>
        <v>0</v>
      </c>
      <c r="P690" s="2">
        <f>IF($M690=P$3,-$K690,0)</f>
        <v>0</v>
      </c>
      <c r="Q690" s="2">
        <f>IF($M690=Q$3,-$K690,0)</f>
        <v>0</v>
      </c>
      <c r="R690" s="2">
        <f>IF($M690=R$3,-$K690,0)</f>
        <v>0</v>
      </c>
      <c r="S690" s="2">
        <f>IF($M690=S$3,-$K690,0)</f>
        <v>0</v>
      </c>
      <c r="T690" s="2">
        <f>IF($M690=T$3,-$K690,0)</f>
        <v>0</v>
      </c>
      <c r="U690" s="2">
        <f>IF($M690=U$3,-$K690,0)</f>
        <v>0</v>
      </c>
      <c r="V690" s="2">
        <f>IF($M690=V$3,-$K690,0)</f>
        <v>0</v>
      </c>
      <c r="W690" s="2">
        <f>IF($M690=W$3,-$K690,0)</f>
        <v>0</v>
      </c>
      <c r="X690" s="2">
        <f>IF($M690=X$3,-$K690,0)</f>
        <v>131750</v>
      </c>
      <c r="Y690" s="2">
        <f>IF($M690=Y$3,-$K690,0)</f>
        <v>0</v>
      </c>
      <c r="Z690" s="2">
        <f>IF($M690=Z$3,-$K690,0)</f>
        <v>0</v>
      </c>
      <c r="AA690" s="2">
        <f>IF($M690=AA$3,-$K690,0)</f>
        <v>0</v>
      </c>
      <c r="AB690" s="2">
        <f>IF($M690=AB$3,-$K690,0)</f>
        <v>0</v>
      </c>
      <c r="AC690" s="21">
        <f>IF($M690=AC$3,-$K690,0)</f>
        <v>0</v>
      </c>
      <c r="AD690" s="20"/>
      <c r="AE690" s="19"/>
      <c r="AF690" s="2"/>
      <c r="AG690" s="2">
        <f>-$K690</f>
        <v>131750</v>
      </c>
      <c r="AH690" s="2">
        <f>K690+SUM(O690:AC690)</f>
        <v>0</v>
      </c>
      <c r="AI690" s="2">
        <f>K690+SUM(AF690:AG690)</f>
        <v>0</v>
      </c>
    </row>
    <row r="691" spans="1:35" x14ac:dyDescent="0.2">
      <c r="A691" s="23" t="s">
        <v>61</v>
      </c>
      <c r="B691" s="22" t="s">
        <v>184</v>
      </c>
      <c r="H691" s="11" t="s">
        <v>13</v>
      </c>
      <c r="I691" s="11" t="s">
        <v>197</v>
      </c>
      <c r="K691" s="13">
        <v>0</v>
      </c>
      <c r="L691" s="12">
        <v>102025</v>
      </c>
      <c r="M691" s="11" t="str">
        <f>LEFT(I691,(LEN(LEFT(I691,FIND(";",I691)))-8))</f>
        <v>VNOther</v>
      </c>
      <c r="N691" s="11"/>
      <c r="O691" s="2">
        <f>IF($M691=O$3,-$K691,0)</f>
        <v>0</v>
      </c>
      <c r="P691" s="2">
        <f>IF($M691=P$3,-$K691,0)</f>
        <v>0</v>
      </c>
      <c r="Q691" s="2">
        <f>IF($M691=Q$3,-$K691,0)</f>
        <v>0</v>
      </c>
      <c r="R691" s="2">
        <f>IF($M691=R$3,-$K691,0)</f>
        <v>0</v>
      </c>
      <c r="S691" s="2">
        <f>IF($M691=S$3,-$K691,0)</f>
        <v>0</v>
      </c>
      <c r="T691" s="2">
        <f>IF($M691=T$3,-$K691,0)</f>
        <v>0</v>
      </c>
      <c r="U691" s="2">
        <f>IF($M691=U$3,-$K691,0)</f>
        <v>0</v>
      </c>
      <c r="V691" s="2">
        <f>IF($M691=V$3,-$K691,0)</f>
        <v>0</v>
      </c>
      <c r="W691" s="2">
        <f>IF($M691=W$3,-$K691,0)</f>
        <v>0</v>
      </c>
      <c r="X691" s="2">
        <f>IF($M691=X$3,-$K691,0)</f>
        <v>0</v>
      </c>
      <c r="Y691" s="2">
        <f>IF($M691=Y$3,-$K691,0)</f>
        <v>0</v>
      </c>
      <c r="Z691" s="2">
        <f>IF($M691=Z$3,-$K691,0)</f>
        <v>0</v>
      </c>
      <c r="AA691" s="2">
        <f>IF($M691=AA$3,-$K691,0)</f>
        <v>0</v>
      </c>
      <c r="AB691" s="2">
        <f>IF($M691=AB$3,-$K691,0)</f>
        <v>0</v>
      </c>
      <c r="AC691" s="21">
        <f>IF($M691=AC$3,-$K691,0)</f>
        <v>0</v>
      </c>
      <c r="AD691" s="20"/>
      <c r="AE691" s="19"/>
      <c r="AF691" s="2"/>
      <c r="AG691" s="2"/>
      <c r="AH691" s="2">
        <f>K691+SUM(O691:AC691)</f>
        <v>0</v>
      </c>
      <c r="AI691" s="2">
        <f>K691+SUM(AF691:AG691)</f>
        <v>0</v>
      </c>
    </row>
    <row r="692" spans="1:35" x14ac:dyDescent="0.2">
      <c r="A692" s="23" t="s">
        <v>61</v>
      </c>
      <c r="B692" s="22" t="s">
        <v>184</v>
      </c>
      <c r="H692" s="11" t="s">
        <v>11</v>
      </c>
      <c r="I692" s="11" t="s">
        <v>196</v>
      </c>
      <c r="K692" s="13">
        <v>-106019</v>
      </c>
      <c r="L692" s="12">
        <v>102025</v>
      </c>
      <c r="M692" s="11" t="str">
        <f>LEFT(I692,(LEN(LEFT(I692,FIND(";",I692)))-8))</f>
        <v>VNQN</v>
      </c>
      <c r="N692" s="11"/>
      <c r="O692" s="2">
        <f>IF($M692=O$3,-$K692,0)</f>
        <v>0</v>
      </c>
      <c r="P692" s="2">
        <f>IF($M692=P$3,-$K692,0)</f>
        <v>0</v>
      </c>
      <c r="Q692" s="2">
        <f>IF($M692=Q$3,-$K692,0)</f>
        <v>0</v>
      </c>
      <c r="R692" s="2">
        <f>IF($M692=R$3,-$K692,0)</f>
        <v>0</v>
      </c>
      <c r="S692" s="2">
        <f>IF($M692=S$3,-$K692,0)</f>
        <v>0</v>
      </c>
      <c r="T692" s="2">
        <f>IF($M692=T$3,-$K692,0)</f>
        <v>106019</v>
      </c>
      <c r="U692" s="2">
        <f>IF($M692=U$3,-$K692,0)</f>
        <v>0</v>
      </c>
      <c r="V692" s="2">
        <f>IF($M692=V$3,-$K692,0)</f>
        <v>0</v>
      </c>
      <c r="W692" s="2">
        <f>IF($M692=W$3,-$K692,0)</f>
        <v>0</v>
      </c>
      <c r="X692" s="2">
        <f>IF($M692=X$3,-$K692,0)</f>
        <v>0</v>
      </c>
      <c r="Y692" s="2">
        <f>IF($M692=Y$3,-$K692,0)</f>
        <v>0</v>
      </c>
      <c r="Z692" s="2">
        <f>IF($M692=Z$3,-$K692,0)</f>
        <v>0</v>
      </c>
      <c r="AA692" s="2">
        <f>IF($M692=AA$3,-$K692,0)</f>
        <v>0</v>
      </c>
      <c r="AB692" s="2">
        <f>IF($M692=AB$3,-$K692,0)</f>
        <v>0</v>
      </c>
      <c r="AC692" s="21">
        <f>IF($M692=AC$3,-$K692,0)</f>
        <v>0</v>
      </c>
      <c r="AD692" s="20"/>
      <c r="AE692" s="19"/>
      <c r="AF692" s="2"/>
      <c r="AG692" s="2">
        <f>-$K692</f>
        <v>106019</v>
      </c>
      <c r="AH692" s="2">
        <f>K692+SUM(O692:AC692)</f>
        <v>0</v>
      </c>
      <c r="AI692" s="2">
        <f>K692+SUM(AF692:AG692)</f>
        <v>0</v>
      </c>
    </row>
    <row r="693" spans="1:35" x14ac:dyDescent="0.2">
      <c r="A693" s="23" t="s">
        <v>61</v>
      </c>
      <c r="B693" s="22" t="s">
        <v>184</v>
      </c>
      <c r="H693" s="11" t="s">
        <v>187</v>
      </c>
      <c r="I693" s="11" t="s">
        <v>182</v>
      </c>
      <c r="K693" s="11">
        <v>-875000</v>
      </c>
      <c r="L693" s="12">
        <v>102025</v>
      </c>
      <c r="M693" s="11" t="s">
        <v>195</v>
      </c>
      <c r="N693" s="11"/>
      <c r="O693" s="2">
        <f>IF($M693=O$3,-$K693,0)</f>
        <v>0</v>
      </c>
      <c r="P693" s="2">
        <f>IF($M693=P$3,-$K693,0)</f>
        <v>0</v>
      </c>
      <c r="Q693" s="2">
        <f>IF($M693=Q$3,-$K693,0)</f>
        <v>0</v>
      </c>
      <c r="R693" s="2">
        <f>IF($M693=R$3,-$K693,0)</f>
        <v>0</v>
      </c>
      <c r="S693" s="2">
        <f>IF($M693=S$3,-$K693,0)</f>
        <v>0</v>
      </c>
      <c r="T693" s="2">
        <f>IF($M693=T$3,-$K693,0)</f>
        <v>0</v>
      </c>
      <c r="U693" s="2">
        <f>IF($M693=U$3,-$K693,0)</f>
        <v>875000</v>
      </c>
      <c r="V693" s="2">
        <f>IF($M693=V$3,-$K693,0)</f>
        <v>0</v>
      </c>
      <c r="W693" s="2">
        <f>IF($M693=W$3,-$K693,0)</f>
        <v>0</v>
      </c>
      <c r="X693" s="2">
        <f>IF($M693=X$3,-$K693,0)</f>
        <v>0</v>
      </c>
      <c r="Y693" s="2">
        <f>IF($M693=Y$3,-$K693,0)</f>
        <v>0</v>
      </c>
      <c r="Z693" s="2">
        <f>IF($M693=Z$3,-$K693,0)</f>
        <v>0</v>
      </c>
      <c r="AA693" s="2">
        <f>IF($M693=AA$3,-$K693,0)</f>
        <v>0</v>
      </c>
      <c r="AB693" s="2">
        <f>IF($M693=AB$3,-$K693,0)</f>
        <v>0</v>
      </c>
      <c r="AC693" s="21">
        <f>IF($M693=AC$3,-$K693,0)</f>
        <v>0</v>
      </c>
      <c r="AD693" s="20"/>
      <c r="AE693" s="19"/>
      <c r="AF693" s="2"/>
      <c r="AG693" s="2">
        <f>-$K693</f>
        <v>875000</v>
      </c>
      <c r="AH693" s="2">
        <f>K693+SUM(O693:AC693)</f>
        <v>0</v>
      </c>
      <c r="AI693" s="2">
        <f>K693+SUM(AF693:AG693)</f>
        <v>0</v>
      </c>
    </row>
    <row r="694" spans="1:35" x14ac:dyDescent="0.2">
      <c r="A694" s="23" t="s">
        <v>61</v>
      </c>
      <c r="B694" s="22" t="s">
        <v>184</v>
      </c>
      <c r="H694" s="11" t="s">
        <v>194</v>
      </c>
      <c r="I694" s="11" t="s">
        <v>182</v>
      </c>
      <c r="K694" s="13">
        <v>-3035340</v>
      </c>
      <c r="L694" s="12">
        <v>102025</v>
      </c>
      <c r="M694" s="11" t="s">
        <v>138</v>
      </c>
      <c r="N694" s="11"/>
      <c r="O694" s="2">
        <f>IF($M694=O$3,-$K694,0)</f>
        <v>0</v>
      </c>
      <c r="P694" s="2">
        <f>IF($M694=P$3,-$K694,0)</f>
        <v>0</v>
      </c>
      <c r="Q694" s="2">
        <f>IF($M694=Q$3,-$K694,0)</f>
        <v>3035340</v>
      </c>
      <c r="R694" s="2">
        <f>IF($M694=R$3,-$K694,0)</f>
        <v>0</v>
      </c>
      <c r="S694" s="2">
        <f>IF($M694=S$3,-$K694,0)</f>
        <v>0</v>
      </c>
      <c r="T694" s="2">
        <f>IF($M694=T$3,-$K694,0)</f>
        <v>0</v>
      </c>
      <c r="U694" s="2">
        <f>IF($M694=U$3,-$K694,0)</f>
        <v>0</v>
      </c>
      <c r="V694" s="2">
        <f>IF($M694=V$3,-$K694,0)</f>
        <v>0</v>
      </c>
      <c r="W694" s="2">
        <f>IF($M694=W$3,-$K694,0)</f>
        <v>0</v>
      </c>
      <c r="X694" s="2">
        <f>IF($M694=X$3,-$K694,0)</f>
        <v>0</v>
      </c>
      <c r="Y694" s="2">
        <f>IF($M694=Y$3,-$K694,0)</f>
        <v>0</v>
      </c>
      <c r="Z694" s="2">
        <f>IF($M694=Z$3,-$K694,0)</f>
        <v>0</v>
      </c>
      <c r="AA694" s="2">
        <f>IF($M694=AA$3,-$K694,0)</f>
        <v>0</v>
      </c>
      <c r="AB694" s="2">
        <f>IF($M694=AB$3,-$K694,0)</f>
        <v>0</v>
      </c>
      <c r="AC694" s="21">
        <f>IF($M694=AC$3,-$K694,0)</f>
        <v>0</v>
      </c>
      <c r="AD694" s="20"/>
      <c r="AE694" s="19"/>
      <c r="AF694" s="4">
        <f>-$K694</f>
        <v>3035340</v>
      </c>
      <c r="AG694" s="2"/>
      <c r="AH694" s="2">
        <f>K694+SUM(O694:AC694)</f>
        <v>0</v>
      </c>
      <c r="AI694" s="2">
        <f>K694+SUM(AF694:AG694)</f>
        <v>0</v>
      </c>
    </row>
    <row r="695" spans="1:35" x14ac:dyDescent="0.2">
      <c r="A695" s="23" t="s">
        <v>61</v>
      </c>
      <c r="B695" s="22" t="s">
        <v>184</v>
      </c>
      <c r="H695" s="11" t="s">
        <v>193</v>
      </c>
      <c r="I695" s="11" t="s">
        <v>182</v>
      </c>
      <c r="K695" s="13">
        <v>-300000</v>
      </c>
      <c r="L695" s="12">
        <v>102025</v>
      </c>
      <c r="M695" s="11" t="s">
        <v>181</v>
      </c>
      <c r="N695" s="11"/>
      <c r="O695" s="2">
        <f>IF($M695=O$3,-$K695,0)</f>
        <v>0</v>
      </c>
      <c r="P695" s="2">
        <f>IF($M695=P$3,-$K695,0)</f>
        <v>0</v>
      </c>
      <c r="Q695" s="2">
        <f>IF($M695=Q$3,-$K695,0)</f>
        <v>0</v>
      </c>
      <c r="R695" s="2">
        <f>IF($M695=R$3,-$K695,0)</f>
        <v>0</v>
      </c>
      <c r="S695" s="2">
        <f>IF($M695=S$3,-$K695,0)</f>
        <v>0</v>
      </c>
      <c r="T695" s="2">
        <f>IF($M695=T$3,-$K695,0)</f>
        <v>0</v>
      </c>
      <c r="U695" s="2">
        <f>IF($M695=U$3,-$K695,0)</f>
        <v>0</v>
      </c>
      <c r="V695" s="2">
        <f>IF($M695=V$3,-$K695,0)</f>
        <v>0</v>
      </c>
      <c r="W695" s="2">
        <f>IF($M695=W$3,-$K695,0)</f>
        <v>300000</v>
      </c>
      <c r="X695" s="2">
        <f>IF($M695=X$3,-$K695,0)</f>
        <v>0</v>
      </c>
      <c r="Y695" s="2">
        <f>IF($M695=Y$3,-$K695,0)</f>
        <v>0</v>
      </c>
      <c r="Z695" s="2">
        <f>IF($M695=Z$3,-$K695,0)</f>
        <v>0</v>
      </c>
      <c r="AA695" s="2">
        <f>IF($M695=AA$3,-$K695,0)</f>
        <v>0</v>
      </c>
      <c r="AB695" s="2">
        <f>IF($M695=AB$3,-$K695,0)</f>
        <v>0</v>
      </c>
      <c r="AC695" s="21">
        <f>IF($M695=AC$3,-$K695,0)</f>
        <v>0</v>
      </c>
      <c r="AD695" s="20"/>
      <c r="AE695" s="19"/>
      <c r="AF695" s="2"/>
      <c r="AG695" s="4">
        <f>-$K695</f>
        <v>300000</v>
      </c>
      <c r="AH695" s="2">
        <f>K695+SUM(O695:AC695)</f>
        <v>0</v>
      </c>
      <c r="AI695" s="2">
        <f>K695+SUM(AF695:AG695)</f>
        <v>0</v>
      </c>
    </row>
    <row r="696" spans="1:35" x14ac:dyDescent="0.2">
      <c r="A696" s="23" t="s">
        <v>61</v>
      </c>
      <c r="B696" s="22" t="s">
        <v>184</v>
      </c>
      <c r="H696" s="11" t="s">
        <v>192</v>
      </c>
      <c r="I696" s="11" t="s">
        <v>182</v>
      </c>
      <c r="K696" s="13">
        <v>-960000</v>
      </c>
      <c r="L696" s="12">
        <v>102025</v>
      </c>
      <c r="M696" s="11" t="s">
        <v>181</v>
      </c>
      <c r="N696" s="11"/>
      <c r="O696" s="2">
        <f>IF($M696=O$3,-$K696,0)</f>
        <v>0</v>
      </c>
      <c r="P696" s="2">
        <f>IF($M696=P$3,-$K696,0)</f>
        <v>0</v>
      </c>
      <c r="Q696" s="2">
        <f>IF($M696=Q$3,-$K696,0)</f>
        <v>0</v>
      </c>
      <c r="R696" s="2">
        <f>IF($M696=R$3,-$K696,0)</f>
        <v>0</v>
      </c>
      <c r="S696" s="2">
        <f>IF($M696=S$3,-$K696,0)</f>
        <v>0</v>
      </c>
      <c r="T696" s="2">
        <f>IF($M696=T$3,-$K696,0)</f>
        <v>0</v>
      </c>
      <c r="U696" s="2">
        <f>IF($M696=U$3,-$K696,0)</f>
        <v>0</v>
      </c>
      <c r="V696" s="2">
        <f>IF($M696=V$3,-$K696,0)</f>
        <v>0</v>
      </c>
      <c r="W696" s="2">
        <f>IF($M696=W$3,-$K696,0)</f>
        <v>960000</v>
      </c>
      <c r="X696" s="2">
        <f>IF($M696=X$3,-$K696,0)</f>
        <v>0</v>
      </c>
      <c r="Y696" s="2">
        <f>IF($M696=Y$3,-$K696,0)</f>
        <v>0</v>
      </c>
      <c r="Z696" s="2">
        <f>IF($M696=Z$3,-$K696,0)</f>
        <v>0</v>
      </c>
      <c r="AA696" s="2">
        <f>IF($M696=AA$3,-$K696,0)</f>
        <v>0</v>
      </c>
      <c r="AB696" s="2">
        <f>IF($M696=AB$3,-$K696,0)</f>
        <v>0</v>
      </c>
      <c r="AC696" s="21">
        <f>IF($M696=AC$3,-$K696,0)</f>
        <v>0</v>
      </c>
      <c r="AD696" s="20"/>
      <c r="AE696" s="19"/>
      <c r="AF696" s="2"/>
      <c r="AG696" s="4">
        <f>-$K696</f>
        <v>960000</v>
      </c>
      <c r="AH696" s="2">
        <f>K696+SUM(O696:AC696)</f>
        <v>0</v>
      </c>
      <c r="AI696" s="2">
        <f>K696+SUM(AF696:AG696)</f>
        <v>0</v>
      </c>
    </row>
    <row r="697" spans="1:35" x14ac:dyDescent="0.2">
      <c r="A697" s="23" t="s">
        <v>61</v>
      </c>
      <c r="B697" s="22" t="s">
        <v>184</v>
      </c>
      <c r="H697" s="11" t="s">
        <v>191</v>
      </c>
      <c r="I697" s="11" t="s">
        <v>182</v>
      </c>
      <c r="K697" s="13">
        <v>-200000</v>
      </c>
      <c r="L697" s="12">
        <v>102025</v>
      </c>
      <c r="M697" s="11" t="s">
        <v>181</v>
      </c>
      <c r="N697" s="11"/>
      <c r="O697" s="2">
        <f>IF($M697=O$3,-$K697,0)</f>
        <v>0</v>
      </c>
      <c r="P697" s="2">
        <f>IF($M697=P$3,-$K697,0)</f>
        <v>0</v>
      </c>
      <c r="Q697" s="2">
        <f>IF($M697=Q$3,-$K697,0)</f>
        <v>0</v>
      </c>
      <c r="R697" s="2">
        <f>IF($M697=R$3,-$K697,0)</f>
        <v>0</v>
      </c>
      <c r="S697" s="2">
        <f>IF($M697=S$3,-$K697,0)</f>
        <v>0</v>
      </c>
      <c r="T697" s="2">
        <f>IF($M697=T$3,-$K697,0)</f>
        <v>0</v>
      </c>
      <c r="U697" s="2">
        <f>IF($M697=U$3,-$K697,0)</f>
        <v>0</v>
      </c>
      <c r="V697" s="2">
        <f>IF($M697=V$3,-$K697,0)</f>
        <v>0</v>
      </c>
      <c r="W697" s="2">
        <f>IF($M697=W$3,-$K697,0)</f>
        <v>200000</v>
      </c>
      <c r="X697" s="2">
        <f>IF($M697=X$3,-$K697,0)</f>
        <v>0</v>
      </c>
      <c r="Y697" s="2">
        <f>IF($M697=Y$3,-$K697,0)</f>
        <v>0</v>
      </c>
      <c r="Z697" s="2">
        <f>IF($M697=Z$3,-$K697,0)</f>
        <v>0</v>
      </c>
      <c r="AA697" s="2">
        <f>IF($M697=AA$3,-$K697,0)</f>
        <v>0</v>
      </c>
      <c r="AB697" s="2">
        <f>IF($M697=AB$3,-$K697,0)</f>
        <v>0</v>
      </c>
      <c r="AC697" s="21">
        <f>IF($M697=AC$3,-$K697,0)</f>
        <v>0</v>
      </c>
      <c r="AD697" s="20"/>
      <c r="AE697" s="19"/>
      <c r="AF697" s="2"/>
      <c r="AG697" s="2">
        <f>-$K697</f>
        <v>200000</v>
      </c>
      <c r="AH697" s="2">
        <f>K697+SUM(O697:AC697)</f>
        <v>0</v>
      </c>
      <c r="AI697" s="2">
        <f>K697+SUM(AF697:AG697)</f>
        <v>0</v>
      </c>
    </row>
    <row r="698" spans="1:35" x14ac:dyDescent="0.2">
      <c r="A698" s="23" t="s">
        <v>61</v>
      </c>
      <c r="B698" s="22" t="s">
        <v>184</v>
      </c>
      <c r="H698" s="11" t="s">
        <v>190</v>
      </c>
      <c r="I698" s="11" t="s">
        <v>182</v>
      </c>
      <c r="K698" s="13">
        <v>-960000</v>
      </c>
      <c r="L698" s="12">
        <v>102025</v>
      </c>
      <c r="M698" s="11" t="s">
        <v>181</v>
      </c>
      <c r="N698" s="11"/>
      <c r="O698" s="2">
        <f>IF($M698=O$3,-$K698,0)</f>
        <v>0</v>
      </c>
      <c r="P698" s="2">
        <f>IF($M698=P$3,-$K698,0)</f>
        <v>0</v>
      </c>
      <c r="Q698" s="2">
        <f>IF($M698=Q$3,-$K698,0)</f>
        <v>0</v>
      </c>
      <c r="R698" s="2">
        <f>IF($M698=R$3,-$K698,0)</f>
        <v>0</v>
      </c>
      <c r="S698" s="2">
        <f>IF($M698=S$3,-$K698,0)</f>
        <v>0</v>
      </c>
      <c r="T698" s="2">
        <f>IF($M698=T$3,-$K698,0)</f>
        <v>0</v>
      </c>
      <c r="U698" s="2">
        <f>IF($M698=U$3,-$K698,0)</f>
        <v>0</v>
      </c>
      <c r="V698" s="2">
        <f>IF($M698=V$3,-$K698,0)</f>
        <v>0</v>
      </c>
      <c r="W698" s="2">
        <f>IF($M698=W$3,-$K698,0)</f>
        <v>960000</v>
      </c>
      <c r="X698" s="2">
        <f>IF($M698=X$3,-$K698,0)</f>
        <v>0</v>
      </c>
      <c r="Y698" s="2">
        <f>IF($M698=Y$3,-$K698,0)</f>
        <v>0</v>
      </c>
      <c r="Z698" s="2">
        <f>IF($M698=Z$3,-$K698,0)</f>
        <v>0</v>
      </c>
      <c r="AA698" s="2">
        <f>IF($M698=AA$3,-$K698,0)</f>
        <v>0</v>
      </c>
      <c r="AB698" s="2">
        <f>IF($M698=AB$3,-$K698,0)</f>
        <v>0</v>
      </c>
      <c r="AC698" s="21">
        <f>IF($M698=AC$3,-$K698,0)</f>
        <v>0</v>
      </c>
      <c r="AD698" s="20"/>
      <c r="AE698" s="19"/>
      <c r="AF698" s="2"/>
      <c r="AG698" s="2">
        <f>-$K698</f>
        <v>960000</v>
      </c>
      <c r="AH698" s="2">
        <f>K698+SUM(O698:AC698)</f>
        <v>0</v>
      </c>
      <c r="AI698" s="2">
        <f>K698+SUM(AF698:AG698)</f>
        <v>0</v>
      </c>
    </row>
    <row r="699" spans="1:35" x14ac:dyDescent="0.2">
      <c r="A699" s="23" t="s">
        <v>61</v>
      </c>
      <c r="B699" s="22" t="s">
        <v>184</v>
      </c>
      <c r="H699" s="11" t="s">
        <v>189</v>
      </c>
      <c r="I699" s="11" t="s">
        <v>182</v>
      </c>
      <c r="K699" s="13">
        <v>-960000</v>
      </c>
      <c r="L699" s="12">
        <v>102025</v>
      </c>
      <c r="M699" s="11" t="s">
        <v>181</v>
      </c>
      <c r="N699" s="11"/>
      <c r="O699" s="2">
        <f>IF($M699=O$3,-$K699,0)</f>
        <v>0</v>
      </c>
      <c r="P699" s="2">
        <f>IF($M699=P$3,-$K699,0)</f>
        <v>0</v>
      </c>
      <c r="Q699" s="2">
        <f>IF($M699=Q$3,-$K699,0)</f>
        <v>0</v>
      </c>
      <c r="R699" s="2">
        <f>IF($M699=R$3,-$K699,0)</f>
        <v>0</v>
      </c>
      <c r="S699" s="2">
        <f>IF($M699=S$3,-$K699,0)</f>
        <v>0</v>
      </c>
      <c r="T699" s="2">
        <f>IF($M699=T$3,-$K699,0)</f>
        <v>0</v>
      </c>
      <c r="U699" s="2">
        <f>IF($M699=U$3,-$K699,0)</f>
        <v>0</v>
      </c>
      <c r="V699" s="2">
        <f>IF($M699=V$3,-$K699,0)</f>
        <v>0</v>
      </c>
      <c r="W699" s="2">
        <f>IF($M699=W$3,-$K699,0)</f>
        <v>960000</v>
      </c>
      <c r="X699" s="2">
        <f>IF($M699=X$3,-$K699,0)</f>
        <v>0</v>
      </c>
      <c r="Y699" s="2">
        <f>IF($M699=Y$3,-$K699,0)</f>
        <v>0</v>
      </c>
      <c r="Z699" s="2">
        <f>IF($M699=Z$3,-$K699,0)</f>
        <v>0</v>
      </c>
      <c r="AA699" s="2">
        <f>IF($M699=AA$3,-$K699,0)</f>
        <v>0</v>
      </c>
      <c r="AB699" s="2">
        <f>IF($M699=AB$3,-$K699,0)</f>
        <v>0</v>
      </c>
      <c r="AC699" s="21">
        <f>IF($M699=AC$3,-$K699,0)</f>
        <v>0</v>
      </c>
      <c r="AD699" s="20"/>
      <c r="AE699" s="19"/>
      <c r="AF699" s="2"/>
      <c r="AG699" s="2">
        <f>-$K699</f>
        <v>960000</v>
      </c>
      <c r="AH699" s="2">
        <f>K699+SUM(O699:AC699)</f>
        <v>0</v>
      </c>
      <c r="AI699" s="2">
        <f>K699+SUM(AF699:AG699)</f>
        <v>0</v>
      </c>
    </row>
    <row r="700" spans="1:35" x14ac:dyDescent="0.2">
      <c r="A700" s="23" t="s">
        <v>61</v>
      </c>
      <c r="B700" s="22" t="s">
        <v>184</v>
      </c>
      <c r="H700" s="11" t="s">
        <v>188</v>
      </c>
      <c r="I700" s="11" t="s">
        <v>182</v>
      </c>
      <c r="K700" s="13">
        <v>-360000</v>
      </c>
      <c r="L700" s="12">
        <v>102025</v>
      </c>
      <c r="M700" s="11" t="s">
        <v>181</v>
      </c>
      <c r="N700" s="11"/>
      <c r="O700" s="2">
        <f>IF($M700=O$3,-$K700,0)</f>
        <v>0</v>
      </c>
      <c r="P700" s="2">
        <f>IF($M700=P$3,-$K700,0)</f>
        <v>0</v>
      </c>
      <c r="Q700" s="2">
        <f>IF($M700=Q$3,-$K700,0)</f>
        <v>0</v>
      </c>
      <c r="R700" s="2">
        <f>IF($M700=R$3,-$K700,0)</f>
        <v>0</v>
      </c>
      <c r="S700" s="2">
        <f>IF($M700=S$3,-$K700,0)</f>
        <v>0</v>
      </c>
      <c r="T700" s="2">
        <f>IF($M700=T$3,-$K700,0)</f>
        <v>0</v>
      </c>
      <c r="U700" s="2">
        <f>IF($M700=U$3,-$K700,0)</f>
        <v>0</v>
      </c>
      <c r="V700" s="2">
        <f>IF($M700=V$3,-$K700,0)</f>
        <v>0</v>
      </c>
      <c r="W700" s="2">
        <f>IF($M700=W$3,-$K700,0)</f>
        <v>360000</v>
      </c>
      <c r="X700" s="2">
        <f>IF($M700=X$3,-$K700,0)</f>
        <v>0</v>
      </c>
      <c r="Y700" s="2">
        <f>IF($M700=Y$3,-$K700,0)</f>
        <v>0</v>
      </c>
      <c r="Z700" s="2">
        <f>IF($M700=Z$3,-$K700,0)</f>
        <v>0</v>
      </c>
      <c r="AA700" s="2">
        <f>IF($M700=AA$3,-$K700,0)</f>
        <v>0</v>
      </c>
      <c r="AB700" s="2">
        <f>IF($M700=AB$3,-$K700,0)</f>
        <v>0</v>
      </c>
      <c r="AC700" s="21">
        <f>IF($M700=AC$3,-$K700,0)</f>
        <v>0</v>
      </c>
      <c r="AD700" s="20"/>
      <c r="AE700" s="19"/>
      <c r="AF700" s="2"/>
      <c r="AG700" s="2">
        <f>-$K700</f>
        <v>360000</v>
      </c>
      <c r="AH700" s="2">
        <f>K700+SUM(O700:AC700)</f>
        <v>0</v>
      </c>
      <c r="AI700" s="2">
        <f>K700+SUM(AF700:AG700)</f>
        <v>0</v>
      </c>
    </row>
    <row r="701" spans="1:35" x14ac:dyDescent="0.2">
      <c r="A701" s="23" t="s">
        <v>61</v>
      </c>
      <c r="B701" s="22" t="s">
        <v>184</v>
      </c>
      <c r="H701" s="11" t="s">
        <v>187</v>
      </c>
      <c r="I701" s="11" t="s">
        <v>182</v>
      </c>
      <c r="K701" s="13">
        <v>-400000</v>
      </c>
      <c r="L701" s="12">
        <v>102025</v>
      </c>
      <c r="M701" s="11" t="s">
        <v>181</v>
      </c>
      <c r="N701" s="11"/>
      <c r="O701" s="2">
        <f>IF($M701=O$3,-$K701,0)</f>
        <v>0</v>
      </c>
      <c r="P701" s="2">
        <f>IF($M701=P$3,-$K701,0)</f>
        <v>0</v>
      </c>
      <c r="Q701" s="2">
        <f>IF($M701=Q$3,-$K701,0)</f>
        <v>0</v>
      </c>
      <c r="R701" s="2">
        <f>IF($M701=R$3,-$K701,0)</f>
        <v>0</v>
      </c>
      <c r="S701" s="2">
        <f>IF($M701=S$3,-$K701,0)</f>
        <v>0</v>
      </c>
      <c r="T701" s="2">
        <f>IF($M701=T$3,-$K701,0)</f>
        <v>0</v>
      </c>
      <c r="U701" s="2">
        <f>IF($M701=U$3,-$K701,0)</f>
        <v>0</v>
      </c>
      <c r="V701" s="2">
        <f>IF($M701=V$3,-$K701,0)</f>
        <v>0</v>
      </c>
      <c r="W701" s="2">
        <f>IF($M701=W$3,-$K701,0)</f>
        <v>400000</v>
      </c>
      <c r="X701" s="2">
        <f>IF($M701=X$3,-$K701,0)</f>
        <v>0</v>
      </c>
      <c r="Y701" s="2">
        <f>IF($M701=Y$3,-$K701,0)</f>
        <v>0</v>
      </c>
      <c r="Z701" s="2">
        <f>IF($M701=Z$3,-$K701,0)</f>
        <v>0</v>
      </c>
      <c r="AA701" s="2">
        <f>IF($M701=AA$3,-$K701,0)</f>
        <v>0</v>
      </c>
      <c r="AB701" s="2">
        <f>IF($M701=AB$3,-$K701,0)</f>
        <v>0</v>
      </c>
      <c r="AC701" s="21">
        <f>IF($M701=AC$3,-$K701,0)</f>
        <v>0</v>
      </c>
      <c r="AD701" s="20"/>
      <c r="AE701" s="19"/>
      <c r="AF701" s="2"/>
      <c r="AG701" s="2">
        <f>-$K701</f>
        <v>400000</v>
      </c>
      <c r="AH701" s="2">
        <f>K701+SUM(O701:AC701)</f>
        <v>0</v>
      </c>
      <c r="AI701" s="2">
        <f>K701+SUM(AF701:AG701)</f>
        <v>0</v>
      </c>
    </row>
    <row r="702" spans="1:35" x14ac:dyDescent="0.2">
      <c r="A702" s="23" t="s">
        <v>61</v>
      </c>
      <c r="B702" s="22" t="s">
        <v>184</v>
      </c>
      <c r="H702" s="11" t="s">
        <v>186</v>
      </c>
      <c r="I702" s="11" t="s">
        <v>182</v>
      </c>
      <c r="K702" s="13">
        <v>-350000</v>
      </c>
      <c r="L702" s="12">
        <v>102025</v>
      </c>
      <c r="M702" s="11" t="s">
        <v>181</v>
      </c>
      <c r="N702" s="11"/>
      <c r="O702" s="2">
        <f>IF($M702=O$3,-$K702,0)</f>
        <v>0</v>
      </c>
      <c r="P702" s="2">
        <f>IF($M702=P$3,-$K702,0)</f>
        <v>0</v>
      </c>
      <c r="Q702" s="2">
        <f>IF($M702=Q$3,-$K702,0)</f>
        <v>0</v>
      </c>
      <c r="R702" s="2">
        <f>IF($M702=R$3,-$K702,0)</f>
        <v>0</v>
      </c>
      <c r="S702" s="2">
        <f>IF($M702=S$3,-$K702,0)</f>
        <v>0</v>
      </c>
      <c r="T702" s="2">
        <f>IF($M702=T$3,-$K702,0)</f>
        <v>0</v>
      </c>
      <c r="U702" s="2">
        <f>IF($M702=U$3,-$K702,0)</f>
        <v>0</v>
      </c>
      <c r="V702" s="2">
        <f>IF($M702=V$3,-$K702,0)</f>
        <v>0</v>
      </c>
      <c r="W702" s="2">
        <f>IF($M702=W$3,-$K702,0)</f>
        <v>350000</v>
      </c>
      <c r="X702" s="2">
        <f>IF($M702=X$3,-$K702,0)</f>
        <v>0</v>
      </c>
      <c r="Y702" s="2">
        <f>IF($M702=Y$3,-$K702,0)</f>
        <v>0</v>
      </c>
      <c r="Z702" s="2">
        <f>IF($M702=Z$3,-$K702,0)</f>
        <v>0</v>
      </c>
      <c r="AA702" s="2">
        <f>IF($M702=AA$3,-$K702,0)</f>
        <v>0</v>
      </c>
      <c r="AB702" s="2">
        <f>IF($M702=AB$3,-$K702,0)</f>
        <v>0</v>
      </c>
      <c r="AC702" s="21">
        <f>IF($M702=AC$3,-$K702,0)</f>
        <v>0</v>
      </c>
      <c r="AD702" s="20"/>
      <c r="AE702" s="19"/>
      <c r="AF702" s="2"/>
      <c r="AG702" s="2">
        <f>-$K702</f>
        <v>350000</v>
      </c>
      <c r="AH702" s="2">
        <f>K702+SUM(O702:AC702)</f>
        <v>0</v>
      </c>
      <c r="AI702" s="2">
        <f>K702+SUM(AF702:AG702)</f>
        <v>0</v>
      </c>
    </row>
    <row r="703" spans="1:35" x14ac:dyDescent="0.2">
      <c r="A703" s="23" t="s">
        <v>61</v>
      </c>
      <c r="B703" s="22" t="s">
        <v>184</v>
      </c>
      <c r="H703" s="11" t="s">
        <v>185</v>
      </c>
      <c r="I703" s="11" t="s">
        <v>182</v>
      </c>
      <c r="K703" s="13">
        <v>-400000</v>
      </c>
      <c r="L703" s="12">
        <v>102025</v>
      </c>
      <c r="M703" s="11" t="s">
        <v>181</v>
      </c>
      <c r="N703" s="11"/>
      <c r="O703" s="2">
        <f>IF($M703=O$3,-$K703,0)</f>
        <v>0</v>
      </c>
      <c r="P703" s="2">
        <f>IF($M703=P$3,-$K703,0)</f>
        <v>0</v>
      </c>
      <c r="Q703" s="2">
        <f>IF($M703=Q$3,-$K703,0)</f>
        <v>0</v>
      </c>
      <c r="R703" s="2">
        <f>IF($M703=R$3,-$K703,0)</f>
        <v>0</v>
      </c>
      <c r="S703" s="2">
        <f>IF($M703=S$3,-$K703,0)</f>
        <v>0</v>
      </c>
      <c r="T703" s="2">
        <f>IF($M703=T$3,-$K703,0)</f>
        <v>0</v>
      </c>
      <c r="U703" s="2">
        <f>IF($M703=U$3,-$K703,0)</f>
        <v>0</v>
      </c>
      <c r="V703" s="2">
        <f>IF($M703=V$3,-$K703,0)</f>
        <v>0</v>
      </c>
      <c r="W703" s="2">
        <f>IF($M703=W$3,-$K703,0)</f>
        <v>400000</v>
      </c>
      <c r="X703" s="2">
        <f>IF($M703=X$3,-$K703,0)</f>
        <v>0</v>
      </c>
      <c r="Y703" s="2">
        <f>IF($M703=Y$3,-$K703,0)</f>
        <v>0</v>
      </c>
      <c r="Z703" s="2">
        <f>IF($M703=Z$3,-$K703,0)</f>
        <v>0</v>
      </c>
      <c r="AA703" s="2">
        <f>IF($M703=AA$3,-$K703,0)</f>
        <v>0</v>
      </c>
      <c r="AB703" s="2">
        <f>IF($M703=AB$3,-$K703,0)</f>
        <v>0</v>
      </c>
      <c r="AC703" s="21">
        <f>IF($M703=AC$3,-$K703,0)</f>
        <v>0</v>
      </c>
      <c r="AD703" s="20"/>
      <c r="AE703" s="19"/>
      <c r="AF703" s="2"/>
      <c r="AG703" s="2">
        <f>-$K703</f>
        <v>400000</v>
      </c>
      <c r="AH703" s="2">
        <f>K703+SUM(O703:AC703)</f>
        <v>0</v>
      </c>
      <c r="AI703" s="2">
        <f>K703+SUM(AF703:AG703)</f>
        <v>0</v>
      </c>
    </row>
    <row r="704" spans="1:35" x14ac:dyDescent="0.2">
      <c r="A704" s="23" t="s">
        <v>61</v>
      </c>
      <c r="B704" s="22" t="s">
        <v>184</v>
      </c>
      <c r="H704" s="11" t="s">
        <v>183</v>
      </c>
      <c r="I704" s="11" t="s">
        <v>182</v>
      </c>
      <c r="K704" s="13">
        <v>-400000</v>
      </c>
      <c r="L704" s="12">
        <v>102025</v>
      </c>
      <c r="M704" s="11" t="s">
        <v>181</v>
      </c>
      <c r="N704" s="11"/>
      <c r="O704" s="2">
        <f>IF($M704=O$3,-$K704,0)</f>
        <v>0</v>
      </c>
      <c r="P704" s="2">
        <f>IF($M704=P$3,-$K704,0)</f>
        <v>0</v>
      </c>
      <c r="Q704" s="2">
        <f>IF($M704=Q$3,-$K704,0)</f>
        <v>0</v>
      </c>
      <c r="R704" s="2">
        <f>IF($M704=R$3,-$K704,0)</f>
        <v>0</v>
      </c>
      <c r="S704" s="2">
        <f>IF($M704=S$3,-$K704,0)</f>
        <v>0</v>
      </c>
      <c r="T704" s="2">
        <f>IF($M704=T$3,-$K704,0)</f>
        <v>0</v>
      </c>
      <c r="U704" s="2">
        <f>IF($M704=U$3,-$K704,0)</f>
        <v>0</v>
      </c>
      <c r="V704" s="2">
        <f>IF($M704=V$3,-$K704,0)</f>
        <v>0</v>
      </c>
      <c r="W704" s="2">
        <f>IF($M704=W$3,-$K704,0)</f>
        <v>400000</v>
      </c>
      <c r="X704" s="2">
        <f>IF($M704=X$3,-$K704,0)</f>
        <v>0</v>
      </c>
      <c r="Y704" s="2">
        <f>IF($M704=Y$3,-$K704,0)</f>
        <v>0</v>
      </c>
      <c r="Z704" s="2">
        <f>IF($M704=Z$3,-$K704,0)</f>
        <v>0</v>
      </c>
      <c r="AA704" s="2">
        <f>IF($M704=AA$3,-$K704,0)</f>
        <v>0</v>
      </c>
      <c r="AB704" s="2">
        <f>IF($M704=AB$3,-$K704,0)</f>
        <v>0</v>
      </c>
      <c r="AC704" s="21">
        <f>IF($M704=AC$3,-$K704,0)</f>
        <v>0</v>
      </c>
      <c r="AD704" s="20"/>
      <c r="AE704" s="19"/>
      <c r="AF704" s="2"/>
      <c r="AG704" s="2">
        <f>-$K704</f>
        <v>400000</v>
      </c>
      <c r="AH704" s="2">
        <f>K704+SUM(O704:AC704)</f>
        <v>0</v>
      </c>
      <c r="AI704" s="2">
        <f>K704+SUM(AF704:AG704)</f>
        <v>0</v>
      </c>
    </row>
    <row r="705" spans="1:35" x14ac:dyDescent="0.2">
      <c r="A705" s="11" t="s">
        <v>99</v>
      </c>
      <c r="B705" s="14"/>
      <c r="H705" s="11"/>
      <c r="I705" s="11"/>
      <c r="K705" s="13"/>
      <c r="L705" s="24"/>
      <c r="M705" s="11"/>
      <c r="N705" s="11"/>
      <c r="AC705" s="21"/>
      <c r="AD705" s="20"/>
      <c r="AE705" s="19"/>
      <c r="AF705" s="2"/>
      <c r="AG705" s="2"/>
      <c r="AH705" s="2"/>
      <c r="AI705" s="2">
        <f>K705+SUM(AF705:AG705)</f>
        <v>0</v>
      </c>
    </row>
    <row r="706" spans="1:35" x14ac:dyDescent="0.2">
      <c r="A706" s="23" t="s">
        <v>3</v>
      </c>
      <c r="B706" s="22" t="s">
        <v>142</v>
      </c>
      <c r="H706" s="11" t="s">
        <v>135</v>
      </c>
      <c r="I706" s="11" t="s">
        <v>180</v>
      </c>
      <c r="K706" s="13">
        <v>0</v>
      </c>
      <c r="L706" s="12">
        <v>102025</v>
      </c>
      <c r="M706" s="11" t="str">
        <f>LEFT(I706,(LEN(LEFT(I706,FIND(";",I706)))-8))</f>
        <v>VNOther</v>
      </c>
      <c r="N706" s="11"/>
      <c r="O706" s="15">
        <f>-$K706*IFERROR(INDEX('[1]salary allocation-v2'!$E$6:$J$22,MATCH($H706,'[1]salary allocation-v2'!$D$6:$D$22,0),MATCH(O$3,'[1]salary allocation-v2'!$E$3:$J$3,0)),0)</f>
        <v>0</v>
      </c>
      <c r="P706" s="15">
        <f>-$K706*IFERROR(INDEX('[1]salary allocation-v2'!$E$6:$J$22,MATCH($H706,'[1]salary allocation-v2'!$D$6:$D$22,0),MATCH(P$3,'[1]salary allocation-v2'!$E$3:$J$3,0)),0)</f>
        <v>0</v>
      </c>
      <c r="Q706" s="15">
        <f>-$K706*IFERROR(INDEX('[1]salary allocation-v2'!$E$6:$J$22,MATCH($H706,'[1]salary allocation-v2'!$D$6:$D$22,0),MATCH(Q$3,'[1]salary allocation-v2'!$E$3:$J$3,0)),0)</f>
        <v>0</v>
      </c>
      <c r="R706" s="15">
        <f>-$K706*IFERROR(INDEX('[1]salary allocation-v2'!$E$6:$J$22,MATCH($H706,'[1]salary allocation-v2'!$D$6:$D$22,0),MATCH(R$3,'[1]salary allocation-v2'!$E$3:$J$3,0)),0)</f>
        <v>0</v>
      </c>
      <c r="S706" s="15">
        <f>-$K706*IFERROR(INDEX('[1]salary allocation-v2'!$E$6:$J$22,MATCH($H706,'[1]salary allocation-v2'!$D$6:$D$22,0),MATCH(S$3,'[1]salary allocation-v2'!$E$3:$J$3,0)),0)</f>
        <v>0</v>
      </c>
      <c r="T706" s="15">
        <f>-$K706*IFERROR(INDEX('[1]salary allocation-v2'!$E$6:$J$22,MATCH($H706,'[1]salary allocation-v2'!$D$6:$D$22,0),MATCH(T$3,'[1]salary allocation-v2'!$E$3:$J$3,0)),0)</f>
        <v>0</v>
      </c>
      <c r="U706" s="15">
        <f>-$K706*IFERROR(INDEX('[1]salary allocation-v2'!$E$6:$J$22,MATCH($H706,'[1]salary allocation-v2'!$D$6:$D$22,0),MATCH(U$3,'[1]salary allocation-v2'!$E$3:$J$3,0)),0)</f>
        <v>0</v>
      </c>
      <c r="V706" s="15">
        <f>-$K706*IFERROR(INDEX('[1]salary allocation-v2'!$E$6:$J$22,MATCH($H706,'[1]salary allocation-v2'!$D$6:$D$22,0),MATCH(V$3,'[1]salary allocation-v2'!$E$3:$J$3,0)),0)</f>
        <v>0</v>
      </c>
      <c r="W706" s="15">
        <f>-$K706*IFERROR(INDEX('[1]salary allocation-v2'!$E$6:$J$22,MATCH($H706,'[1]salary allocation-v2'!$D$6:$D$22,0),MATCH(W$3,'[1]salary allocation-v2'!$E$3:$J$3,0)),0)</f>
        <v>0</v>
      </c>
      <c r="X706" s="15">
        <f>-$K706*IFERROR(INDEX('[1]salary allocation-v2'!$E$6:$J$22,MATCH($H706,'[1]salary allocation-v2'!$D$6:$D$22,0),MATCH(X$3,'[1]salary allocation-v2'!$E$3:$J$3,0)),0)</f>
        <v>0</v>
      </c>
      <c r="Y706" s="15">
        <f>-$K706*IFERROR(INDEX('[1]salary allocation-v2'!$E$6:$J$22,MATCH($H706,'[1]salary allocation-v2'!$D$6:$D$22,0),MATCH(Y$3,'[1]salary allocation-v2'!$E$3:$J$3,0)),0)</f>
        <v>0</v>
      </c>
      <c r="Z706" s="15">
        <f>-$K706*IFERROR(INDEX('[1]salary allocation-v2'!$E$6:$J$22,MATCH($H706,'[1]salary allocation-v2'!$D$6:$D$22,0),MATCH(Z$3,'[1]salary allocation-v2'!$E$3:$J$3,0)),0)</f>
        <v>0</v>
      </c>
      <c r="AA706" s="15">
        <f>-$K706*IFERROR(INDEX('[1]salary allocation-v2'!$E$6:$J$22,MATCH($H706,'[1]salary allocation-v2'!$D$6:$D$22,0),MATCH(AA$3,'[1]salary allocation-v2'!$E$3:$J$3,0)),0)</f>
        <v>0</v>
      </c>
      <c r="AB706" s="15">
        <f>-$K706*IFERROR(INDEX('[1]salary allocation-v2'!$E$6:$J$22,MATCH($H706,'[1]salary allocation-v2'!$D$6:$D$22,0),MATCH(AB$3,'[1]salary allocation-v2'!$E$3:$J$3,0)),0)</f>
        <v>0</v>
      </c>
      <c r="AC706" s="18">
        <f>-$K706*IFERROR(INDEX('[1]salary allocation-v2'!$E$6:$J$22,MATCH($H706,'[1]salary allocation-v2'!$D$6:$D$22,0),MATCH(AC$3,'[1]salary allocation-v2'!$E$3:$J$3,0)),0)</f>
        <v>0</v>
      </c>
      <c r="AD706" s="17"/>
      <c r="AE706" s="16"/>
      <c r="AF706" s="15">
        <f>-$K706</f>
        <v>0</v>
      </c>
      <c r="AG706" s="15"/>
      <c r="AH706" s="2">
        <f>K706+SUM(O706:AC706)</f>
        <v>0</v>
      </c>
      <c r="AI706" s="2">
        <f>K706+SUM(AF706:AG706)</f>
        <v>0</v>
      </c>
    </row>
    <row r="707" spans="1:35" x14ac:dyDescent="0.2">
      <c r="A707" s="23" t="s">
        <v>3</v>
      </c>
      <c r="B707" s="22" t="s">
        <v>142</v>
      </c>
      <c r="H707" s="11" t="s">
        <v>57</v>
      </c>
      <c r="I707" s="11" t="s">
        <v>179</v>
      </c>
      <c r="K707" s="13">
        <v>-15333896</v>
      </c>
      <c r="L707" s="12">
        <v>102025</v>
      </c>
      <c r="M707" s="11" t="str">
        <f>LEFT(I707,(LEN(LEFT(I707,FIND(";",I707)))-8))</f>
        <v>VNOther</v>
      </c>
      <c r="N707" s="11"/>
      <c r="O707" s="15">
        <f>-$K707*IFERROR(INDEX('[1]salary allocation-v2'!$E$6:$J$22,MATCH($H707,'[1]salary allocation-v2'!$D$6:$D$22,0),MATCH(O$3,'[1]salary allocation-v2'!$E$3:$J$3,0)),0)</f>
        <v>0</v>
      </c>
      <c r="P707" s="15">
        <f>-$K707*IFERROR(INDEX('[1]salary allocation-v2'!$E$6:$J$22,MATCH($H707,'[1]salary allocation-v2'!$D$6:$D$22,0),MATCH(P$3,'[1]salary allocation-v2'!$E$3:$J$3,0)),0)</f>
        <v>7666948</v>
      </c>
      <c r="Q707" s="15">
        <f>-$K707*IFERROR(INDEX('[1]salary allocation-v2'!$E$6:$J$22,MATCH($H707,'[1]salary allocation-v2'!$D$6:$D$22,0),MATCH(Q$3,'[1]salary allocation-v2'!$E$3:$J$3,0)),0)</f>
        <v>0</v>
      </c>
      <c r="R707" s="15">
        <f>-$K707*IFERROR(INDEX('[1]salary allocation-v2'!$E$6:$J$22,MATCH($H707,'[1]salary allocation-v2'!$D$6:$D$22,0),MATCH(R$3,'[1]salary allocation-v2'!$E$3:$J$3,0)),0)</f>
        <v>0</v>
      </c>
      <c r="S707" s="15">
        <f>-$K707*IFERROR(INDEX('[1]salary allocation-v2'!$E$6:$J$22,MATCH($H707,'[1]salary allocation-v2'!$D$6:$D$22,0),MATCH(S$3,'[1]salary allocation-v2'!$E$3:$J$3,0)),0)</f>
        <v>1533389.6</v>
      </c>
      <c r="T707" s="15">
        <f>-$K707*IFERROR(INDEX('[1]salary allocation-v2'!$E$6:$J$22,MATCH($H707,'[1]salary allocation-v2'!$D$6:$D$22,0),MATCH(T$3,'[1]salary allocation-v2'!$E$3:$J$3,0)),0)</f>
        <v>1533389.6</v>
      </c>
      <c r="U707" s="15">
        <f>-$K707*IFERROR(INDEX('[1]salary allocation-v2'!$E$6:$J$22,MATCH($H707,'[1]salary allocation-v2'!$D$6:$D$22,0),MATCH(U$3,'[1]salary allocation-v2'!$E$3:$J$3,0)),0)</f>
        <v>1533389.6</v>
      </c>
      <c r="V707" s="15">
        <f>-$K707*IFERROR(INDEX('[1]salary allocation-v2'!$E$6:$J$22,MATCH($H707,'[1]salary allocation-v2'!$D$6:$D$22,0),MATCH(V$3,'[1]salary allocation-v2'!$E$3:$J$3,0)),0)</f>
        <v>0</v>
      </c>
      <c r="W707" s="15">
        <f>-$K707*IFERROR(INDEX('[1]salary allocation-v2'!$E$6:$J$22,MATCH($H707,'[1]salary allocation-v2'!$D$6:$D$22,0),MATCH(W$3,'[1]salary allocation-v2'!$E$3:$J$3,0)),0)</f>
        <v>3066779.2</v>
      </c>
      <c r="X707" s="15">
        <f>-$K707*IFERROR(INDEX('[1]salary allocation-v2'!$E$6:$J$22,MATCH($H707,'[1]salary allocation-v2'!$D$6:$D$22,0),MATCH(X$3,'[1]salary allocation-v2'!$E$3:$J$3,0)),0)</f>
        <v>0</v>
      </c>
      <c r="Y707" s="15">
        <f>-$K707*IFERROR(INDEX('[1]salary allocation-v2'!$E$6:$J$22,MATCH($H707,'[1]salary allocation-v2'!$D$6:$D$22,0),MATCH(Y$3,'[1]salary allocation-v2'!$E$3:$J$3,0)),0)</f>
        <v>0</v>
      </c>
      <c r="Z707" s="15">
        <f>-$K707*IFERROR(INDEX('[1]salary allocation-v2'!$E$6:$J$22,MATCH($H707,'[1]salary allocation-v2'!$D$6:$D$22,0),MATCH(Z$3,'[1]salary allocation-v2'!$E$3:$J$3,0)),0)</f>
        <v>0</v>
      </c>
      <c r="AA707" s="15">
        <f>-$K707*IFERROR(INDEX('[1]salary allocation-v2'!$E$6:$J$22,MATCH($H707,'[1]salary allocation-v2'!$D$6:$D$22,0),MATCH(AA$3,'[1]salary allocation-v2'!$E$3:$J$3,0)),0)</f>
        <v>0</v>
      </c>
      <c r="AB707" s="15">
        <f>-$K707*IFERROR(INDEX('[1]salary allocation-v2'!$E$6:$J$22,MATCH($H707,'[1]salary allocation-v2'!$D$6:$D$22,0),MATCH(AB$3,'[1]salary allocation-v2'!$E$3:$J$3,0)),0)</f>
        <v>0</v>
      </c>
      <c r="AC707" s="18">
        <f>-$K707*IFERROR(INDEX('[1]salary allocation-v2'!$E$6:$J$22,MATCH($H707,'[1]salary allocation-v2'!$D$6:$D$22,0),MATCH(AC$3,'[1]salary allocation-v2'!$E$3:$J$3,0)),0)</f>
        <v>0</v>
      </c>
      <c r="AD707" s="17"/>
      <c r="AE707" s="16"/>
      <c r="AF707" s="15">
        <f>-$K707</f>
        <v>15333896</v>
      </c>
      <c r="AG707" s="15"/>
      <c r="AH707" s="2">
        <f>K707+SUM(O707:AC707)</f>
        <v>0</v>
      </c>
      <c r="AI707" s="2">
        <f>K707+SUM(AF707:AG707)</f>
        <v>0</v>
      </c>
    </row>
    <row r="708" spans="1:35" x14ac:dyDescent="0.2">
      <c r="A708" s="23" t="s">
        <v>3</v>
      </c>
      <c r="B708" s="22" t="s">
        <v>142</v>
      </c>
      <c r="H708" s="11" t="s">
        <v>55</v>
      </c>
      <c r="I708" s="11" t="s">
        <v>178</v>
      </c>
      <c r="K708" s="13">
        <v>-15483132</v>
      </c>
      <c r="L708" s="12">
        <v>102025</v>
      </c>
      <c r="M708" s="11" t="str">
        <f>LEFT(I708,(LEN(LEFT(I708,FIND(";",I708)))-8))</f>
        <v>VNHBC</v>
      </c>
      <c r="N708" s="11"/>
      <c r="O708" s="15">
        <f>-$K708*IFERROR(INDEX('[1]salary allocation-v2'!$E$6:$J$22,MATCH($H708,'[1]salary allocation-v2'!$D$6:$D$22,0),MATCH(O$3,'[1]salary allocation-v2'!$E$3:$J$3,0)),0)</f>
        <v>0</v>
      </c>
      <c r="P708" s="15">
        <f>-$K708*IFERROR(INDEX('[1]salary allocation-v2'!$E$6:$J$22,MATCH($H708,'[1]salary allocation-v2'!$D$6:$D$22,0),MATCH(P$3,'[1]salary allocation-v2'!$E$3:$J$3,0)),0)</f>
        <v>0</v>
      </c>
      <c r="Q708" s="15">
        <f>-$K708*IFERROR(INDEX('[1]salary allocation-v2'!$E$6:$J$22,MATCH($H708,'[1]salary allocation-v2'!$D$6:$D$22,0),MATCH(Q$3,'[1]salary allocation-v2'!$E$3:$J$3,0)),0)</f>
        <v>0</v>
      </c>
      <c r="R708" s="15">
        <f>-$K708*IFERROR(INDEX('[1]salary allocation-v2'!$E$6:$J$22,MATCH($H708,'[1]salary allocation-v2'!$D$6:$D$22,0),MATCH(R$3,'[1]salary allocation-v2'!$E$3:$J$3,0)),0)</f>
        <v>0</v>
      </c>
      <c r="S708" s="15">
        <f>-$K708*IFERROR(INDEX('[1]salary allocation-v2'!$E$6:$J$22,MATCH($H708,'[1]salary allocation-v2'!$D$6:$D$22,0),MATCH(S$3,'[1]salary allocation-v2'!$E$3:$J$3,0)),0)</f>
        <v>3096626.4000000004</v>
      </c>
      <c r="T708" s="15">
        <f>-$K708*IFERROR(INDEX('[1]salary allocation-v2'!$E$6:$J$22,MATCH($H708,'[1]salary allocation-v2'!$D$6:$D$22,0),MATCH(T$3,'[1]salary allocation-v2'!$E$3:$J$3,0)),0)</f>
        <v>3096626.4000000004</v>
      </c>
      <c r="U708" s="15">
        <f>-$K708*IFERROR(INDEX('[1]salary allocation-v2'!$E$6:$J$22,MATCH($H708,'[1]salary allocation-v2'!$D$6:$D$22,0),MATCH(U$3,'[1]salary allocation-v2'!$E$3:$J$3,0)),0)</f>
        <v>3096626.4000000004</v>
      </c>
      <c r="V708" s="15">
        <f>-$K708*IFERROR(INDEX('[1]salary allocation-v2'!$E$6:$J$22,MATCH($H708,'[1]salary allocation-v2'!$D$6:$D$22,0),MATCH(V$3,'[1]salary allocation-v2'!$E$3:$J$3,0)),0)</f>
        <v>0</v>
      </c>
      <c r="W708" s="15">
        <f>-$K708*IFERROR(INDEX('[1]salary allocation-v2'!$E$6:$J$22,MATCH($H708,'[1]salary allocation-v2'!$D$6:$D$22,0),MATCH(W$3,'[1]salary allocation-v2'!$E$3:$J$3,0)),0)</f>
        <v>6193252.8000000007</v>
      </c>
      <c r="X708" s="15">
        <f>-$K708*IFERROR(INDEX('[1]salary allocation-v2'!$E$6:$J$22,MATCH($H708,'[1]salary allocation-v2'!$D$6:$D$22,0),MATCH(X$3,'[1]salary allocation-v2'!$E$3:$J$3,0)),0)</f>
        <v>0</v>
      </c>
      <c r="Y708" s="15">
        <f>-$K708*IFERROR(INDEX('[1]salary allocation-v2'!$E$6:$J$22,MATCH($H708,'[1]salary allocation-v2'!$D$6:$D$22,0),MATCH(Y$3,'[1]salary allocation-v2'!$E$3:$J$3,0)),0)</f>
        <v>0</v>
      </c>
      <c r="Z708" s="15">
        <f>-$K708*IFERROR(INDEX('[1]salary allocation-v2'!$E$6:$J$22,MATCH($H708,'[1]salary allocation-v2'!$D$6:$D$22,0),MATCH(Z$3,'[1]salary allocation-v2'!$E$3:$J$3,0)),0)</f>
        <v>0</v>
      </c>
      <c r="AA708" s="15">
        <f>-$K708*IFERROR(INDEX('[1]salary allocation-v2'!$E$6:$J$22,MATCH($H708,'[1]salary allocation-v2'!$D$6:$D$22,0),MATCH(AA$3,'[1]salary allocation-v2'!$E$3:$J$3,0)),0)</f>
        <v>0</v>
      </c>
      <c r="AB708" s="15">
        <f>-$K708*IFERROR(INDEX('[1]salary allocation-v2'!$E$6:$J$22,MATCH($H708,'[1]salary allocation-v2'!$D$6:$D$22,0),MATCH(AB$3,'[1]salary allocation-v2'!$E$3:$J$3,0)),0)</f>
        <v>0</v>
      </c>
      <c r="AC708" s="18">
        <f>-$K708*IFERROR(INDEX('[1]salary allocation-v2'!$E$6:$J$22,MATCH($H708,'[1]salary allocation-v2'!$D$6:$D$22,0),MATCH(AC$3,'[1]salary allocation-v2'!$E$3:$J$3,0)),0)</f>
        <v>0</v>
      </c>
      <c r="AD708" s="17"/>
      <c r="AE708" s="16"/>
      <c r="AF708" s="15"/>
      <c r="AG708" s="15">
        <f>-$K708</f>
        <v>15483132</v>
      </c>
      <c r="AH708" s="2">
        <f>K708+SUM(O708:AC708)</f>
        <v>0</v>
      </c>
      <c r="AI708" s="2">
        <f>K708+SUM(AF708:AG708)</f>
        <v>0</v>
      </c>
    </row>
    <row r="709" spans="1:35" x14ac:dyDescent="0.2">
      <c r="A709" s="23" t="s">
        <v>3</v>
      </c>
      <c r="B709" s="22" t="s">
        <v>142</v>
      </c>
      <c r="H709" s="11" t="s">
        <v>53</v>
      </c>
      <c r="I709" s="11" t="s">
        <v>177</v>
      </c>
      <c r="K709" s="13">
        <v>-15205906</v>
      </c>
      <c r="L709" s="12">
        <v>102025</v>
      </c>
      <c r="M709" s="11" t="str">
        <f>LEFT(I709,(LEN(LEFT(I709,FIND(";",I709)))-8))</f>
        <v>VNOther</v>
      </c>
      <c r="N709" s="11"/>
      <c r="O709" s="15">
        <f>-$K709*IFERROR(INDEX('[1]salary allocation-v2'!$E$6:$J$22,MATCH($H709,'[1]salary allocation-v2'!$D$6:$D$22,0),MATCH(O$3,'[1]salary allocation-v2'!$E$3:$J$3,0)),0)</f>
        <v>0</v>
      </c>
      <c r="P709" s="15">
        <f>-$K709*IFERROR(INDEX('[1]salary allocation-v2'!$E$6:$J$22,MATCH($H709,'[1]salary allocation-v2'!$D$6:$D$22,0),MATCH(P$3,'[1]salary allocation-v2'!$E$3:$J$3,0)),0)</f>
        <v>0</v>
      </c>
      <c r="Q709" s="15">
        <f>-$K709*IFERROR(INDEX('[1]salary allocation-v2'!$E$6:$J$22,MATCH($H709,'[1]salary allocation-v2'!$D$6:$D$22,0),MATCH(Q$3,'[1]salary allocation-v2'!$E$3:$J$3,0)),0)</f>
        <v>0</v>
      </c>
      <c r="R709" s="15">
        <f>-$K709*IFERROR(INDEX('[1]salary allocation-v2'!$E$6:$J$22,MATCH($H709,'[1]salary allocation-v2'!$D$6:$D$22,0),MATCH(R$3,'[1]salary allocation-v2'!$E$3:$J$3,0)),0)</f>
        <v>0</v>
      </c>
      <c r="S709" s="15">
        <f>-$K709*IFERROR(INDEX('[1]salary allocation-v2'!$E$6:$J$22,MATCH($H709,'[1]salary allocation-v2'!$D$6:$D$22,0),MATCH(S$3,'[1]salary allocation-v2'!$E$3:$J$3,0)),0)</f>
        <v>2585004.0199999996</v>
      </c>
      <c r="T709" s="15">
        <f>-$K709*IFERROR(INDEX('[1]salary allocation-v2'!$E$6:$J$22,MATCH($H709,'[1]salary allocation-v2'!$D$6:$D$22,0),MATCH(T$3,'[1]salary allocation-v2'!$E$3:$J$3,0)),0)</f>
        <v>2585004.0199999996</v>
      </c>
      <c r="U709" s="15">
        <f>-$K709*IFERROR(INDEX('[1]salary allocation-v2'!$E$6:$J$22,MATCH($H709,'[1]salary allocation-v2'!$D$6:$D$22,0),MATCH(U$3,'[1]salary allocation-v2'!$E$3:$J$3,0)),0)</f>
        <v>2585004.0199999996</v>
      </c>
      <c r="V709" s="15">
        <f>-$K709*IFERROR(INDEX('[1]salary allocation-v2'!$E$6:$J$22,MATCH($H709,'[1]salary allocation-v2'!$D$6:$D$22,0),MATCH(V$3,'[1]salary allocation-v2'!$E$3:$J$3,0)),0)</f>
        <v>0</v>
      </c>
      <c r="W709" s="15">
        <f>-$K709*IFERROR(INDEX('[1]salary allocation-v2'!$E$6:$J$22,MATCH($H709,'[1]salary allocation-v2'!$D$6:$D$22,0),MATCH(W$3,'[1]salary allocation-v2'!$E$3:$J$3,0)),0)</f>
        <v>7450893.9399999995</v>
      </c>
      <c r="X709" s="15">
        <f>-$K709*IFERROR(INDEX('[1]salary allocation-v2'!$E$6:$J$22,MATCH($H709,'[1]salary allocation-v2'!$D$6:$D$22,0),MATCH(X$3,'[1]salary allocation-v2'!$E$3:$J$3,0)),0)</f>
        <v>0</v>
      </c>
      <c r="Y709" s="15">
        <f>-$K709*IFERROR(INDEX('[1]salary allocation-v2'!$E$6:$J$22,MATCH($H709,'[1]salary allocation-v2'!$D$6:$D$22,0),MATCH(Y$3,'[1]salary allocation-v2'!$E$3:$J$3,0)),0)</f>
        <v>0</v>
      </c>
      <c r="Z709" s="15">
        <f>-$K709*IFERROR(INDEX('[1]salary allocation-v2'!$E$6:$J$22,MATCH($H709,'[1]salary allocation-v2'!$D$6:$D$22,0),MATCH(Z$3,'[1]salary allocation-v2'!$E$3:$J$3,0)),0)</f>
        <v>0</v>
      </c>
      <c r="AA709" s="15">
        <f>-$K709*IFERROR(INDEX('[1]salary allocation-v2'!$E$6:$J$22,MATCH($H709,'[1]salary allocation-v2'!$D$6:$D$22,0),MATCH(AA$3,'[1]salary allocation-v2'!$E$3:$J$3,0)),0)</f>
        <v>0</v>
      </c>
      <c r="AB709" s="15">
        <f>-$K709*IFERROR(INDEX('[1]salary allocation-v2'!$E$6:$J$22,MATCH($H709,'[1]salary allocation-v2'!$D$6:$D$22,0),MATCH(AB$3,'[1]salary allocation-v2'!$E$3:$J$3,0)),0)</f>
        <v>0</v>
      </c>
      <c r="AC709" s="18">
        <f>-$K709*IFERROR(INDEX('[1]salary allocation-v2'!$E$6:$J$22,MATCH($H709,'[1]salary allocation-v2'!$D$6:$D$22,0),MATCH(AC$3,'[1]salary allocation-v2'!$E$3:$J$3,0)),0)</f>
        <v>0</v>
      </c>
      <c r="AD709" s="17"/>
      <c r="AE709" s="16"/>
      <c r="AF709" s="15">
        <f>-$K709</f>
        <v>15205906</v>
      </c>
      <c r="AG709" s="15"/>
      <c r="AH709" s="2">
        <f>K709+SUM(O709:AC709)</f>
        <v>0</v>
      </c>
      <c r="AI709" s="2">
        <f>K709+SUM(AF709:AG709)</f>
        <v>0</v>
      </c>
    </row>
    <row r="710" spans="1:35" x14ac:dyDescent="0.2">
      <c r="A710" s="23" t="s">
        <v>3</v>
      </c>
      <c r="B710" s="22" t="s">
        <v>142</v>
      </c>
      <c r="H710" s="11" t="s">
        <v>51</v>
      </c>
      <c r="I710" s="11" t="s">
        <v>176</v>
      </c>
      <c r="K710" s="13">
        <v>-13970133</v>
      </c>
      <c r="L710" s="12">
        <v>102025</v>
      </c>
      <c r="M710" s="11" t="str">
        <f>LEFT(I710,(LEN(LEFT(I710,FIND(";",I710)))-8))</f>
        <v>VNOther</v>
      </c>
      <c r="N710" s="11"/>
      <c r="O710" s="15">
        <f>-$K710*IFERROR(INDEX('[1]salary allocation-v2'!$E$6:$J$22,MATCH($H710,'[1]salary allocation-v2'!$D$6:$D$22,0),MATCH(O$3,'[1]salary allocation-v2'!$E$3:$J$3,0)),0)</f>
        <v>0</v>
      </c>
      <c r="P710" s="15">
        <f>-$K710*IFERROR(INDEX('[1]salary allocation-v2'!$E$6:$J$22,MATCH($H710,'[1]salary allocation-v2'!$D$6:$D$22,0),MATCH(P$3,'[1]salary allocation-v2'!$E$3:$J$3,0)),0)</f>
        <v>0</v>
      </c>
      <c r="Q710" s="15">
        <f>-$K710*IFERROR(INDEX('[1]salary allocation-v2'!$E$6:$J$22,MATCH($H710,'[1]salary allocation-v2'!$D$6:$D$22,0),MATCH(Q$3,'[1]salary allocation-v2'!$E$3:$J$3,0)),0)</f>
        <v>0</v>
      </c>
      <c r="R710" s="15">
        <f>-$K710*IFERROR(INDEX('[1]salary allocation-v2'!$E$6:$J$22,MATCH($H710,'[1]salary allocation-v2'!$D$6:$D$22,0),MATCH(R$3,'[1]salary allocation-v2'!$E$3:$J$3,0)),0)</f>
        <v>0</v>
      </c>
      <c r="S710" s="15">
        <f>-$K710*IFERROR(INDEX('[1]salary allocation-v2'!$E$6:$J$22,MATCH($H710,'[1]salary allocation-v2'!$D$6:$D$22,0),MATCH(S$3,'[1]salary allocation-v2'!$E$3:$J$3,0)),0)</f>
        <v>1397013.3</v>
      </c>
      <c r="T710" s="15">
        <f>-$K710*IFERROR(INDEX('[1]salary allocation-v2'!$E$6:$J$22,MATCH($H710,'[1]salary allocation-v2'!$D$6:$D$22,0),MATCH(T$3,'[1]salary allocation-v2'!$E$3:$J$3,0)),0)</f>
        <v>1397013.3</v>
      </c>
      <c r="U710" s="15">
        <f>-$K710*IFERROR(INDEX('[1]salary allocation-v2'!$E$6:$J$22,MATCH($H710,'[1]salary allocation-v2'!$D$6:$D$22,0),MATCH(U$3,'[1]salary allocation-v2'!$E$3:$J$3,0)),0)</f>
        <v>1397013.3</v>
      </c>
      <c r="V710" s="15">
        <f>-$K710*IFERROR(INDEX('[1]salary allocation-v2'!$E$6:$J$22,MATCH($H710,'[1]salary allocation-v2'!$D$6:$D$22,0),MATCH(V$3,'[1]salary allocation-v2'!$E$3:$J$3,0)),0)</f>
        <v>0</v>
      </c>
      <c r="W710" s="15">
        <f>-$K710*IFERROR(INDEX('[1]salary allocation-v2'!$E$6:$J$22,MATCH($H710,'[1]salary allocation-v2'!$D$6:$D$22,0),MATCH(W$3,'[1]salary allocation-v2'!$E$3:$J$3,0)),0)</f>
        <v>9779093.0999999996</v>
      </c>
      <c r="X710" s="15">
        <f>-$K710*IFERROR(INDEX('[1]salary allocation-v2'!$E$6:$J$22,MATCH($H710,'[1]salary allocation-v2'!$D$6:$D$22,0),MATCH(X$3,'[1]salary allocation-v2'!$E$3:$J$3,0)),0)</f>
        <v>0</v>
      </c>
      <c r="Y710" s="15">
        <f>-$K710*IFERROR(INDEX('[1]salary allocation-v2'!$E$6:$J$22,MATCH($H710,'[1]salary allocation-v2'!$D$6:$D$22,0),MATCH(Y$3,'[1]salary allocation-v2'!$E$3:$J$3,0)),0)</f>
        <v>0</v>
      </c>
      <c r="Z710" s="15">
        <f>-$K710*IFERROR(INDEX('[1]salary allocation-v2'!$E$6:$J$22,MATCH($H710,'[1]salary allocation-v2'!$D$6:$D$22,0),MATCH(Z$3,'[1]salary allocation-v2'!$E$3:$J$3,0)),0)</f>
        <v>0</v>
      </c>
      <c r="AA710" s="15">
        <f>-$K710*IFERROR(INDEX('[1]salary allocation-v2'!$E$6:$J$22,MATCH($H710,'[1]salary allocation-v2'!$D$6:$D$22,0),MATCH(AA$3,'[1]salary allocation-v2'!$E$3:$J$3,0)),0)</f>
        <v>0</v>
      </c>
      <c r="AB710" s="15">
        <f>-$K710*IFERROR(INDEX('[1]salary allocation-v2'!$E$6:$J$22,MATCH($H710,'[1]salary allocation-v2'!$D$6:$D$22,0),MATCH(AB$3,'[1]salary allocation-v2'!$E$3:$J$3,0)),0)</f>
        <v>0</v>
      </c>
      <c r="AC710" s="18">
        <f>-$K710*IFERROR(INDEX('[1]salary allocation-v2'!$E$6:$J$22,MATCH($H710,'[1]salary allocation-v2'!$D$6:$D$22,0),MATCH(AC$3,'[1]salary allocation-v2'!$E$3:$J$3,0)),0)</f>
        <v>0</v>
      </c>
      <c r="AD710" s="17"/>
      <c r="AE710" s="16"/>
      <c r="AF710" s="15">
        <f>-$K710</f>
        <v>13970133</v>
      </c>
      <c r="AG710" s="15"/>
      <c r="AH710" s="2">
        <f>K710+SUM(O710:AC710)</f>
        <v>0</v>
      </c>
      <c r="AI710" s="2">
        <f>K710+SUM(AF710:AG710)</f>
        <v>0</v>
      </c>
    </row>
    <row r="711" spans="1:35" x14ac:dyDescent="0.2">
      <c r="A711" s="23" t="s">
        <v>3</v>
      </c>
      <c r="B711" s="22" t="s">
        <v>142</v>
      </c>
      <c r="H711" s="11" t="s">
        <v>49</v>
      </c>
      <c r="I711" s="11" t="s">
        <v>175</v>
      </c>
      <c r="K711" s="13">
        <v>-8879531</v>
      </c>
      <c r="L711" s="12">
        <v>102025</v>
      </c>
      <c r="M711" s="11" t="str">
        <f>LEFT(I711,(LEN(LEFT(I711,FIND(";",I711)))-8))</f>
        <v>VNMOET</v>
      </c>
      <c r="N711" s="11"/>
      <c r="O711" s="15">
        <f>-$K711*IFERROR(INDEX('[1]salary allocation-v2'!$E$6:$J$22,MATCH($H711,'[1]salary allocation-v2'!$D$6:$D$22,0),MATCH(O$3,'[1]salary allocation-v2'!$E$3:$J$3,0)),0)</f>
        <v>0</v>
      </c>
      <c r="P711" s="15">
        <f>-$K711*IFERROR(INDEX('[1]salary allocation-v2'!$E$6:$J$22,MATCH($H711,'[1]salary allocation-v2'!$D$6:$D$22,0),MATCH(P$3,'[1]salary allocation-v2'!$E$3:$J$3,0)),0)</f>
        <v>0</v>
      </c>
      <c r="Q711" s="15">
        <f>-$K711*IFERROR(INDEX('[1]salary allocation-v2'!$E$6:$J$22,MATCH($H711,'[1]salary allocation-v2'!$D$6:$D$22,0),MATCH(Q$3,'[1]salary allocation-v2'!$E$3:$J$3,0)),0)</f>
        <v>0</v>
      </c>
      <c r="R711" s="15">
        <f>-$K711*IFERROR(INDEX('[1]salary allocation-v2'!$E$6:$J$22,MATCH($H711,'[1]salary allocation-v2'!$D$6:$D$22,0),MATCH(R$3,'[1]salary allocation-v2'!$E$3:$J$3,0)),0)</f>
        <v>0</v>
      </c>
      <c r="S711" s="15">
        <f>-$K711*IFERROR(INDEX('[1]salary allocation-v2'!$E$6:$J$22,MATCH($H711,'[1]salary allocation-v2'!$D$6:$D$22,0),MATCH(S$3,'[1]salary allocation-v2'!$E$3:$J$3,0)),0)</f>
        <v>1775906.2000000002</v>
      </c>
      <c r="T711" s="15">
        <f>-$K711*IFERROR(INDEX('[1]salary allocation-v2'!$E$6:$J$22,MATCH($H711,'[1]salary allocation-v2'!$D$6:$D$22,0),MATCH(T$3,'[1]salary allocation-v2'!$E$3:$J$3,0)),0)</f>
        <v>1775906.2000000002</v>
      </c>
      <c r="U711" s="15">
        <f>-$K711*IFERROR(INDEX('[1]salary allocation-v2'!$E$6:$J$22,MATCH($H711,'[1]salary allocation-v2'!$D$6:$D$22,0),MATCH(U$3,'[1]salary allocation-v2'!$E$3:$J$3,0)),0)</f>
        <v>1775906.2000000002</v>
      </c>
      <c r="V711" s="15">
        <f>-$K711*IFERROR(INDEX('[1]salary allocation-v2'!$E$6:$J$22,MATCH($H711,'[1]salary allocation-v2'!$D$6:$D$22,0),MATCH(V$3,'[1]salary allocation-v2'!$E$3:$J$3,0)),0)</f>
        <v>0</v>
      </c>
      <c r="W711" s="15">
        <f>-$K711*IFERROR(INDEX('[1]salary allocation-v2'!$E$6:$J$22,MATCH($H711,'[1]salary allocation-v2'!$D$6:$D$22,0),MATCH(W$3,'[1]salary allocation-v2'!$E$3:$J$3,0)),0)</f>
        <v>3551812.4000000004</v>
      </c>
      <c r="X711" s="15">
        <f>-$K711*IFERROR(INDEX('[1]salary allocation-v2'!$E$6:$J$22,MATCH($H711,'[1]salary allocation-v2'!$D$6:$D$22,0),MATCH(X$3,'[1]salary allocation-v2'!$E$3:$J$3,0)),0)</f>
        <v>0</v>
      </c>
      <c r="Y711" s="15">
        <f>-$K711*IFERROR(INDEX('[1]salary allocation-v2'!$E$6:$J$22,MATCH($H711,'[1]salary allocation-v2'!$D$6:$D$22,0),MATCH(Y$3,'[1]salary allocation-v2'!$E$3:$J$3,0)),0)</f>
        <v>0</v>
      </c>
      <c r="Z711" s="15">
        <f>-$K711*IFERROR(INDEX('[1]salary allocation-v2'!$E$6:$J$22,MATCH($H711,'[1]salary allocation-v2'!$D$6:$D$22,0),MATCH(Z$3,'[1]salary allocation-v2'!$E$3:$J$3,0)),0)</f>
        <v>0</v>
      </c>
      <c r="AA711" s="15">
        <f>-$K711*IFERROR(INDEX('[1]salary allocation-v2'!$E$6:$J$22,MATCH($H711,'[1]salary allocation-v2'!$D$6:$D$22,0),MATCH(AA$3,'[1]salary allocation-v2'!$E$3:$J$3,0)),0)</f>
        <v>0</v>
      </c>
      <c r="AB711" s="15">
        <f>-$K711*IFERROR(INDEX('[1]salary allocation-v2'!$E$6:$J$22,MATCH($H711,'[1]salary allocation-v2'!$D$6:$D$22,0),MATCH(AB$3,'[1]salary allocation-v2'!$E$3:$J$3,0)),0)</f>
        <v>0</v>
      </c>
      <c r="AC711" s="18">
        <f>-$K711*IFERROR(INDEX('[1]salary allocation-v2'!$E$6:$J$22,MATCH($H711,'[1]salary allocation-v2'!$D$6:$D$22,0),MATCH(AC$3,'[1]salary allocation-v2'!$E$3:$J$3,0)),0)</f>
        <v>0</v>
      </c>
      <c r="AD711" s="17"/>
      <c r="AE711" s="16"/>
      <c r="AF711" s="15"/>
      <c r="AG711" s="15">
        <f>-K711</f>
        <v>8879531</v>
      </c>
      <c r="AH711" s="2">
        <f>K711+SUM(O711:AC711)</f>
        <v>0</v>
      </c>
      <c r="AI711" s="2">
        <f>K711+SUM(AF711:AG711)</f>
        <v>0</v>
      </c>
    </row>
    <row r="712" spans="1:35" x14ac:dyDescent="0.2">
      <c r="A712" s="23" t="s">
        <v>3</v>
      </c>
      <c r="B712" s="22" t="s">
        <v>142</v>
      </c>
      <c r="H712" s="11" t="s">
        <v>47</v>
      </c>
      <c r="I712" s="11" t="s">
        <v>174</v>
      </c>
      <c r="K712" s="13">
        <v>-15316796</v>
      </c>
      <c r="L712" s="12">
        <v>102025</v>
      </c>
      <c r="M712" s="11" t="str">
        <f>LEFT(I712,(LEN(LEFT(I712,FIND(";",I712)))-8))</f>
        <v>VNHBC</v>
      </c>
      <c r="N712" s="11"/>
      <c r="O712" s="15">
        <f>-$K712*IFERROR(INDEX('[1]salary allocation-v2'!$E$6:$J$22,MATCH($H712,'[1]salary allocation-v2'!$D$6:$D$22,0),MATCH(O$3,'[1]salary allocation-v2'!$E$3:$J$3,0)),0)</f>
        <v>0</v>
      </c>
      <c r="P712" s="15">
        <f>-$K712*IFERROR(INDEX('[1]salary allocation-v2'!$E$6:$J$22,MATCH($H712,'[1]salary allocation-v2'!$D$6:$D$22,0),MATCH(P$3,'[1]salary allocation-v2'!$E$3:$J$3,0)),0)</f>
        <v>0</v>
      </c>
      <c r="Q712" s="15">
        <f>-$K712*IFERROR(INDEX('[1]salary allocation-v2'!$E$6:$J$22,MATCH($H712,'[1]salary allocation-v2'!$D$6:$D$22,0),MATCH(Q$3,'[1]salary allocation-v2'!$E$3:$J$3,0)),0)</f>
        <v>0</v>
      </c>
      <c r="R712" s="15">
        <f>-$K712*IFERROR(INDEX('[1]salary allocation-v2'!$E$6:$J$22,MATCH($H712,'[1]salary allocation-v2'!$D$6:$D$22,0),MATCH(R$3,'[1]salary allocation-v2'!$E$3:$J$3,0)),0)</f>
        <v>0</v>
      </c>
      <c r="S712" s="15">
        <f>-$K712*IFERROR(INDEX('[1]salary allocation-v2'!$E$6:$J$22,MATCH($H712,'[1]salary allocation-v2'!$D$6:$D$22,0),MATCH(S$3,'[1]salary allocation-v2'!$E$3:$J$3,0)),0)</f>
        <v>3063359.2</v>
      </c>
      <c r="T712" s="15">
        <f>-$K712*IFERROR(INDEX('[1]salary allocation-v2'!$E$6:$J$22,MATCH($H712,'[1]salary allocation-v2'!$D$6:$D$22,0),MATCH(T$3,'[1]salary allocation-v2'!$E$3:$J$3,0)),0)</f>
        <v>3063359.2</v>
      </c>
      <c r="U712" s="15">
        <f>-$K712*IFERROR(INDEX('[1]salary allocation-v2'!$E$6:$J$22,MATCH($H712,'[1]salary allocation-v2'!$D$6:$D$22,0),MATCH(U$3,'[1]salary allocation-v2'!$E$3:$J$3,0)),0)</f>
        <v>3063359.2</v>
      </c>
      <c r="V712" s="15">
        <f>-$K712*IFERROR(INDEX('[1]salary allocation-v2'!$E$6:$J$22,MATCH($H712,'[1]salary allocation-v2'!$D$6:$D$22,0),MATCH(V$3,'[1]salary allocation-v2'!$E$3:$J$3,0)),0)</f>
        <v>0</v>
      </c>
      <c r="W712" s="15">
        <f>-$K712*IFERROR(INDEX('[1]salary allocation-v2'!$E$6:$J$22,MATCH($H712,'[1]salary allocation-v2'!$D$6:$D$22,0),MATCH(W$3,'[1]salary allocation-v2'!$E$3:$J$3,0)),0)</f>
        <v>6126718.4000000004</v>
      </c>
      <c r="X712" s="15">
        <f>-$K712*IFERROR(INDEX('[1]salary allocation-v2'!$E$6:$J$22,MATCH($H712,'[1]salary allocation-v2'!$D$6:$D$22,0),MATCH(X$3,'[1]salary allocation-v2'!$E$3:$J$3,0)),0)</f>
        <v>0</v>
      </c>
      <c r="Y712" s="15">
        <f>-$K712*IFERROR(INDEX('[1]salary allocation-v2'!$E$6:$J$22,MATCH($H712,'[1]salary allocation-v2'!$D$6:$D$22,0),MATCH(Y$3,'[1]salary allocation-v2'!$E$3:$J$3,0)),0)</f>
        <v>0</v>
      </c>
      <c r="Z712" s="15">
        <f>-$K712*IFERROR(INDEX('[1]salary allocation-v2'!$E$6:$J$22,MATCH($H712,'[1]salary allocation-v2'!$D$6:$D$22,0),MATCH(Z$3,'[1]salary allocation-v2'!$E$3:$J$3,0)),0)</f>
        <v>0</v>
      </c>
      <c r="AA712" s="15">
        <f>-$K712*IFERROR(INDEX('[1]salary allocation-v2'!$E$6:$J$22,MATCH($H712,'[1]salary allocation-v2'!$D$6:$D$22,0),MATCH(AA$3,'[1]salary allocation-v2'!$E$3:$J$3,0)),0)</f>
        <v>0</v>
      </c>
      <c r="AB712" s="15">
        <f>-$K712*IFERROR(INDEX('[1]salary allocation-v2'!$E$6:$J$22,MATCH($H712,'[1]salary allocation-v2'!$D$6:$D$22,0),MATCH(AB$3,'[1]salary allocation-v2'!$E$3:$J$3,0)),0)</f>
        <v>0</v>
      </c>
      <c r="AC712" s="18">
        <f>-$K712*IFERROR(INDEX('[1]salary allocation-v2'!$E$6:$J$22,MATCH($H712,'[1]salary allocation-v2'!$D$6:$D$22,0),MATCH(AC$3,'[1]salary allocation-v2'!$E$3:$J$3,0)),0)</f>
        <v>0</v>
      </c>
      <c r="AD712" s="17"/>
      <c r="AE712" s="16"/>
      <c r="AF712" s="15">
        <f>-$K712</f>
        <v>15316796</v>
      </c>
      <c r="AG712" s="15"/>
      <c r="AH712" s="2">
        <f>K712+SUM(O712:AC712)</f>
        <v>0</v>
      </c>
      <c r="AI712" s="2">
        <f>K712+SUM(AF712:AG712)</f>
        <v>0</v>
      </c>
    </row>
    <row r="713" spans="1:35" x14ac:dyDescent="0.2">
      <c r="A713" s="23" t="s">
        <v>3</v>
      </c>
      <c r="B713" s="22" t="s">
        <v>142</v>
      </c>
      <c r="H713" s="11" t="s">
        <v>173</v>
      </c>
      <c r="I713" s="11" t="s">
        <v>172</v>
      </c>
      <c r="K713" s="13">
        <v>0</v>
      </c>
      <c r="L713" s="12">
        <v>102025</v>
      </c>
      <c r="M713" s="11" t="str">
        <f>LEFT(I713,(LEN(LEFT(I713,FIND(";",I713)))-8))</f>
        <v>VNELC</v>
      </c>
      <c r="N713" s="11"/>
      <c r="O713" s="15">
        <f>-$K713*IFERROR(INDEX('[1]salary allocation-v2'!$E$6:$J$22,MATCH($H713,'[1]salary allocation-v2'!$D$6:$D$22,0),MATCH(O$3,'[1]salary allocation-v2'!$E$3:$J$3,0)),0)</f>
        <v>0</v>
      </c>
      <c r="P713" s="15">
        <f>-$K713*IFERROR(INDEX('[1]salary allocation-v2'!$E$6:$J$22,MATCH($H713,'[1]salary allocation-v2'!$D$6:$D$22,0),MATCH(P$3,'[1]salary allocation-v2'!$E$3:$J$3,0)),0)</f>
        <v>0</v>
      </c>
      <c r="Q713" s="15">
        <f>-$K713*IFERROR(INDEX('[1]salary allocation-v2'!$E$6:$J$22,MATCH($H713,'[1]salary allocation-v2'!$D$6:$D$22,0),MATCH(Q$3,'[1]salary allocation-v2'!$E$3:$J$3,0)),0)</f>
        <v>0</v>
      </c>
      <c r="R713" s="15">
        <f>-$K713*IFERROR(INDEX('[1]salary allocation-v2'!$E$6:$J$22,MATCH($H713,'[1]salary allocation-v2'!$D$6:$D$22,0),MATCH(R$3,'[1]salary allocation-v2'!$E$3:$J$3,0)),0)</f>
        <v>0</v>
      </c>
      <c r="S713" s="15">
        <f>-$K713*IFERROR(INDEX('[1]salary allocation-v2'!$E$6:$J$22,MATCH($H713,'[1]salary allocation-v2'!$D$6:$D$22,0),MATCH(S$3,'[1]salary allocation-v2'!$E$3:$J$3,0)),0)</f>
        <v>0</v>
      </c>
      <c r="T713" s="15">
        <f>-$K713*IFERROR(INDEX('[1]salary allocation-v2'!$E$6:$J$22,MATCH($H713,'[1]salary allocation-v2'!$D$6:$D$22,0),MATCH(T$3,'[1]salary allocation-v2'!$E$3:$J$3,0)),0)</f>
        <v>0</v>
      </c>
      <c r="U713" s="15">
        <f>-$K713*IFERROR(INDEX('[1]salary allocation-v2'!$E$6:$J$22,MATCH($H713,'[1]salary allocation-v2'!$D$6:$D$22,0),MATCH(U$3,'[1]salary allocation-v2'!$E$3:$J$3,0)),0)</f>
        <v>0</v>
      </c>
      <c r="V713" s="15">
        <f>-$K713*IFERROR(INDEX('[1]salary allocation-v2'!$E$6:$J$22,MATCH($H713,'[1]salary allocation-v2'!$D$6:$D$22,0),MATCH(V$3,'[1]salary allocation-v2'!$E$3:$J$3,0)),0)</f>
        <v>0</v>
      </c>
      <c r="W713" s="15">
        <f>-$K713*IFERROR(INDEX('[1]salary allocation-v2'!$E$6:$J$22,MATCH($H713,'[1]salary allocation-v2'!$D$6:$D$22,0),MATCH(W$3,'[1]salary allocation-v2'!$E$3:$J$3,0)),0)</f>
        <v>0</v>
      </c>
      <c r="X713" s="15">
        <f>-$K713*IFERROR(INDEX('[1]salary allocation-v2'!$E$6:$J$22,MATCH($H713,'[1]salary allocation-v2'!$D$6:$D$22,0),MATCH(X$3,'[1]salary allocation-v2'!$E$3:$J$3,0)),0)</f>
        <v>0</v>
      </c>
      <c r="Y713" s="15">
        <f>-$K713*IFERROR(INDEX('[1]salary allocation-v2'!$E$6:$J$22,MATCH($H713,'[1]salary allocation-v2'!$D$6:$D$22,0),MATCH(Y$3,'[1]salary allocation-v2'!$E$3:$J$3,0)),0)</f>
        <v>0</v>
      </c>
      <c r="Z713" s="15">
        <f>-$K713*IFERROR(INDEX('[1]salary allocation-v2'!$E$6:$J$22,MATCH($H713,'[1]salary allocation-v2'!$D$6:$D$22,0),MATCH(Z$3,'[1]salary allocation-v2'!$E$3:$J$3,0)),0)</f>
        <v>0</v>
      </c>
      <c r="AA713" s="15">
        <f>-$K713*IFERROR(INDEX('[1]salary allocation-v2'!$E$6:$J$22,MATCH($H713,'[1]salary allocation-v2'!$D$6:$D$22,0),MATCH(AA$3,'[1]salary allocation-v2'!$E$3:$J$3,0)),0)</f>
        <v>0</v>
      </c>
      <c r="AB713" s="15">
        <f>-$K713*IFERROR(INDEX('[1]salary allocation-v2'!$E$6:$J$22,MATCH($H713,'[1]salary allocation-v2'!$D$6:$D$22,0),MATCH(AB$3,'[1]salary allocation-v2'!$E$3:$J$3,0)),0)</f>
        <v>0</v>
      </c>
      <c r="AC713" s="18">
        <f>-$K713*IFERROR(INDEX('[1]salary allocation-v2'!$E$6:$J$22,MATCH($H713,'[1]salary allocation-v2'!$D$6:$D$22,0),MATCH(AC$3,'[1]salary allocation-v2'!$E$3:$J$3,0)),0)</f>
        <v>0</v>
      </c>
      <c r="AD713" s="17"/>
      <c r="AE713" s="16"/>
      <c r="AF713" s="15"/>
      <c r="AG713" s="15">
        <f>-$K713</f>
        <v>0</v>
      </c>
      <c r="AH713" s="2">
        <f>K713+SUM(O713:AC713)</f>
        <v>0</v>
      </c>
      <c r="AI713" s="2">
        <f>K713+SUM(AF713:AG713)</f>
        <v>0</v>
      </c>
    </row>
    <row r="714" spans="1:35" x14ac:dyDescent="0.2">
      <c r="A714" s="23" t="s">
        <v>3</v>
      </c>
      <c r="B714" s="22" t="s">
        <v>142</v>
      </c>
      <c r="H714" s="11" t="s">
        <v>45</v>
      </c>
      <c r="I714" s="11" t="s">
        <v>171</v>
      </c>
      <c r="K714" s="13">
        <v>-6400558</v>
      </c>
      <c r="L714" s="12">
        <v>102025</v>
      </c>
      <c r="M714" s="11" t="str">
        <f>LEFT(I714,(LEN(LEFT(I714,FIND(";",I714)))-9))</f>
        <v>VNHBC</v>
      </c>
      <c r="N714" s="11"/>
      <c r="O714" s="15">
        <f>-$K714*IFERROR(INDEX('[1]salary allocation-v2'!$E$6:$J$22,MATCH($H714,'[1]salary allocation-v2'!$D$6:$D$22,0),MATCH(O$3,'[1]salary allocation-v2'!$E$3:$J$3,0)),0)</f>
        <v>0</v>
      </c>
      <c r="P714" s="15">
        <f>-$K714*IFERROR(INDEX('[1]salary allocation-v2'!$E$6:$J$22,MATCH($H714,'[1]salary allocation-v2'!$D$6:$D$22,0),MATCH(P$3,'[1]salary allocation-v2'!$E$3:$J$3,0)),0)</f>
        <v>0</v>
      </c>
      <c r="Q714" s="15">
        <f>-$K714*IFERROR(INDEX('[1]salary allocation-v2'!$E$6:$J$22,MATCH($H714,'[1]salary allocation-v2'!$D$6:$D$22,0),MATCH(Q$3,'[1]salary allocation-v2'!$E$3:$J$3,0)),0)</f>
        <v>0</v>
      </c>
      <c r="R714" s="15">
        <f>-$K714*IFERROR(INDEX('[1]salary allocation-v2'!$E$6:$J$22,MATCH($H714,'[1]salary allocation-v2'!$D$6:$D$22,0),MATCH(R$3,'[1]salary allocation-v2'!$E$3:$J$3,0)),0)</f>
        <v>0</v>
      </c>
      <c r="S714" s="15">
        <f>-$K714*IFERROR(INDEX('[1]salary allocation-v2'!$E$6:$J$22,MATCH($H714,'[1]salary allocation-v2'!$D$6:$D$22,0),MATCH(S$3,'[1]salary allocation-v2'!$E$3:$J$3,0)),0)</f>
        <v>1280111.6000000001</v>
      </c>
      <c r="T714" s="15">
        <f>-$K714*IFERROR(INDEX('[1]salary allocation-v2'!$E$6:$J$22,MATCH($H714,'[1]salary allocation-v2'!$D$6:$D$22,0),MATCH(T$3,'[1]salary allocation-v2'!$E$3:$J$3,0)),0)</f>
        <v>1280111.6000000001</v>
      </c>
      <c r="U714" s="15">
        <f>-$K714*IFERROR(INDEX('[1]salary allocation-v2'!$E$6:$J$22,MATCH($H714,'[1]salary allocation-v2'!$D$6:$D$22,0),MATCH(U$3,'[1]salary allocation-v2'!$E$3:$J$3,0)),0)</f>
        <v>1280111.6000000001</v>
      </c>
      <c r="V714" s="15">
        <f>-$K714*IFERROR(INDEX('[1]salary allocation-v2'!$E$6:$J$22,MATCH($H714,'[1]salary allocation-v2'!$D$6:$D$22,0),MATCH(V$3,'[1]salary allocation-v2'!$E$3:$J$3,0)),0)</f>
        <v>0</v>
      </c>
      <c r="W714" s="15">
        <f>-$K714*IFERROR(INDEX('[1]salary allocation-v2'!$E$6:$J$22,MATCH($H714,'[1]salary allocation-v2'!$D$6:$D$22,0),MATCH(W$3,'[1]salary allocation-v2'!$E$3:$J$3,0)),0)</f>
        <v>2560223.2000000002</v>
      </c>
      <c r="X714" s="15">
        <f>-$K714*IFERROR(INDEX('[1]salary allocation-v2'!$E$6:$J$22,MATCH($H714,'[1]salary allocation-v2'!$D$6:$D$22,0),MATCH(X$3,'[1]salary allocation-v2'!$E$3:$J$3,0)),0)</f>
        <v>0</v>
      </c>
      <c r="Y714" s="15">
        <f>-$K714*IFERROR(INDEX('[1]salary allocation-v2'!$E$6:$J$22,MATCH($H714,'[1]salary allocation-v2'!$D$6:$D$22,0),MATCH(Y$3,'[1]salary allocation-v2'!$E$3:$J$3,0)),0)</f>
        <v>0</v>
      </c>
      <c r="Z714" s="15">
        <f>-$K714*IFERROR(INDEX('[1]salary allocation-v2'!$E$6:$J$22,MATCH($H714,'[1]salary allocation-v2'!$D$6:$D$22,0),MATCH(Z$3,'[1]salary allocation-v2'!$E$3:$J$3,0)),0)</f>
        <v>0</v>
      </c>
      <c r="AA714" s="15">
        <f>-$K714*IFERROR(INDEX('[1]salary allocation-v2'!$E$6:$J$22,MATCH($H714,'[1]salary allocation-v2'!$D$6:$D$22,0),MATCH(AA$3,'[1]salary allocation-v2'!$E$3:$J$3,0)),0)</f>
        <v>0</v>
      </c>
      <c r="AB714" s="15">
        <f>-$K714*IFERROR(INDEX('[1]salary allocation-v2'!$E$6:$J$22,MATCH($H714,'[1]salary allocation-v2'!$D$6:$D$22,0),MATCH(AB$3,'[1]salary allocation-v2'!$E$3:$J$3,0)),0)</f>
        <v>0</v>
      </c>
      <c r="AC714" s="18">
        <f>-$K714*IFERROR(INDEX('[1]salary allocation-v2'!$E$6:$J$22,MATCH($H714,'[1]salary allocation-v2'!$D$6:$D$22,0),MATCH(AC$3,'[1]salary allocation-v2'!$E$3:$J$3,0)),0)</f>
        <v>0</v>
      </c>
      <c r="AD714" s="17"/>
      <c r="AE714" s="16"/>
      <c r="AF714" s="15"/>
      <c r="AG714" s="15">
        <f>-K714</f>
        <v>6400558</v>
      </c>
      <c r="AH714" s="2">
        <f>K714+SUM(O714:AC714)</f>
        <v>0</v>
      </c>
      <c r="AI714" s="2">
        <f>K714+SUM(AF714:AG714)</f>
        <v>0</v>
      </c>
    </row>
    <row r="715" spans="1:35" x14ac:dyDescent="0.2">
      <c r="A715" s="23" t="s">
        <v>3</v>
      </c>
      <c r="B715" s="22" t="s">
        <v>142</v>
      </c>
      <c r="H715" s="11" t="s">
        <v>43</v>
      </c>
      <c r="I715" s="11" t="s">
        <v>170</v>
      </c>
      <c r="K715" s="13">
        <v>-15117814</v>
      </c>
      <c r="L715" s="12">
        <v>102025</v>
      </c>
      <c r="M715" s="11" t="str">
        <f>LEFT(I715,(LEN(LEFT(I715,FIND(";",I715)))-8))</f>
        <v>VNMOET</v>
      </c>
      <c r="N715" s="11"/>
      <c r="O715" s="15">
        <f>-$K715*IFERROR(INDEX('[1]salary allocation-v2'!$E$6:$J$22,MATCH($H715,'[1]salary allocation-v2'!$D$6:$D$22,0),MATCH(O$3,'[1]salary allocation-v2'!$E$3:$J$3,0)),0)</f>
        <v>0</v>
      </c>
      <c r="P715" s="15">
        <f>-$K715*IFERROR(INDEX('[1]salary allocation-v2'!$E$6:$J$22,MATCH($H715,'[1]salary allocation-v2'!$D$6:$D$22,0),MATCH(P$3,'[1]salary allocation-v2'!$E$3:$J$3,0)),0)</f>
        <v>0</v>
      </c>
      <c r="Q715" s="15">
        <f>-$K715*IFERROR(INDEX('[1]salary allocation-v2'!$E$6:$J$22,MATCH($H715,'[1]salary allocation-v2'!$D$6:$D$22,0),MATCH(Q$3,'[1]salary allocation-v2'!$E$3:$J$3,0)),0)</f>
        <v>0</v>
      </c>
      <c r="R715" s="15">
        <f>-$K715*IFERROR(INDEX('[1]salary allocation-v2'!$E$6:$J$22,MATCH($H715,'[1]salary allocation-v2'!$D$6:$D$22,0),MATCH(R$3,'[1]salary allocation-v2'!$E$3:$J$3,0)),0)</f>
        <v>0</v>
      </c>
      <c r="S715" s="15">
        <f>-$K715*IFERROR(INDEX('[1]salary allocation-v2'!$E$6:$J$22,MATCH($H715,'[1]salary allocation-v2'!$D$6:$D$22,0),MATCH(S$3,'[1]salary allocation-v2'!$E$3:$J$3,0)),0)</f>
        <v>3023562.8000000003</v>
      </c>
      <c r="T715" s="15">
        <f>-$K715*IFERROR(INDEX('[1]salary allocation-v2'!$E$6:$J$22,MATCH($H715,'[1]salary allocation-v2'!$D$6:$D$22,0),MATCH(T$3,'[1]salary allocation-v2'!$E$3:$J$3,0)),0)</f>
        <v>3023562.8000000003</v>
      </c>
      <c r="U715" s="15">
        <f>-$K715*IFERROR(INDEX('[1]salary allocation-v2'!$E$6:$J$22,MATCH($H715,'[1]salary allocation-v2'!$D$6:$D$22,0),MATCH(U$3,'[1]salary allocation-v2'!$E$3:$J$3,0)),0)</f>
        <v>3023562.8000000003</v>
      </c>
      <c r="V715" s="15">
        <f>-$K715*IFERROR(INDEX('[1]salary allocation-v2'!$E$6:$J$22,MATCH($H715,'[1]salary allocation-v2'!$D$6:$D$22,0),MATCH(V$3,'[1]salary allocation-v2'!$E$3:$J$3,0)),0)</f>
        <v>0</v>
      </c>
      <c r="W715" s="15">
        <f>-$K715*IFERROR(INDEX('[1]salary allocation-v2'!$E$6:$J$22,MATCH($H715,'[1]salary allocation-v2'!$D$6:$D$22,0),MATCH(W$3,'[1]salary allocation-v2'!$E$3:$J$3,0)),0)</f>
        <v>6047125.6000000006</v>
      </c>
      <c r="X715" s="15">
        <f>-$K715*IFERROR(INDEX('[1]salary allocation-v2'!$E$6:$J$22,MATCH($H715,'[1]salary allocation-v2'!$D$6:$D$22,0),MATCH(X$3,'[1]salary allocation-v2'!$E$3:$J$3,0)),0)</f>
        <v>0</v>
      </c>
      <c r="Y715" s="15">
        <f>-$K715*IFERROR(INDEX('[1]salary allocation-v2'!$E$6:$J$22,MATCH($H715,'[1]salary allocation-v2'!$D$6:$D$22,0),MATCH(Y$3,'[1]salary allocation-v2'!$E$3:$J$3,0)),0)</f>
        <v>0</v>
      </c>
      <c r="Z715" s="15">
        <f>-$K715*IFERROR(INDEX('[1]salary allocation-v2'!$E$6:$J$22,MATCH($H715,'[1]salary allocation-v2'!$D$6:$D$22,0),MATCH(Z$3,'[1]salary allocation-v2'!$E$3:$J$3,0)),0)</f>
        <v>0</v>
      </c>
      <c r="AA715" s="15">
        <f>-$K715*IFERROR(INDEX('[1]salary allocation-v2'!$E$6:$J$22,MATCH($H715,'[1]salary allocation-v2'!$D$6:$D$22,0),MATCH(AA$3,'[1]salary allocation-v2'!$E$3:$J$3,0)),0)</f>
        <v>0</v>
      </c>
      <c r="AB715" s="15">
        <f>-$K715*IFERROR(INDEX('[1]salary allocation-v2'!$E$6:$J$22,MATCH($H715,'[1]salary allocation-v2'!$D$6:$D$22,0),MATCH(AB$3,'[1]salary allocation-v2'!$E$3:$J$3,0)),0)</f>
        <v>0</v>
      </c>
      <c r="AC715" s="18">
        <f>-$K715*IFERROR(INDEX('[1]salary allocation-v2'!$E$6:$J$22,MATCH($H715,'[1]salary allocation-v2'!$D$6:$D$22,0),MATCH(AC$3,'[1]salary allocation-v2'!$E$3:$J$3,0)),0)</f>
        <v>0</v>
      </c>
      <c r="AD715" s="17"/>
      <c r="AE715" s="16"/>
      <c r="AF715" s="15">
        <f>-$K715</f>
        <v>15117814</v>
      </c>
      <c r="AG715" s="15"/>
      <c r="AH715" s="2">
        <f>K715+SUM(O715:AC715)</f>
        <v>0</v>
      </c>
      <c r="AI715" s="2">
        <f>K715+SUM(AF715:AG715)</f>
        <v>0</v>
      </c>
    </row>
    <row r="716" spans="1:35" x14ac:dyDescent="0.2">
      <c r="A716" s="23" t="s">
        <v>3</v>
      </c>
      <c r="B716" s="22" t="s">
        <v>142</v>
      </c>
      <c r="H716" s="11" t="s">
        <v>41</v>
      </c>
      <c r="I716" s="11" t="s">
        <v>169</v>
      </c>
      <c r="K716" s="13">
        <v>-15063924</v>
      </c>
      <c r="L716" s="12">
        <v>102025</v>
      </c>
      <c r="M716" s="11" t="str">
        <f>LEFT(I716,(LEN(LEFT(I716,FIND(";",I716)))-8))</f>
        <v>VNMOET</v>
      </c>
      <c r="N716" s="11"/>
      <c r="O716" s="15">
        <f>-$K716*IFERROR(INDEX('[1]salary allocation-v2'!$E$6:$J$22,MATCH($H716,'[1]salary allocation-v2'!$D$6:$D$22,0),MATCH(O$3,'[1]salary allocation-v2'!$E$3:$J$3,0)),0)</f>
        <v>0</v>
      </c>
      <c r="P716" s="15">
        <f>-$K716*IFERROR(INDEX('[1]salary allocation-v2'!$E$6:$J$22,MATCH($H716,'[1]salary allocation-v2'!$D$6:$D$22,0),MATCH(P$3,'[1]salary allocation-v2'!$E$3:$J$3,0)),0)</f>
        <v>0</v>
      </c>
      <c r="Q716" s="15">
        <f>-$K716*IFERROR(INDEX('[1]salary allocation-v2'!$E$6:$J$22,MATCH($H716,'[1]salary allocation-v2'!$D$6:$D$22,0),MATCH(Q$3,'[1]salary allocation-v2'!$E$3:$J$3,0)),0)</f>
        <v>0</v>
      </c>
      <c r="R716" s="15">
        <f>-$K716*IFERROR(INDEX('[1]salary allocation-v2'!$E$6:$J$22,MATCH($H716,'[1]salary allocation-v2'!$D$6:$D$22,0),MATCH(R$3,'[1]salary allocation-v2'!$E$3:$J$3,0)),0)</f>
        <v>0</v>
      </c>
      <c r="S716" s="15">
        <f>-$K716*IFERROR(INDEX('[1]salary allocation-v2'!$E$6:$J$22,MATCH($H716,'[1]salary allocation-v2'!$D$6:$D$22,0),MATCH(S$3,'[1]salary allocation-v2'!$E$3:$J$3,0)),0)</f>
        <v>0</v>
      </c>
      <c r="T716" s="15">
        <f>-$K716*IFERROR(INDEX('[1]salary allocation-v2'!$E$6:$J$22,MATCH($H716,'[1]salary allocation-v2'!$D$6:$D$22,0),MATCH(T$3,'[1]salary allocation-v2'!$E$3:$J$3,0)),0)</f>
        <v>0</v>
      </c>
      <c r="U716" s="15">
        <f>-$K716*IFERROR(INDEX('[1]salary allocation-v2'!$E$6:$J$22,MATCH($H716,'[1]salary allocation-v2'!$D$6:$D$22,0),MATCH(U$3,'[1]salary allocation-v2'!$E$3:$J$3,0)),0)</f>
        <v>0</v>
      </c>
      <c r="V716" s="15">
        <f>-$K716*IFERROR(INDEX('[1]salary allocation-v2'!$E$6:$J$22,MATCH($H716,'[1]salary allocation-v2'!$D$6:$D$22,0),MATCH(V$3,'[1]salary allocation-v2'!$E$3:$J$3,0)),0)</f>
        <v>0</v>
      </c>
      <c r="W716" s="15">
        <f>-$K716*IFERROR(INDEX('[1]salary allocation-v2'!$E$6:$J$22,MATCH($H716,'[1]salary allocation-v2'!$D$6:$D$22,0),MATCH(W$3,'[1]salary allocation-v2'!$E$3:$J$3,0)),0)</f>
        <v>15063924</v>
      </c>
      <c r="X716" s="15">
        <f>-$K716*IFERROR(INDEX('[1]salary allocation-v2'!$E$6:$J$22,MATCH($H716,'[1]salary allocation-v2'!$D$6:$D$22,0),MATCH(X$3,'[1]salary allocation-v2'!$E$3:$J$3,0)),0)</f>
        <v>0</v>
      </c>
      <c r="Y716" s="15">
        <f>-$K716*IFERROR(INDEX('[1]salary allocation-v2'!$E$6:$J$22,MATCH($H716,'[1]salary allocation-v2'!$D$6:$D$22,0),MATCH(Y$3,'[1]salary allocation-v2'!$E$3:$J$3,0)),0)</f>
        <v>0</v>
      </c>
      <c r="Z716" s="15">
        <f>-$K716*IFERROR(INDEX('[1]salary allocation-v2'!$E$6:$J$22,MATCH($H716,'[1]salary allocation-v2'!$D$6:$D$22,0),MATCH(Z$3,'[1]salary allocation-v2'!$E$3:$J$3,0)),0)</f>
        <v>0</v>
      </c>
      <c r="AA716" s="15">
        <f>-$K716*IFERROR(INDEX('[1]salary allocation-v2'!$E$6:$J$22,MATCH($H716,'[1]salary allocation-v2'!$D$6:$D$22,0),MATCH(AA$3,'[1]salary allocation-v2'!$E$3:$J$3,0)),0)</f>
        <v>0</v>
      </c>
      <c r="AB716" s="15">
        <f>-$K716*IFERROR(INDEX('[1]salary allocation-v2'!$E$6:$J$22,MATCH($H716,'[1]salary allocation-v2'!$D$6:$D$22,0),MATCH(AB$3,'[1]salary allocation-v2'!$E$3:$J$3,0)),0)</f>
        <v>0</v>
      </c>
      <c r="AC716" s="18">
        <f>-$K716*IFERROR(INDEX('[1]salary allocation-v2'!$E$6:$J$22,MATCH($H716,'[1]salary allocation-v2'!$D$6:$D$22,0),MATCH(AC$3,'[1]salary allocation-v2'!$E$3:$J$3,0)),0)</f>
        <v>0</v>
      </c>
      <c r="AD716" s="17"/>
      <c r="AE716" s="16"/>
      <c r="AF716" s="15">
        <f>-$K716</f>
        <v>15063924</v>
      </c>
      <c r="AG716" s="15"/>
      <c r="AH716" s="2">
        <f>K716+SUM(O716:AC716)</f>
        <v>0</v>
      </c>
      <c r="AI716" s="2">
        <f>K716+SUM(AF716:AG716)</f>
        <v>0</v>
      </c>
    </row>
    <row r="717" spans="1:35" x14ac:dyDescent="0.2">
      <c r="A717" s="23" t="s">
        <v>3</v>
      </c>
      <c r="B717" s="22" t="s">
        <v>142</v>
      </c>
      <c r="H717" s="11" t="s">
        <v>39</v>
      </c>
      <c r="I717" s="11" t="s">
        <v>168</v>
      </c>
      <c r="K717" s="13">
        <v>-15117814</v>
      </c>
      <c r="L717" s="12">
        <v>102025</v>
      </c>
      <c r="M717" s="11" t="str">
        <f>LEFT(I717,(LEN(LEFT(I717,FIND(";",I717)))-8))</f>
        <v>VNMOET</v>
      </c>
      <c r="N717" s="11"/>
      <c r="O717" s="15">
        <f>-$K717*IFERROR(INDEX('[1]salary allocation-v2'!$E$6:$J$22,MATCH($H717,'[1]salary allocation-v2'!$D$6:$D$22,0),MATCH(O$3,'[1]salary allocation-v2'!$E$3:$J$3,0)),0)</f>
        <v>0</v>
      </c>
      <c r="P717" s="15">
        <f>-$K717*IFERROR(INDEX('[1]salary allocation-v2'!$E$6:$J$22,MATCH($H717,'[1]salary allocation-v2'!$D$6:$D$22,0),MATCH(P$3,'[1]salary allocation-v2'!$E$3:$J$3,0)),0)</f>
        <v>0</v>
      </c>
      <c r="Q717" s="15">
        <f>-$K717*IFERROR(INDEX('[1]salary allocation-v2'!$E$6:$J$22,MATCH($H717,'[1]salary allocation-v2'!$D$6:$D$22,0),MATCH(Q$3,'[1]salary allocation-v2'!$E$3:$J$3,0)),0)</f>
        <v>0</v>
      </c>
      <c r="R717" s="15">
        <f>-$K717*IFERROR(INDEX('[1]salary allocation-v2'!$E$6:$J$22,MATCH($H717,'[1]salary allocation-v2'!$D$6:$D$22,0),MATCH(R$3,'[1]salary allocation-v2'!$E$3:$J$3,0)),0)</f>
        <v>0</v>
      </c>
      <c r="S717" s="15">
        <f>-$K717*IFERROR(INDEX('[1]salary allocation-v2'!$E$6:$J$22,MATCH($H717,'[1]salary allocation-v2'!$D$6:$D$22,0),MATCH(S$3,'[1]salary allocation-v2'!$E$3:$J$3,0)),0)</f>
        <v>0</v>
      </c>
      <c r="T717" s="15">
        <f>-$K717*IFERROR(INDEX('[1]salary allocation-v2'!$E$6:$J$22,MATCH($H717,'[1]salary allocation-v2'!$D$6:$D$22,0),MATCH(T$3,'[1]salary allocation-v2'!$E$3:$J$3,0)),0)</f>
        <v>0</v>
      </c>
      <c r="U717" s="15">
        <f>-$K717*IFERROR(INDEX('[1]salary allocation-v2'!$E$6:$J$22,MATCH($H717,'[1]salary allocation-v2'!$D$6:$D$22,0),MATCH(U$3,'[1]salary allocation-v2'!$E$3:$J$3,0)),0)</f>
        <v>0</v>
      </c>
      <c r="V717" s="15">
        <f>-$K717*IFERROR(INDEX('[1]salary allocation-v2'!$E$6:$J$22,MATCH($H717,'[1]salary allocation-v2'!$D$6:$D$22,0),MATCH(V$3,'[1]salary allocation-v2'!$E$3:$J$3,0)),0)</f>
        <v>0</v>
      </c>
      <c r="W717" s="15">
        <f>-$K717*IFERROR(INDEX('[1]salary allocation-v2'!$E$6:$J$22,MATCH($H717,'[1]salary allocation-v2'!$D$6:$D$22,0),MATCH(W$3,'[1]salary allocation-v2'!$E$3:$J$3,0)),0)</f>
        <v>15117814</v>
      </c>
      <c r="X717" s="15">
        <f>-$K717*IFERROR(INDEX('[1]salary allocation-v2'!$E$6:$J$22,MATCH($H717,'[1]salary allocation-v2'!$D$6:$D$22,0),MATCH(X$3,'[1]salary allocation-v2'!$E$3:$J$3,0)),0)</f>
        <v>0</v>
      </c>
      <c r="Y717" s="15">
        <f>-$K717*IFERROR(INDEX('[1]salary allocation-v2'!$E$6:$J$22,MATCH($H717,'[1]salary allocation-v2'!$D$6:$D$22,0),MATCH(Y$3,'[1]salary allocation-v2'!$E$3:$J$3,0)),0)</f>
        <v>0</v>
      </c>
      <c r="Z717" s="15">
        <f>-$K717*IFERROR(INDEX('[1]salary allocation-v2'!$E$6:$J$22,MATCH($H717,'[1]salary allocation-v2'!$D$6:$D$22,0),MATCH(Z$3,'[1]salary allocation-v2'!$E$3:$J$3,0)),0)</f>
        <v>0</v>
      </c>
      <c r="AA717" s="15">
        <f>-$K717*IFERROR(INDEX('[1]salary allocation-v2'!$E$6:$J$22,MATCH($H717,'[1]salary allocation-v2'!$D$6:$D$22,0),MATCH(AA$3,'[1]salary allocation-v2'!$E$3:$J$3,0)),0)</f>
        <v>0</v>
      </c>
      <c r="AB717" s="15">
        <f>-$K717*IFERROR(INDEX('[1]salary allocation-v2'!$E$6:$J$22,MATCH($H717,'[1]salary allocation-v2'!$D$6:$D$22,0),MATCH(AB$3,'[1]salary allocation-v2'!$E$3:$J$3,0)),0)</f>
        <v>0</v>
      </c>
      <c r="AC717" s="18">
        <f>-$K717*IFERROR(INDEX('[1]salary allocation-v2'!$E$6:$J$22,MATCH($H717,'[1]salary allocation-v2'!$D$6:$D$22,0),MATCH(AC$3,'[1]salary allocation-v2'!$E$3:$J$3,0)),0)</f>
        <v>0</v>
      </c>
      <c r="AD717" s="17"/>
      <c r="AE717" s="16"/>
      <c r="AF717" s="15">
        <f>-$K717</f>
        <v>15117814</v>
      </c>
      <c r="AG717" s="15"/>
      <c r="AH717" s="2">
        <f>K717+SUM(O717:AC717)</f>
        <v>0</v>
      </c>
      <c r="AI717" s="2">
        <f>K717+SUM(AF717:AG717)</f>
        <v>0</v>
      </c>
    </row>
    <row r="718" spans="1:35" x14ac:dyDescent="0.2">
      <c r="A718" s="23" t="s">
        <v>3</v>
      </c>
      <c r="B718" s="22" t="s">
        <v>142</v>
      </c>
      <c r="H718" s="11" t="s">
        <v>37</v>
      </c>
      <c r="I718" s="11" t="s">
        <v>167</v>
      </c>
      <c r="K718" s="13">
        <v>-14094497</v>
      </c>
      <c r="L718" s="12">
        <v>102025</v>
      </c>
      <c r="M718" s="11" t="str">
        <f>LEFT(I718,(LEN(LEFT(I718,FIND(";",I718)))-8))</f>
        <v>VNOther</v>
      </c>
      <c r="N718" s="11"/>
      <c r="O718" s="15">
        <f>-$K718*IFERROR(INDEX('[1]salary allocation-v2'!$E$6:$J$22,MATCH($H718,'[1]salary allocation-v2'!$D$6:$D$22,0),MATCH(O$3,'[1]salary allocation-v2'!$E$3:$J$3,0)),0)</f>
        <v>0</v>
      </c>
      <c r="P718" s="15">
        <f>-$K718*IFERROR(INDEX('[1]salary allocation-v2'!$E$6:$J$22,MATCH($H718,'[1]salary allocation-v2'!$D$6:$D$22,0),MATCH(P$3,'[1]salary allocation-v2'!$E$3:$J$3,0)),0)</f>
        <v>0</v>
      </c>
      <c r="Q718" s="15">
        <f>-$K718*IFERROR(INDEX('[1]salary allocation-v2'!$E$6:$J$22,MATCH($H718,'[1]salary allocation-v2'!$D$6:$D$22,0),MATCH(Q$3,'[1]salary allocation-v2'!$E$3:$J$3,0)),0)</f>
        <v>0</v>
      </c>
      <c r="R718" s="15">
        <f>-$K718*IFERROR(INDEX('[1]salary allocation-v2'!$E$6:$J$22,MATCH($H718,'[1]salary allocation-v2'!$D$6:$D$22,0),MATCH(R$3,'[1]salary allocation-v2'!$E$3:$J$3,0)),0)</f>
        <v>0</v>
      </c>
      <c r="S718" s="15">
        <f>-$K718*IFERROR(INDEX('[1]salary allocation-v2'!$E$6:$J$22,MATCH($H718,'[1]salary allocation-v2'!$D$6:$D$22,0),MATCH(S$3,'[1]salary allocation-v2'!$E$3:$J$3,0)),0)</f>
        <v>2396064.4899999998</v>
      </c>
      <c r="T718" s="15">
        <f>-$K718*IFERROR(INDEX('[1]salary allocation-v2'!$E$6:$J$22,MATCH($H718,'[1]salary allocation-v2'!$D$6:$D$22,0),MATCH(T$3,'[1]salary allocation-v2'!$E$3:$J$3,0)),0)</f>
        <v>2396064.4899999998</v>
      </c>
      <c r="U718" s="15">
        <f>-$K718*IFERROR(INDEX('[1]salary allocation-v2'!$E$6:$J$22,MATCH($H718,'[1]salary allocation-v2'!$D$6:$D$22,0),MATCH(U$3,'[1]salary allocation-v2'!$E$3:$J$3,0)),0)</f>
        <v>2396064.4899999998</v>
      </c>
      <c r="V718" s="15">
        <f>-$K718*IFERROR(INDEX('[1]salary allocation-v2'!$E$6:$J$22,MATCH($H718,'[1]salary allocation-v2'!$D$6:$D$22,0),MATCH(V$3,'[1]salary allocation-v2'!$E$3:$J$3,0)),0)</f>
        <v>0</v>
      </c>
      <c r="W718" s="15">
        <f>-$K718*IFERROR(INDEX('[1]salary allocation-v2'!$E$6:$J$22,MATCH($H718,'[1]salary allocation-v2'!$D$6:$D$22,0),MATCH(W$3,'[1]salary allocation-v2'!$E$3:$J$3,0)),0)</f>
        <v>6906303.5300000003</v>
      </c>
      <c r="X718" s="15">
        <f>-$K718*IFERROR(INDEX('[1]salary allocation-v2'!$E$6:$J$22,MATCH($H718,'[1]salary allocation-v2'!$D$6:$D$22,0),MATCH(X$3,'[1]salary allocation-v2'!$E$3:$J$3,0)),0)</f>
        <v>0</v>
      </c>
      <c r="Y718" s="15">
        <f>-$K718*IFERROR(INDEX('[1]salary allocation-v2'!$E$6:$J$22,MATCH($H718,'[1]salary allocation-v2'!$D$6:$D$22,0),MATCH(Y$3,'[1]salary allocation-v2'!$E$3:$J$3,0)),0)</f>
        <v>0</v>
      </c>
      <c r="Z718" s="15">
        <f>-$K718*IFERROR(INDEX('[1]salary allocation-v2'!$E$6:$J$22,MATCH($H718,'[1]salary allocation-v2'!$D$6:$D$22,0),MATCH(Z$3,'[1]salary allocation-v2'!$E$3:$J$3,0)),0)</f>
        <v>0</v>
      </c>
      <c r="AA718" s="15">
        <f>-$K718*IFERROR(INDEX('[1]salary allocation-v2'!$E$6:$J$22,MATCH($H718,'[1]salary allocation-v2'!$D$6:$D$22,0),MATCH(AA$3,'[1]salary allocation-v2'!$E$3:$J$3,0)),0)</f>
        <v>0</v>
      </c>
      <c r="AB718" s="15">
        <f>-$K718*IFERROR(INDEX('[1]salary allocation-v2'!$E$6:$J$22,MATCH($H718,'[1]salary allocation-v2'!$D$6:$D$22,0),MATCH(AB$3,'[1]salary allocation-v2'!$E$3:$J$3,0)),0)</f>
        <v>0</v>
      </c>
      <c r="AC718" s="18">
        <f>-$K718*IFERROR(INDEX('[1]salary allocation-v2'!$E$6:$J$22,MATCH($H718,'[1]salary allocation-v2'!$D$6:$D$22,0),MATCH(AC$3,'[1]salary allocation-v2'!$E$3:$J$3,0)),0)</f>
        <v>0</v>
      </c>
      <c r="AD718" s="17"/>
      <c r="AE718" s="16"/>
      <c r="AF718" s="15">
        <f>-K718</f>
        <v>14094497</v>
      </c>
      <c r="AG718" s="15"/>
      <c r="AH718" s="2">
        <f>K718+SUM(O718:AC718)</f>
        <v>0</v>
      </c>
      <c r="AI718" s="2">
        <f>K718+SUM(AF718:AG718)</f>
        <v>0</v>
      </c>
    </row>
    <row r="719" spans="1:35" x14ac:dyDescent="0.2">
      <c r="A719" s="23" t="s">
        <v>3</v>
      </c>
      <c r="B719" s="22" t="s">
        <v>142</v>
      </c>
      <c r="H719" s="11" t="s">
        <v>35</v>
      </c>
      <c r="I719" s="11" t="s">
        <v>166</v>
      </c>
      <c r="K719" s="13">
        <v>-15534950</v>
      </c>
      <c r="L719" s="12">
        <v>102025</v>
      </c>
      <c r="M719" s="11" t="str">
        <f>LEFT(I719,(LEN(LEFT(I719,FIND(";",I719)))-8))</f>
        <v>VNOther</v>
      </c>
      <c r="N719" s="11"/>
      <c r="O719" s="15">
        <f>-$K719*IFERROR(INDEX('[1]salary allocation-v2'!$E$6:$J$22,MATCH($H719,'[1]salary allocation-v2'!$D$6:$D$22,0),MATCH(O$3,'[1]salary allocation-v2'!$E$3:$J$3,0)),0)</f>
        <v>0</v>
      </c>
      <c r="P719" s="15">
        <f>-$K719*IFERROR(INDEX('[1]salary allocation-v2'!$E$6:$J$22,MATCH($H719,'[1]salary allocation-v2'!$D$6:$D$22,0),MATCH(P$3,'[1]salary allocation-v2'!$E$3:$J$3,0)),0)</f>
        <v>0</v>
      </c>
      <c r="Q719" s="15">
        <f>-$K719*IFERROR(INDEX('[1]salary allocation-v2'!$E$6:$J$22,MATCH($H719,'[1]salary allocation-v2'!$D$6:$D$22,0),MATCH(Q$3,'[1]salary allocation-v2'!$E$3:$J$3,0)),0)</f>
        <v>0</v>
      </c>
      <c r="R719" s="15">
        <f>-$K719*IFERROR(INDEX('[1]salary allocation-v2'!$E$6:$J$22,MATCH($H719,'[1]salary allocation-v2'!$D$6:$D$22,0),MATCH(R$3,'[1]salary allocation-v2'!$E$3:$J$3,0)),0)</f>
        <v>0</v>
      </c>
      <c r="S719" s="15">
        <f>-$K719*IFERROR(INDEX('[1]salary allocation-v2'!$E$6:$J$22,MATCH($H719,'[1]salary allocation-v2'!$D$6:$D$22,0),MATCH(S$3,'[1]salary allocation-v2'!$E$3:$J$3,0)),0)</f>
        <v>2640941.4999999995</v>
      </c>
      <c r="T719" s="15">
        <f>-$K719*IFERROR(INDEX('[1]salary allocation-v2'!$E$6:$J$22,MATCH($H719,'[1]salary allocation-v2'!$D$6:$D$22,0),MATCH(T$3,'[1]salary allocation-v2'!$E$3:$J$3,0)),0)</f>
        <v>2640941.4999999995</v>
      </c>
      <c r="U719" s="15">
        <f>-$K719*IFERROR(INDEX('[1]salary allocation-v2'!$E$6:$J$22,MATCH($H719,'[1]salary allocation-v2'!$D$6:$D$22,0),MATCH(U$3,'[1]salary allocation-v2'!$E$3:$J$3,0)),0)</f>
        <v>2640941.4999999995</v>
      </c>
      <c r="V719" s="15">
        <f>-$K719*IFERROR(INDEX('[1]salary allocation-v2'!$E$6:$J$22,MATCH($H719,'[1]salary allocation-v2'!$D$6:$D$22,0),MATCH(V$3,'[1]salary allocation-v2'!$E$3:$J$3,0)),0)</f>
        <v>0</v>
      </c>
      <c r="W719" s="15">
        <f>-$K719*IFERROR(INDEX('[1]salary allocation-v2'!$E$6:$J$22,MATCH($H719,'[1]salary allocation-v2'!$D$6:$D$22,0),MATCH(W$3,'[1]salary allocation-v2'!$E$3:$J$3,0)),0)</f>
        <v>7612125.5</v>
      </c>
      <c r="X719" s="15">
        <f>-$K719*IFERROR(INDEX('[1]salary allocation-v2'!$E$6:$J$22,MATCH($H719,'[1]salary allocation-v2'!$D$6:$D$22,0),MATCH(X$3,'[1]salary allocation-v2'!$E$3:$J$3,0)),0)</f>
        <v>0</v>
      </c>
      <c r="Y719" s="15">
        <f>-$K719*IFERROR(INDEX('[1]salary allocation-v2'!$E$6:$J$22,MATCH($H719,'[1]salary allocation-v2'!$D$6:$D$22,0),MATCH(Y$3,'[1]salary allocation-v2'!$E$3:$J$3,0)),0)</f>
        <v>0</v>
      </c>
      <c r="Z719" s="15">
        <f>-$K719*IFERROR(INDEX('[1]salary allocation-v2'!$E$6:$J$22,MATCH($H719,'[1]salary allocation-v2'!$D$6:$D$22,0),MATCH(Z$3,'[1]salary allocation-v2'!$E$3:$J$3,0)),0)</f>
        <v>0</v>
      </c>
      <c r="AA719" s="15">
        <f>-$K719*IFERROR(INDEX('[1]salary allocation-v2'!$E$6:$J$22,MATCH($H719,'[1]salary allocation-v2'!$D$6:$D$22,0),MATCH(AA$3,'[1]salary allocation-v2'!$E$3:$J$3,0)),0)</f>
        <v>0</v>
      </c>
      <c r="AB719" s="15">
        <f>-$K719*IFERROR(INDEX('[1]salary allocation-v2'!$E$6:$J$22,MATCH($H719,'[1]salary allocation-v2'!$D$6:$D$22,0),MATCH(AB$3,'[1]salary allocation-v2'!$E$3:$J$3,0)),0)</f>
        <v>0</v>
      </c>
      <c r="AC719" s="18">
        <f>-$K719*IFERROR(INDEX('[1]salary allocation-v2'!$E$6:$J$22,MATCH($H719,'[1]salary allocation-v2'!$D$6:$D$22,0),MATCH(AC$3,'[1]salary allocation-v2'!$E$3:$J$3,0)),0)</f>
        <v>0</v>
      </c>
      <c r="AD719" s="17"/>
      <c r="AE719" s="16"/>
      <c r="AF719" s="15">
        <f>-$K719</f>
        <v>15534950</v>
      </c>
      <c r="AG719" s="15"/>
      <c r="AH719" s="2">
        <f>K719+SUM(O719:AC719)</f>
        <v>0</v>
      </c>
      <c r="AI719" s="2">
        <f>K719+SUM(AF719:AG719)</f>
        <v>0</v>
      </c>
    </row>
    <row r="720" spans="1:35" x14ac:dyDescent="0.2">
      <c r="A720" s="23" t="s">
        <v>3</v>
      </c>
      <c r="B720" s="22" t="s">
        <v>142</v>
      </c>
      <c r="H720" s="11" t="s">
        <v>121</v>
      </c>
      <c r="I720" s="11" t="s">
        <v>165</v>
      </c>
      <c r="K720" s="13">
        <v>0</v>
      </c>
      <c r="L720" s="12">
        <v>102025</v>
      </c>
      <c r="M720" s="11" t="str">
        <f>LEFT(I720,(LEN(LEFT(I720,FIND(";",I720)))-8))</f>
        <v>VNLA</v>
      </c>
      <c r="N720" s="11"/>
      <c r="O720" s="4">
        <f>IF($M720=O$3,-$K720,0)</f>
        <v>0</v>
      </c>
      <c r="P720" s="4">
        <f>IF($M720=P$3,-$K720,0)</f>
        <v>0</v>
      </c>
      <c r="Q720" s="4">
        <f>IF($M720=Q$3,-$K720,0)</f>
        <v>0</v>
      </c>
      <c r="R720" s="4">
        <f>IF($M720=R$3,-$K720,0)</f>
        <v>0</v>
      </c>
      <c r="S720" s="4">
        <f>IF($M720=S$3,-$K720,0)</f>
        <v>0</v>
      </c>
      <c r="T720" s="4">
        <f>IF($M720=T$3,-$K720,0)</f>
        <v>0</v>
      </c>
      <c r="U720" s="4">
        <f>IF($M720=U$3,-$K720,0)</f>
        <v>0</v>
      </c>
      <c r="V720" s="4">
        <f>IF($M720=V$3,-$K720,0)</f>
        <v>0</v>
      </c>
      <c r="W720" s="4">
        <f>IF($M720=W$3,-$K720,0)</f>
        <v>0</v>
      </c>
      <c r="X720" s="4">
        <f>IF($M720=X$3,-$K720,0)</f>
        <v>0</v>
      </c>
      <c r="Y720" s="4">
        <f>IF($M720=Y$3,-$K720,0)</f>
        <v>0</v>
      </c>
      <c r="Z720" s="4">
        <f>IF($M720=Z$3,-$K720,0)</f>
        <v>0</v>
      </c>
      <c r="AA720" s="4">
        <f>IF($M720=AA$3,-$K720,0)</f>
        <v>0</v>
      </c>
      <c r="AB720" s="4">
        <f>IF($M720=AB$3,-$K720,0)</f>
        <v>0</v>
      </c>
      <c r="AC720" s="10">
        <f>IF($M720=AC$3,-$K720,0)</f>
        <v>0</v>
      </c>
      <c r="AD720" s="9"/>
      <c r="AE720" s="8"/>
      <c r="AF720" s="4"/>
      <c r="AG720" s="4">
        <f>-$K720</f>
        <v>0</v>
      </c>
      <c r="AH720" s="2">
        <f>K720+SUM(O720:AC720)</f>
        <v>0</v>
      </c>
      <c r="AI720" s="2">
        <f>K720+SUM(AF720:AG720)</f>
        <v>0</v>
      </c>
    </row>
    <row r="721" spans="1:35" x14ac:dyDescent="0.2">
      <c r="A721" s="23" t="s">
        <v>3</v>
      </c>
      <c r="B721" s="22" t="s">
        <v>142</v>
      </c>
      <c r="H721" s="11" t="s">
        <v>33</v>
      </c>
      <c r="I721" s="11" t="s">
        <v>164</v>
      </c>
      <c r="K721" s="13">
        <v>-3984832</v>
      </c>
      <c r="L721" s="12">
        <v>102025</v>
      </c>
      <c r="M721" s="11" t="str">
        <f>LEFT(I721,(LEN(LEFT(I721,FIND(";",I721)))-8))</f>
        <v>VNDN</v>
      </c>
      <c r="N721" s="11"/>
      <c r="O721" s="4">
        <f>IF($M721=O$3,-$K721,0)</f>
        <v>0</v>
      </c>
      <c r="P721" s="4">
        <f>IF($M721=P$3,-$K721,0)</f>
        <v>0</v>
      </c>
      <c r="Q721" s="4">
        <f>IF($M721=Q$3,-$K721,0)</f>
        <v>0</v>
      </c>
      <c r="R721" s="4">
        <f>IF($M721=R$3,-$K721,0)</f>
        <v>0</v>
      </c>
      <c r="S721" s="4">
        <f>IF($M721=S$3,-$K721,0)</f>
        <v>3984832</v>
      </c>
      <c r="T721" s="4">
        <f>IF($M721=T$3,-$K721,0)</f>
        <v>0</v>
      </c>
      <c r="U721" s="4">
        <f>IF($M721=U$3,-$K721,0)</f>
        <v>0</v>
      </c>
      <c r="V721" s="4">
        <f>IF($M721=V$3,-$K721,0)</f>
        <v>0</v>
      </c>
      <c r="W721" s="4">
        <f>IF($M721=W$3,-$K721,0)</f>
        <v>0</v>
      </c>
      <c r="X721" s="4">
        <f>IF($M721=X$3,-$K721,0)</f>
        <v>0</v>
      </c>
      <c r="Y721" s="4">
        <f>IF($M721=Y$3,-$K721,0)</f>
        <v>0</v>
      </c>
      <c r="Z721" s="4">
        <f>IF($M721=Z$3,-$K721,0)</f>
        <v>0</v>
      </c>
      <c r="AA721" s="4">
        <f>IF($M721=AA$3,-$K721,0)</f>
        <v>0</v>
      </c>
      <c r="AB721" s="4">
        <f>IF($M721=AB$3,-$K721,0)</f>
        <v>0</v>
      </c>
      <c r="AC721" s="10">
        <f>IF($M721=AC$3,-$K721,0)</f>
        <v>0</v>
      </c>
      <c r="AD721" s="9"/>
      <c r="AE721" s="8"/>
      <c r="AF721" s="4"/>
      <c r="AG721" s="4">
        <f>-$K721</f>
        <v>3984832</v>
      </c>
      <c r="AH721" s="2">
        <f>K721+SUM(O721:AC721)</f>
        <v>0</v>
      </c>
      <c r="AI721" s="2">
        <f>K721+SUM(AF721:AG721)</f>
        <v>0</v>
      </c>
    </row>
    <row r="722" spans="1:35" x14ac:dyDescent="0.2">
      <c r="A722" s="23" t="s">
        <v>3</v>
      </c>
      <c r="B722" s="22" t="s">
        <v>142</v>
      </c>
      <c r="H722" s="11" t="s">
        <v>31</v>
      </c>
      <c r="I722" s="11" t="s">
        <v>163</v>
      </c>
      <c r="K722" s="13">
        <v>-5064512</v>
      </c>
      <c r="L722" s="12">
        <v>102025</v>
      </c>
      <c r="M722" s="11" t="str">
        <f>LEFT(I722,(LEN(LEFT(I722,FIND(";",I722)))-8))</f>
        <v>VNDN</v>
      </c>
      <c r="N722" s="11"/>
      <c r="O722" s="4">
        <f>IF($M722=O$3,-$K722,0)</f>
        <v>0</v>
      </c>
      <c r="P722" s="4">
        <f>IF($M722=P$3,-$K722,0)</f>
        <v>0</v>
      </c>
      <c r="Q722" s="4">
        <f>IF($M722=Q$3,-$K722,0)</f>
        <v>0</v>
      </c>
      <c r="R722" s="4">
        <f>IF($M722=R$3,-$K722,0)</f>
        <v>0</v>
      </c>
      <c r="S722" s="4">
        <f>IF($M722=S$3,-$K722,0)</f>
        <v>5064512</v>
      </c>
      <c r="T722" s="4">
        <f>IF($M722=T$3,-$K722,0)</f>
        <v>0</v>
      </c>
      <c r="U722" s="4">
        <f>IF($M722=U$3,-$K722,0)</f>
        <v>0</v>
      </c>
      <c r="V722" s="4">
        <f>IF($M722=V$3,-$K722,0)</f>
        <v>0</v>
      </c>
      <c r="W722" s="4">
        <f>IF($M722=W$3,-$K722,0)</f>
        <v>0</v>
      </c>
      <c r="X722" s="4">
        <f>IF($M722=X$3,-$K722,0)</f>
        <v>0</v>
      </c>
      <c r="Y722" s="4">
        <f>IF($M722=Y$3,-$K722,0)</f>
        <v>0</v>
      </c>
      <c r="Z722" s="4">
        <f>IF($M722=Z$3,-$K722,0)</f>
        <v>0</v>
      </c>
      <c r="AA722" s="4">
        <f>IF($M722=AA$3,-$K722,0)</f>
        <v>0</v>
      </c>
      <c r="AB722" s="4">
        <f>IF($M722=AB$3,-$K722,0)</f>
        <v>0</v>
      </c>
      <c r="AC722" s="10">
        <f>IF($M722=AC$3,-$K722,0)</f>
        <v>0</v>
      </c>
      <c r="AD722" s="9"/>
      <c r="AE722" s="8"/>
      <c r="AF722" s="4"/>
      <c r="AG722" s="4">
        <f>-$K722</f>
        <v>5064512</v>
      </c>
      <c r="AH722" s="2">
        <f>K722+SUM(O722:AC722)</f>
        <v>0</v>
      </c>
      <c r="AI722" s="2">
        <f>K722+SUM(AF722:AG722)</f>
        <v>0</v>
      </c>
    </row>
    <row r="723" spans="1:35" x14ac:dyDescent="0.2">
      <c r="A723" s="23" t="s">
        <v>3</v>
      </c>
      <c r="B723" s="22" t="s">
        <v>142</v>
      </c>
      <c r="H723" s="11" t="s">
        <v>29</v>
      </c>
      <c r="I723" s="11" t="s">
        <v>162</v>
      </c>
      <c r="K723" s="13">
        <v>-6516352</v>
      </c>
      <c r="L723" s="12">
        <v>102025</v>
      </c>
      <c r="M723" s="11" t="str">
        <f>LEFT(I723,(LEN(LEFT(I723,FIND(";",I723)))-8))</f>
        <v>VNDN</v>
      </c>
      <c r="N723" s="11"/>
      <c r="O723" s="4">
        <f>IF($M723=O$3,-$K723,0)</f>
        <v>0</v>
      </c>
      <c r="P723" s="4">
        <f>IF($M723=P$3,-$K723,0)</f>
        <v>0</v>
      </c>
      <c r="Q723" s="4">
        <f>IF($M723=Q$3,-$K723,0)</f>
        <v>0</v>
      </c>
      <c r="R723" s="4">
        <f>IF($M723=R$3,-$K723,0)</f>
        <v>0</v>
      </c>
      <c r="S723" s="4">
        <f>IF($M723=S$3,-$K723,0)</f>
        <v>6516352</v>
      </c>
      <c r="T723" s="4">
        <f>IF($M723=T$3,-$K723,0)</f>
        <v>0</v>
      </c>
      <c r="U723" s="4">
        <f>IF($M723=U$3,-$K723,0)</f>
        <v>0</v>
      </c>
      <c r="V723" s="4">
        <f>IF($M723=V$3,-$K723,0)</f>
        <v>0</v>
      </c>
      <c r="W723" s="4">
        <f>IF($M723=W$3,-$K723,0)</f>
        <v>0</v>
      </c>
      <c r="X723" s="4">
        <f>IF($M723=X$3,-$K723,0)</f>
        <v>0</v>
      </c>
      <c r="Y723" s="4">
        <f>IF($M723=Y$3,-$K723,0)</f>
        <v>0</v>
      </c>
      <c r="Z723" s="4">
        <f>IF($M723=Z$3,-$K723,0)</f>
        <v>0</v>
      </c>
      <c r="AA723" s="4">
        <f>IF($M723=AA$3,-$K723,0)</f>
        <v>0</v>
      </c>
      <c r="AB723" s="4">
        <f>IF($M723=AB$3,-$K723,0)</f>
        <v>0</v>
      </c>
      <c r="AC723" s="10">
        <f>IF($M723=AC$3,-$K723,0)</f>
        <v>0</v>
      </c>
      <c r="AD723" s="9"/>
      <c r="AE723" s="8"/>
      <c r="AF723" s="4"/>
      <c r="AG723" s="4">
        <f>-$K723</f>
        <v>6516352</v>
      </c>
      <c r="AH723" s="2">
        <f>K723+SUM(O723:AC723)</f>
        <v>0</v>
      </c>
      <c r="AI723" s="2">
        <f>K723+SUM(AF723:AG723)</f>
        <v>0</v>
      </c>
    </row>
    <row r="724" spans="1:35" x14ac:dyDescent="0.2">
      <c r="A724" s="23" t="s">
        <v>3</v>
      </c>
      <c r="B724" s="22" t="s">
        <v>142</v>
      </c>
      <c r="H724" s="11" t="s">
        <v>27</v>
      </c>
      <c r="I724" s="11" t="s">
        <v>161</v>
      </c>
      <c r="K724" s="13">
        <v>-4564352</v>
      </c>
      <c r="L724" s="12">
        <v>102025</v>
      </c>
      <c r="M724" s="11" t="str">
        <f>LEFT(I724,(LEN(LEFT(I724,FIND(";",I724)))-8))</f>
        <v>VNDN</v>
      </c>
      <c r="N724" s="11"/>
      <c r="O724" s="4">
        <f>IF($M724=O$3,-$K724,0)</f>
        <v>0</v>
      </c>
      <c r="P724" s="4">
        <f>IF($M724=P$3,-$K724,0)</f>
        <v>0</v>
      </c>
      <c r="Q724" s="4">
        <f>IF($M724=Q$3,-$K724,0)</f>
        <v>0</v>
      </c>
      <c r="R724" s="4">
        <f>IF($M724=R$3,-$K724,0)</f>
        <v>0</v>
      </c>
      <c r="S724" s="4">
        <f>IF($M724=S$3,-$K724,0)</f>
        <v>4564352</v>
      </c>
      <c r="T724" s="4">
        <f>IF($M724=T$3,-$K724,0)</f>
        <v>0</v>
      </c>
      <c r="U724" s="4">
        <f>IF($M724=U$3,-$K724,0)</f>
        <v>0</v>
      </c>
      <c r="V724" s="4">
        <f>IF($M724=V$3,-$K724,0)</f>
        <v>0</v>
      </c>
      <c r="W724" s="4">
        <f>IF($M724=W$3,-$K724,0)</f>
        <v>0</v>
      </c>
      <c r="X724" s="4">
        <f>IF($M724=X$3,-$K724,0)</f>
        <v>0</v>
      </c>
      <c r="Y724" s="4">
        <f>IF($M724=Y$3,-$K724,0)</f>
        <v>0</v>
      </c>
      <c r="Z724" s="4">
        <f>IF($M724=Z$3,-$K724,0)</f>
        <v>0</v>
      </c>
      <c r="AA724" s="4">
        <f>IF($M724=AA$3,-$K724,0)</f>
        <v>0</v>
      </c>
      <c r="AB724" s="4">
        <f>IF($M724=AB$3,-$K724,0)</f>
        <v>0</v>
      </c>
      <c r="AC724" s="10">
        <f>IF($M724=AC$3,-$K724,0)</f>
        <v>0</v>
      </c>
      <c r="AD724" s="9"/>
      <c r="AE724" s="8"/>
      <c r="AF724" s="4"/>
      <c r="AG724" s="4">
        <f>-$K724</f>
        <v>4564352</v>
      </c>
      <c r="AH724" s="2">
        <f>K724+SUM(O724:AC724)</f>
        <v>0</v>
      </c>
      <c r="AI724" s="2">
        <f>K724+SUM(AF724:AG724)</f>
        <v>0</v>
      </c>
    </row>
    <row r="725" spans="1:35" x14ac:dyDescent="0.2">
      <c r="A725" s="23" t="s">
        <v>3</v>
      </c>
      <c r="B725" s="22" t="s">
        <v>142</v>
      </c>
      <c r="H725" s="11" t="s">
        <v>25</v>
      </c>
      <c r="I725" s="11" t="s">
        <v>160</v>
      </c>
      <c r="K725" s="13">
        <v>-5039552</v>
      </c>
      <c r="L725" s="12">
        <v>102025</v>
      </c>
      <c r="M725" s="11" t="str">
        <f>LEFT(I725,(LEN(LEFT(I725,FIND(";",I725)))-8))</f>
        <v>VNQN</v>
      </c>
      <c r="N725" s="11"/>
      <c r="O725" s="4">
        <f>IF($M725=O$3,-$K725,0)</f>
        <v>0</v>
      </c>
      <c r="P725" s="4">
        <f>IF($M725=P$3,-$K725,0)</f>
        <v>0</v>
      </c>
      <c r="Q725" s="4">
        <f>IF($M725=Q$3,-$K725,0)</f>
        <v>0</v>
      </c>
      <c r="R725" s="4">
        <f>IF($M725=R$3,-$K725,0)</f>
        <v>0</v>
      </c>
      <c r="S725" s="4">
        <f>IF($M725=S$3,-$K725,0)</f>
        <v>0</v>
      </c>
      <c r="T725" s="4">
        <f>IF($M725=T$3,-$K725,0)</f>
        <v>5039552</v>
      </c>
      <c r="U725" s="4">
        <f>IF($M725=U$3,-$K725,0)</f>
        <v>0</v>
      </c>
      <c r="V725" s="4">
        <f>IF($M725=V$3,-$K725,0)</f>
        <v>0</v>
      </c>
      <c r="W725" s="4">
        <f>IF($M725=W$3,-$K725,0)</f>
        <v>0</v>
      </c>
      <c r="X725" s="4">
        <f>IF($M725=X$3,-$K725,0)</f>
        <v>0</v>
      </c>
      <c r="Y725" s="4">
        <f>IF($M725=Y$3,-$K725,0)</f>
        <v>0</v>
      </c>
      <c r="Z725" s="4">
        <f>IF($M725=Z$3,-$K725,0)</f>
        <v>0</v>
      </c>
      <c r="AA725" s="4">
        <f>IF($M725=AA$3,-$K725,0)</f>
        <v>0</v>
      </c>
      <c r="AB725" s="4">
        <f>IF($M725=AB$3,-$K725,0)</f>
        <v>0</v>
      </c>
      <c r="AC725" s="10">
        <f>IF($M725=AC$3,-$K725,0)</f>
        <v>0</v>
      </c>
      <c r="AD725" s="9"/>
      <c r="AE725" s="8"/>
      <c r="AF725" s="4"/>
      <c r="AG725" s="4">
        <f>-$K725</f>
        <v>5039552</v>
      </c>
      <c r="AH725" s="2">
        <f>K725+SUM(O725:AC725)</f>
        <v>0</v>
      </c>
      <c r="AI725" s="2">
        <f>K725+SUM(AF725:AG725)</f>
        <v>0</v>
      </c>
    </row>
    <row r="726" spans="1:35" x14ac:dyDescent="0.2">
      <c r="A726" s="23" t="s">
        <v>3</v>
      </c>
      <c r="B726" s="22" t="s">
        <v>142</v>
      </c>
      <c r="H726" s="11" t="s">
        <v>81</v>
      </c>
      <c r="I726" s="11" t="s">
        <v>159</v>
      </c>
      <c r="K726" s="13">
        <v>-4069952</v>
      </c>
      <c r="L726" s="12">
        <v>102025</v>
      </c>
      <c r="M726" s="11" t="str">
        <f>LEFT(I726,(LEN(LEFT(I726,FIND(";",I726)))-8))</f>
        <v>VNQN</v>
      </c>
      <c r="N726" s="11"/>
      <c r="O726" s="4">
        <f>IF($M726=O$3,-$K726,0)</f>
        <v>0</v>
      </c>
      <c r="P726" s="4">
        <f>IF($M726=P$3,-$K726,0)</f>
        <v>0</v>
      </c>
      <c r="Q726" s="4">
        <f>IF($M726=Q$3,-$K726,0)</f>
        <v>0</v>
      </c>
      <c r="R726" s="4">
        <f>IF($M726=R$3,-$K726,0)</f>
        <v>0</v>
      </c>
      <c r="S726" s="4">
        <f>IF($M726=S$3,-$K726,0)</f>
        <v>0</v>
      </c>
      <c r="T726" s="4">
        <f>IF($M726=T$3,-$K726,0)</f>
        <v>4069952</v>
      </c>
      <c r="U726" s="4">
        <f>IF($M726=U$3,-$K726,0)</f>
        <v>0</v>
      </c>
      <c r="V726" s="4">
        <f>IF($M726=V$3,-$K726,0)</f>
        <v>0</v>
      </c>
      <c r="W726" s="4">
        <f>IF($M726=W$3,-$K726,0)</f>
        <v>0</v>
      </c>
      <c r="X726" s="4">
        <f>IF($M726=X$3,-$K726,0)</f>
        <v>0</v>
      </c>
      <c r="Y726" s="4">
        <f>IF($M726=Y$3,-$K726,0)</f>
        <v>0</v>
      </c>
      <c r="Z726" s="4">
        <f>IF($M726=Z$3,-$K726,0)</f>
        <v>0</v>
      </c>
      <c r="AA726" s="4">
        <f>IF($M726=AA$3,-$K726,0)</f>
        <v>0</v>
      </c>
      <c r="AB726" s="4">
        <f>IF($M726=AB$3,-$K726,0)</f>
        <v>0</v>
      </c>
      <c r="AC726" s="10">
        <f>IF($M726=AC$3,-$K726,0)</f>
        <v>0</v>
      </c>
      <c r="AD726" s="9"/>
      <c r="AE726" s="8"/>
      <c r="AF726" s="4"/>
      <c r="AG726" s="4">
        <f>-$K726</f>
        <v>4069952</v>
      </c>
      <c r="AH726" s="2">
        <f>K726+SUM(O726:AC726)</f>
        <v>0</v>
      </c>
      <c r="AI726" s="2">
        <f>K726+SUM(AF726:AG726)</f>
        <v>0</v>
      </c>
    </row>
    <row r="727" spans="1:35" x14ac:dyDescent="0.2">
      <c r="A727" s="23" t="s">
        <v>3</v>
      </c>
      <c r="B727" s="22" t="s">
        <v>142</v>
      </c>
      <c r="H727" s="11" t="s">
        <v>23</v>
      </c>
      <c r="I727" s="11" t="s">
        <v>158</v>
      </c>
      <c r="K727" s="13">
        <v>-4069952</v>
      </c>
      <c r="L727" s="12">
        <v>102025</v>
      </c>
      <c r="M727" s="11" t="str">
        <f>LEFT(I727,(LEN(LEFT(I727,FIND(";",I727)))-8))</f>
        <v>VNHD</v>
      </c>
      <c r="N727" s="11"/>
      <c r="O727" s="4">
        <f>IF($M727=O$3,-$K727,0)</f>
        <v>0</v>
      </c>
      <c r="P727" s="4">
        <f>IF($M727=P$3,-$K727,0)</f>
        <v>0</v>
      </c>
      <c r="Q727" s="4">
        <f>IF($M727=Q$3,-$K727,0)</f>
        <v>0</v>
      </c>
      <c r="R727" s="4">
        <f>IF($M727=R$3,-$K727,0)</f>
        <v>0</v>
      </c>
      <c r="S727" s="4">
        <f>IF($M727=S$3,-$K727,0)</f>
        <v>0</v>
      </c>
      <c r="T727" s="4">
        <f>IF($M727=T$3,-$K727,0)</f>
        <v>0</v>
      </c>
      <c r="U727" s="4">
        <f>IF($M727=U$3,-$K727,0)</f>
        <v>4069952</v>
      </c>
      <c r="V727" s="4">
        <f>IF($M727=V$3,-$K727,0)</f>
        <v>0</v>
      </c>
      <c r="W727" s="4">
        <f>IF($M727=W$3,-$K727,0)</f>
        <v>0</v>
      </c>
      <c r="X727" s="4">
        <f>IF($M727=X$3,-$K727,0)</f>
        <v>0</v>
      </c>
      <c r="Y727" s="4">
        <f>IF($M727=Y$3,-$K727,0)</f>
        <v>0</v>
      </c>
      <c r="Z727" s="4">
        <f>IF($M727=Z$3,-$K727,0)</f>
        <v>0</v>
      </c>
      <c r="AA727" s="4">
        <f>IF($M727=AA$3,-$K727,0)</f>
        <v>0</v>
      </c>
      <c r="AB727" s="4">
        <f>IF($M727=AB$3,-$K727,0)</f>
        <v>0</v>
      </c>
      <c r="AC727" s="10">
        <f>IF($M727=AC$3,-$K727,0)</f>
        <v>0</v>
      </c>
      <c r="AD727" s="9"/>
      <c r="AE727" s="8"/>
      <c r="AF727" s="4"/>
      <c r="AG727" s="4">
        <f>-$K727</f>
        <v>4069952</v>
      </c>
      <c r="AH727" s="2">
        <f>K727+SUM(O727:AC727)</f>
        <v>0</v>
      </c>
      <c r="AI727" s="2">
        <f>K727+SUM(AF727:AG727)</f>
        <v>0</v>
      </c>
    </row>
    <row r="728" spans="1:35" x14ac:dyDescent="0.2">
      <c r="A728" s="23" t="s">
        <v>3</v>
      </c>
      <c r="B728" s="22" t="s">
        <v>142</v>
      </c>
      <c r="H728" s="11" t="s">
        <v>21</v>
      </c>
      <c r="I728" s="11" t="s">
        <v>157</v>
      </c>
      <c r="K728" s="13">
        <v>-4564352</v>
      </c>
      <c r="L728" s="12">
        <v>102025</v>
      </c>
      <c r="M728" s="11" t="str">
        <f>LEFT(I728,(LEN(LEFT(I728,FIND(";",I728)))-8))</f>
        <v>VNHCM</v>
      </c>
      <c r="N728" s="11"/>
      <c r="O728" s="4">
        <f>IF($M728=O$3,-$K728,0)</f>
        <v>0</v>
      </c>
      <c r="P728" s="4">
        <f>IF($M728=P$3,-$K728,0)</f>
        <v>0</v>
      </c>
      <c r="Q728" s="4">
        <f>IF($M728=Q$3,-$K728,0)</f>
        <v>0</v>
      </c>
      <c r="R728" s="4">
        <f>IF($M728=R$3,-$K728,0)</f>
        <v>0</v>
      </c>
      <c r="S728" s="4">
        <f>IF($M728=S$3,-$K728,0)</f>
        <v>0</v>
      </c>
      <c r="T728" s="4">
        <f>IF($M728=T$3,-$K728,0)</f>
        <v>0</v>
      </c>
      <c r="U728" s="4">
        <f>IF($M728=U$3,-$K728,0)</f>
        <v>0</v>
      </c>
      <c r="V728" s="4">
        <f>IF($M728=V$3,-$K728,0)</f>
        <v>0</v>
      </c>
      <c r="W728" s="4">
        <f>IF($M728=W$3,-$K728,0)</f>
        <v>0</v>
      </c>
      <c r="X728" s="4">
        <f>IF($M728=X$3,-$K728,0)</f>
        <v>0</v>
      </c>
      <c r="Y728" s="4">
        <f>IF($M728=Y$3,-$K728,0)</f>
        <v>4564352</v>
      </c>
      <c r="Z728" s="4">
        <f>IF($M728=Z$3,-$K728,0)</f>
        <v>0</v>
      </c>
      <c r="AA728" s="4">
        <f>IF($M728=AA$3,-$K728,0)</f>
        <v>0</v>
      </c>
      <c r="AB728" s="4">
        <f>IF($M728=AB$3,-$K728,0)</f>
        <v>0</v>
      </c>
      <c r="AC728" s="10">
        <f>IF($M728=AC$3,-$K728,0)</f>
        <v>0</v>
      </c>
      <c r="AD728" s="9"/>
      <c r="AE728" s="8"/>
      <c r="AF728" s="4"/>
      <c r="AG728" s="4">
        <f>-$K728</f>
        <v>4564352</v>
      </c>
      <c r="AH728" s="2">
        <f>K728+SUM(O728:AC728)</f>
        <v>0</v>
      </c>
      <c r="AI728" s="2">
        <f>K728+SUM(AF728:AG728)</f>
        <v>0</v>
      </c>
    </row>
    <row r="729" spans="1:35" x14ac:dyDescent="0.2">
      <c r="A729" s="23" t="s">
        <v>3</v>
      </c>
      <c r="B729" s="22" t="s">
        <v>142</v>
      </c>
      <c r="H729" s="11" t="s">
        <v>156</v>
      </c>
      <c r="I729" s="11" t="s">
        <v>155</v>
      </c>
      <c r="K729" s="13">
        <v>0</v>
      </c>
      <c r="L729" s="12">
        <v>102025</v>
      </c>
      <c r="M729" s="11" t="str">
        <f>LEFT(I729,(LEN(LEFT(I729,FIND(";",I729)))-8))</f>
        <v>VNBG</v>
      </c>
      <c r="N729" s="11"/>
      <c r="O729" s="4">
        <f>IF($M729=O$3,-$K729,0)</f>
        <v>0</v>
      </c>
      <c r="P729" s="4">
        <f>IF($M729=P$3,-$K729,0)</f>
        <v>0</v>
      </c>
      <c r="Q729" s="4">
        <f>IF($M729=Q$3,-$K729,0)</f>
        <v>0</v>
      </c>
      <c r="R729" s="4">
        <f>IF($M729=R$3,-$K729,0)</f>
        <v>0</v>
      </c>
      <c r="S729" s="4">
        <f>IF($M729=S$3,-$K729,0)</f>
        <v>0</v>
      </c>
      <c r="T729" s="4">
        <f>IF($M729=T$3,-$K729,0)</f>
        <v>0</v>
      </c>
      <c r="U729" s="4">
        <f>IF($M729=U$3,-$K729,0)</f>
        <v>0</v>
      </c>
      <c r="V729" s="4">
        <f>IF($M729=V$3,-$K729,0)</f>
        <v>0</v>
      </c>
      <c r="W729" s="4">
        <f>IF($M729=W$3,-$K729,0)</f>
        <v>0</v>
      </c>
      <c r="X729" s="4">
        <f>IF($M729=X$3,-$K729,0)</f>
        <v>0</v>
      </c>
      <c r="Y729" s="4">
        <f>IF($M729=Y$3,-$K729,0)</f>
        <v>0</v>
      </c>
      <c r="Z729" s="4">
        <f>IF($M729=Z$3,-$K729,0)</f>
        <v>0</v>
      </c>
      <c r="AA729" s="4">
        <f>IF($M729=AA$3,-$K729,0)</f>
        <v>0</v>
      </c>
      <c r="AB729" s="4">
        <f>IF($M729=AB$3,-$K729,0)</f>
        <v>0</v>
      </c>
      <c r="AC729" s="10">
        <f>IF($M729=AC$3,-$K729,0)</f>
        <v>0</v>
      </c>
      <c r="AD729" s="9"/>
      <c r="AE729" s="8"/>
      <c r="AF729" s="4"/>
      <c r="AG729" s="4"/>
      <c r="AH729" s="2">
        <f>K729+SUM(O729:AC729)</f>
        <v>0</v>
      </c>
      <c r="AI729" s="2">
        <f>K729+SUM(AF729:AG729)</f>
        <v>0</v>
      </c>
    </row>
    <row r="730" spans="1:35" x14ac:dyDescent="0.2">
      <c r="A730" s="23" t="s">
        <v>3</v>
      </c>
      <c r="B730" s="22" t="s">
        <v>142</v>
      </c>
      <c r="H730" s="11" t="s">
        <v>19</v>
      </c>
      <c r="I730" s="11" t="s">
        <v>154</v>
      </c>
      <c r="K730" s="13">
        <v>-4564352</v>
      </c>
      <c r="L730" s="12">
        <v>102025</v>
      </c>
      <c r="M730" s="11" t="str">
        <f>LEFT(I730,(LEN(LEFT(I730,FIND(";",I730)))-8))</f>
        <v>VNHCM</v>
      </c>
      <c r="N730" s="11"/>
      <c r="O730" s="4">
        <f>IF($M730=O$3,-$K730,0)</f>
        <v>0</v>
      </c>
      <c r="P730" s="4">
        <f>IF($M730=P$3,-$K730,0)</f>
        <v>0</v>
      </c>
      <c r="Q730" s="4">
        <f>IF($M730=Q$3,-$K730,0)</f>
        <v>0</v>
      </c>
      <c r="R730" s="4">
        <f>IF($M730=R$3,-$K730,0)</f>
        <v>0</v>
      </c>
      <c r="S730" s="4">
        <f>IF($M730=S$3,-$K730,0)</f>
        <v>0</v>
      </c>
      <c r="T730" s="4">
        <f>IF($M730=T$3,-$K730,0)</f>
        <v>0</v>
      </c>
      <c r="U730" s="4">
        <f>IF($M730=U$3,-$K730,0)</f>
        <v>0</v>
      </c>
      <c r="V730" s="4">
        <f>IF($M730=V$3,-$K730,0)</f>
        <v>0</v>
      </c>
      <c r="W730" s="4">
        <f>IF($M730=W$3,-$K730,0)</f>
        <v>0</v>
      </c>
      <c r="X730" s="4">
        <f>IF($M730=X$3,-$K730,0)</f>
        <v>0</v>
      </c>
      <c r="Y730" s="4">
        <f>IF($M730=Y$3,-$K730,0)</f>
        <v>4564352</v>
      </c>
      <c r="Z730" s="4">
        <f>IF($M730=Z$3,-$K730,0)</f>
        <v>0</v>
      </c>
      <c r="AA730" s="4">
        <f>IF($M730=AA$3,-$K730,0)</f>
        <v>0</v>
      </c>
      <c r="AB730" s="4">
        <f>IF($M730=AB$3,-$K730,0)</f>
        <v>0</v>
      </c>
      <c r="AC730" s="10">
        <f>IF($M730=AC$3,-$K730,0)</f>
        <v>0</v>
      </c>
      <c r="AD730" s="9"/>
      <c r="AE730" s="8"/>
      <c r="AF730" s="4"/>
      <c r="AG730" s="4">
        <f>-$K730</f>
        <v>4564352</v>
      </c>
      <c r="AH730" s="2">
        <f>K730+SUM(O730:AC730)</f>
        <v>0</v>
      </c>
      <c r="AI730" s="2">
        <f>K730+SUM(AF730:AG730)</f>
        <v>0</v>
      </c>
    </row>
    <row r="731" spans="1:35" x14ac:dyDescent="0.2">
      <c r="A731" s="23" t="s">
        <v>3</v>
      </c>
      <c r="B731" s="22" t="s">
        <v>142</v>
      </c>
      <c r="H731" s="11" t="s">
        <v>153</v>
      </c>
      <c r="I731" s="11" t="s">
        <v>152</v>
      </c>
      <c r="K731" s="13">
        <v>0</v>
      </c>
      <c r="L731" s="12">
        <v>102025</v>
      </c>
      <c r="M731" s="11" t="str">
        <f>LEFT(I731,(LEN(LEFT(I731,FIND(";",I731)))-8))</f>
        <v>VNBN</v>
      </c>
      <c r="N731" s="11"/>
      <c r="O731" s="4">
        <f>IF($M731=O$3,-$K731,0)</f>
        <v>0</v>
      </c>
      <c r="P731" s="4">
        <f>IF($M731=P$3,-$K731,0)</f>
        <v>0</v>
      </c>
      <c r="Q731" s="4">
        <f>IF($M731=Q$3,-$K731,0)</f>
        <v>0</v>
      </c>
      <c r="R731" s="4">
        <f>IF($M731=R$3,-$K731,0)</f>
        <v>0</v>
      </c>
      <c r="S731" s="4">
        <f>IF($M731=S$3,-$K731,0)</f>
        <v>0</v>
      </c>
      <c r="T731" s="4">
        <f>IF($M731=T$3,-$K731,0)</f>
        <v>0</v>
      </c>
      <c r="U731" s="4">
        <f>IF($M731=U$3,-$K731,0)</f>
        <v>0</v>
      </c>
      <c r="V731" s="4">
        <f>IF($M731=V$3,-$K731,0)</f>
        <v>0</v>
      </c>
      <c r="W731" s="4">
        <f>IF($M731=W$3,-$K731,0)</f>
        <v>0</v>
      </c>
      <c r="X731" s="4">
        <f>IF($M731=X$3,-$K731,0)</f>
        <v>0</v>
      </c>
      <c r="Y731" s="4">
        <f>IF($M731=Y$3,-$K731,0)</f>
        <v>0</v>
      </c>
      <c r="Z731" s="4">
        <f>IF($M731=Z$3,-$K731,0)</f>
        <v>0</v>
      </c>
      <c r="AA731" s="4">
        <f>IF($M731=AA$3,-$K731,0)</f>
        <v>0</v>
      </c>
      <c r="AB731" s="4">
        <f>IF($M731=AB$3,-$K731,0)</f>
        <v>0</v>
      </c>
      <c r="AC731" s="10">
        <f>IF($M731=AC$3,-$K731,0)</f>
        <v>0</v>
      </c>
      <c r="AD731" s="9"/>
      <c r="AE731" s="8"/>
      <c r="AF731" s="4"/>
      <c r="AG731" s="4"/>
      <c r="AH731" s="2">
        <f>K731+SUM(O731:AC731)</f>
        <v>0</v>
      </c>
      <c r="AI731" s="2">
        <f>K731+SUM(AF731:AG731)</f>
        <v>0</v>
      </c>
    </row>
    <row r="732" spans="1:35" x14ac:dyDescent="0.2">
      <c r="A732" s="23" t="s">
        <v>3</v>
      </c>
      <c r="B732" s="22" t="s">
        <v>142</v>
      </c>
      <c r="H732" s="11" t="s">
        <v>151</v>
      </c>
      <c r="I732" s="11" t="s">
        <v>150</v>
      </c>
      <c r="K732" s="13">
        <v>0</v>
      </c>
      <c r="L732" s="12">
        <v>102025</v>
      </c>
      <c r="M732" s="11" t="str">
        <f>LEFT(I732,(LEN(LEFT(I732,FIND(";",I732)))-8))</f>
        <v>VNQN</v>
      </c>
      <c r="N732" s="11"/>
      <c r="O732" s="4">
        <f>IF($M732=O$3,-$K732,0)</f>
        <v>0</v>
      </c>
      <c r="P732" s="4">
        <f>IF($M732=P$3,-$K732,0)</f>
        <v>0</v>
      </c>
      <c r="Q732" s="4">
        <f>IF($M732=Q$3,-$K732,0)</f>
        <v>0</v>
      </c>
      <c r="R732" s="4">
        <f>IF($M732=R$3,-$K732,0)</f>
        <v>0</v>
      </c>
      <c r="S732" s="4">
        <f>IF($M732=S$3,-$K732,0)</f>
        <v>0</v>
      </c>
      <c r="T732" s="4">
        <f>IF($M732=T$3,-$K732,0)</f>
        <v>0</v>
      </c>
      <c r="U732" s="4">
        <f>IF($M732=U$3,-$K732,0)</f>
        <v>0</v>
      </c>
      <c r="V732" s="4">
        <f>IF($M732=V$3,-$K732,0)</f>
        <v>0</v>
      </c>
      <c r="W732" s="4">
        <f>IF($M732=W$3,-$K732,0)</f>
        <v>0</v>
      </c>
      <c r="X732" s="4">
        <f>IF($M732=X$3,-$K732,0)</f>
        <v>0</v>
      </c>
      <c r="Y732" s="4">
        <f>IF($M732=Y$3,-$K732,0)</f>
        <v>0</v>
      </c>
      <c r="Z732" s="4">
        <f>IF($M732=Z$3,-$K732,0)</f>
        <v>0</v>
      </c>
      <c r="AA732" s="4">
        <f>IF($M732=AA$3,-$K732,0)</f>
        <v>0</v>
      </c>
      <c r="AB732" s="4">
        <f>IF($M732=AB$3,-$K732,0)</f>
        <v>0</v>
      </c>
      <c r="AC732" s="10">
        <f>IF($M732=AC$3,-$K732,0)</f>
        <v>0</v>
      </c>
      <c r="AD732" s="9"/>
      <c r="AE732" s="8"/>
      <c r="AF732" s="4"/>
      <c r="AG732" s="4">
        <f>-$K732</f>
        <v>0</v>
      </c>
      <c r="AH732" s="2">
        <f>K732+SUM(O732:AC732)</f>
        <v>0</v>
      </c>
      <c r="AI732" s="2">
        <f>K732+SUM(AF732:AG732)</f>
        <v>0</v>
      </c>
    </row>
    <row r="733" spans="1:35" x14ac:dyDescent="0.2">
      <c r="A733" s="23" t="s">
        <v>3</v>
      </c>
      <c r="B733" s="22" t="s">
        <v>142</v>
      </c>
      <c r="H733" s="11" t="s">
        <v>76</v>
      </c>
      <c r="I733" s="11" t="s">
        <v>149</v>
      </c>
      <c r="K733" s="13">
        <v>0</v>
      </c>
      <c r="L733" s="12">
        <v>102025</v>
      </c>
      <c r="M733" s="11" t="str">
        <f>LEFT(I733,(LEN(LEFT(I733,FIND(";",I733)))-8))</f>
        <v>VNMOET</v>
      </c>
      <c r="N733" s="11"/>
      <c r="O733" s="4">
        <f>IF($M733=O$3,-$K733,0)</f>
        <v>0</v>
      </c>
      <c r="P733" s="4">
        <f>IF($M733=P$3,-$K733,0)</f>
        <v>0</v>
      </c>
      <c r="Q733" s="4">
        <f>IF($M733=Q$3,-$K733,0)</f>
        <v>0</v>
      </c>
      <c r="R733" s="4">
        <f>IF($M733=R$3,-$K733,0)</f>
        <v>0</v>
      </c>
      <c r="S733" s="4">
        <f>IF($M733=S$3,-$K733,0)</f>
        <v>0</v>
      </c>
      <c r="T733" s="4">
        <f>IF($M733=T$3,-$K733,0)</f>
        <v>0</v>
      </c>
      <c r="U733" s="4">
        <f>IF($M733=U$3,-$K733,0)</f>
        <v>0</v>
      </c>
      <c r="V733" s="4">
        <f>IF($M733=V$3,-$K733,0)</f>
        <v>0</v>
      </c>
      <c r="W733" s="4">
        <f>IF($M733=W$3,-$K733,0)</f>
        <v>0</v>
      </c>
      <c r="X733" s="4">
        <f>IF($M733=X$3,-$K733,0)</f>
        <v>0</v>
      </c>
      <c r="Y733" s="4">
        <f>IF($M733=Y$3,-$K733,0)</f>
        <v>0</v>
      </c>
      <c r="Z733" s="4">
        <f>IF($M733=Z$3,-$K733,0)</f>
        <v>0</v>
      </c>
      <c r="AA733" s="4">
        <f>IF($M733=AA$3,-$K733,0)</f>
        <v>0</v>
      </c>
      <c r="AB733" s="4">
        <f>IF($M733=AB$3,-$K733,0)</f>
        <v>0</v>
      </c>
      <c r="AC733" s="10">
        <f>IF($M733=AC$3,-$K733,0)</f>
        <v>0</v>
      </c>
      <c r="AD733" s="9"/>
      <c r="AE733" s="8"/>
      <c r="AF733" s="4">
        <f>-$K733</f>
        <v>0</v>
      </c>
      <c r="AG733" s="4"/>
      <c r="AH733" s="2">
        <f>K733+SUM(O733:AC733)</f>
        <v>0</v>
      </c>
      <c r="AI733" s="2">
        <f>K733+SUM(AF733:AG733)</f>
        <v>0</v>
      </c>
    </row>
    <row r="734" spans="1:35" x14ac:dyDescent="0.2">
      <c r="A734" s="23" t="s">
        <v>3</v>
      </c>
      <c r="B734" s="22" t="s">
        <v>142</v>
      </c>
      <c r="H734" s="11" t="s">
        <v>17</v>
      </c>
      <c r="I734" s="11" t="s">
        <v>148</v>
      </c>
      <c r="K734" s="13">
        <v>-3604352</v>
      </c>
      <c r="L734" s="12">
        <v>102025</v>
      </c>
      <c r="M734" s="11" t="str">
        <f>LEFT(I734,(LEN(LEFT(I734,FIND(";",I734)))-8))</f>
        <v>VNQN</v>
      </c>
      <c r="N734" s="11"/>
      <c r="O734" s="4">
        <f>IF($M734=O$3,-$K734,0)</f>
        <v>0</v>
      </c>
      <c r="P734" s="4">
        <f>IF($M734=P$3,-$K734,0)</f>
        <v>0</v>
      </c>
      <c r="Q734" s="4">
        <f>IF($M734=Q$3,-$K734,0)</f>
        <v>0</v>
      </c>
      <c r="R734" s="4">
        <f>IF($M734=R$3,-$K734,0)</f>
        <v>0</v>
      </c>
      <c r="S734" s="4">
        <f>IF($M734=S$3,-$K734,0)</f>
        <v>0</v>
      </c>
      <c r="T734" s="4">
        <f>IF($M734=T$3,-$K734,0)</f>
        <v>3604352</v>
      </c>
      <c r="U734" s="4">
        <f>IF($M734=U$3,-$K734,0)</f>
        <v>0</v>
      </c>
      <c r="V734" s="4">
        <f>IF($M734=V$3,-$K734,0)</f>
        <v>0</v>
      </c>
      <c r="W734" s="4">
        <f>IF($M734=W$3,-$K734,0)</f>
        <v>0</v>
      </c>
      <c r="X734" s="4">
        <f>IF($M734=X$3,-$K734,0)</f>
        <v>0</v>
      </c>
      <c r="Y734" s="4">
        <f>IF($M734=Y$3,-$K734,0)</f>
        <v>0</v>
      </c>
      <c r="Z734" s="4">
        <f>IF($M734=Z$3,-$K734,0)</f>
        <v>0</v>
      </c>
      <c r="AA734" s="4">
        <f>IF($M734=AA$3,-$K734,0)</f>
        <v>0</v>
      </c>
      <c r="AB734" s="4">
        <f>IF($M734=AB$3,-$K734,0)</f>
        <v>0</v>
      </c>
      <c r="AC734" s="10">
        <f>IF($M734=AC$3,-$K734,0)</f>
        <v>0</v>
      </c>
      <c r="AD734" s="9"/>
      <c r="AE734" s="8"/>
      <c r="AF734" s="4"/>
      <c r="AG734" s="4">
        <f>-$K734</f>
        <v>3604352</v>
      </c>
      <c r="AH734" s="2">
        <f>K734+SUM(O734:AC734)</f>
        <v>0</v>
      </c>
      <c r="AI734" s="2">
        <f>K734+SUM(AF734:AG734)</f>
        <v>0</v>
      </c>
    </row>
    <row r="735" spans="1:35" x14ac:dyDescent="0.2">
      <c r="A735" s="23" t="s">
        <v>3</v>
      </c>
      <c r="B735" s="22" t="s">
        <v>142</v>
      </c>
      <c r="H735" s="11" t="s">
        <v>73</v>
      </c>
      <c r="I735" s="11" t="s">
        <v>147</v>
      </c>
      <c r="K735" s="13">
        <v>0</v>
      </c>
      <c r="L735" s="12">
        <v>102025</v>
      </c>
      <c r="M735" s="11" t="str">
        <f>LEFT(I735,(LEN(LEFT(I735,FIND(";",I735)))-8))</f>
        <v>VNLA</v>
      </c>
      <c r="N735" s="11"/>
      <c r="O735" s="4">
        <f>IF($M735=O$3,-$K735,0)</f>
        <v>0</v>
      </c>
      <c r="P735" s="4">
        <f>IF($M735=P$3,-$K735,0)</f>
        <v>0</v>
      </c>
      <c r="Q735" s="4">
        <f>IF($M735=Q$3,-$K735,0)</f>
        <v>0</v>
      </c>
      <c r="R735" s="4">
        <f>IF($M735=R$3,-$K735,0)</f>
        <v>0</v>
      </c>
      <c r="S735" s="4">
        <f>IF($M735=S$3,-$K735,0)</f>
        <v>0</v>
      </c>
      <c r="T735" s="4">
        <f>IF($M735=T$3,-$K735,0)</f>
        <v>0</v>
      </c>
      <c r="U735" s="4">
        <f>IF($M735=U$3,-$K735,0)</f>
        <v>0</v>
      </c>
      <c r="V735" s="4">
        <f>IF($M735=V$3,-$K735,0)</f>
        <v>0</v>
      </c>
      <c r="W735" s="4">
        <f>IF($M735=W$3,-$K735,0)</f>
        <v>0</v>
      </c>
      <c r="X735" s="4">
        <f>IF($M735=X$3,-$K735,0)</f>
        <v>0</v>
      </c>
      <c r="Y735" s="4">
        <f>IF($M735=Y$3,-$K735,0)</f>
        <v>0</v>
      </c>
      <c r="Z735" s="4">
        <f>IF($M735=Z$3,-$K735,0)</f>
        <v>0</v>
      </c>
      <c r="AA735" s="4">
        <f>IF($M735=AA$3,-$K735,0)</f>
        <v>0</v>
      </c>
      <c r="AB735" s="4">
        <f>IF($M735=AB$3,-$K735,0)</f>
        <v>0</v>
      </c>
      <c r="AC735" s="10">
        <f>IF($M735=AC$3,-$K735,0)</f>
        <v>0</v>
      </c>
      <c r="AD735" s="9"/>
      <c r="AE735" s="8"/>
      <c r="AF735" s="4"/>
      <c r="AG735" s="4"/>
      <c r="AH735" s="2">
        <f>K735+SUM(O735:AC735)</f>
        <v>0</v>
      </c>
      <c r="AI735" s="2">
        <f>K735+SUM(AF735:AG735)</f>
        <v>0</v>
      </c>
    </row>
    <row r="736" spans="1:35" x14ac:dyDescent="0.2">
      <c r="A736" s="23" t="s">
        <v>3</v>
      </c>
      <c r="B736" s="22" t="s">
        <v>142</v>
      </c>
      <c r="H736" s="11" t="s">
        <v>15</v>
      </c>
      <c r="I736" s="11" t="s">
        <v>146</v>
      </c>
      <c r="K736" s="13">
        <v>-4160000</v>
      </c>
      <c r="L736" s="12">
        <v>102025</v>
      </c>
      <c r="M736" s="11" t="str">
        <f>LEFT(I736,(LEN(LEFT(I736,FIND(";",I736)))-8))</f>
        <v>VNLA</v>
      </c>
      <c r="N736" s="11"/>
      <c r="O736" s="4">
        <f>IF($M736=O$3,-$K736,0)</f>
        <v>0</v>
      </c>
      <c r="P736" s="4">
        <f>IF($M736=P$3,-$K736,0)</f>
        <v>0</v>
      </c>
      <c r="Q736" s="4">
        <f>IF($M736=Q$3,-$K736,0)</f>
        <v>0</v>
      </c>
      <c r="R736" s="4">
        <f>IF($M736=R$3,-$K736,0)</f>
        <v>0</v>
      </c>
      <c r="S736" s="4">
        <f>IF($M736=S$3,-$K736,0)</f>
        <v>0</v>
      </c>
      <c r="T736" s="4">
        <f>IF($M736=T$3,-$K736,0)</f>
        <v>0</v>
      </c>
      <c r="U736" s="4">
        <f>IF($M736=U$3,-$K736,0)</f>
        <v>0</v>
      </c>
      <c r="V736" s="4">
        <f>IF($M736=V$3,-$K736,0)</f>
        <v>0</v>
      </c>
      <c r="W736" s="4">
        <f>IF($M736=W$3,-$K736,0)</f>
        <v>0</v>
      </c>
      <c r="X736" s="4">
        <f>IF($M736=X$3,-$K736,0)</f>
        <v>4160000</v>
      </c>
      <c r="Y736" s="4">
        <f>IF($M736=Y$3,-$K736,0)</f>
        <v>0</v>
      </c>
      <c r="Z736" s="4">
        <f>IF($M736=Z$3,-$K736,0)</f>
        <v>0</v>
      </c>
      <c r="AA736" s="4">
        <f>IF($M736=AA$3,-$K736,0)</f>
        <v>0</v>
      </c>
      <c r="AB736" s="4">
        <f>IF($M736=AB$3,-$K736,0)</f>
        <v>0</v>
      </c>
      <c r="AC736" s="10">
        <f>IF($M736=AC$3,-$K736,0)</f>
        <v>0</v>
      </c>
      <c r="AD736" s="9"/>
      <c r="AE736" s="8"/>
      <c r="AF736" s="4"/>
      <c r="AG736" s="4">
        <f>-$K736</f>
        <v>4160000</v>
      </c>
      <c r="AH736" s="2">
        <f>K736+SUM(O736:AC736)</f>
        <v>0</v>
      </c>
      <c r="AI736" s="2">
        <f>K736+SUM(AF736:AG736)</f>
        <v>0</v>
      </c>
    </row>
    <row r="737" spans="1:35" x14ac:dyDescent="0.2">
      <c r="A737" s="23" t="s">
        <v>3</v>
      </c>
      <c r="B737" s="22" t="s">
        <v>142</v>
      </c>
      <c r="H737" s="11" t="s">
        <v>13</v>
      </c>
      <c r="I737" s="11" t="s">
        <v>145</v>
      </c>
      <c r="K737" s="13">
        <v>-1600000</v>
      </c>
      <c r="L737" s="12">
        <v>102025</v>
      </c>
      <c r="M737" s="11" t="str">
        <f>LEFT(I737,(LEN(LEFT(I737,FIND(";",I737)))-8))</f>
        <v>VNOther</v>
      </c>
      <c r="N737" s="11"/>
      <c r="O737" s="4">
        <f>IF($M737=O$3,-$K737,0)</f>
        <v>0</v>
      </c>
      <c r="P737" s="4">
        <f>IF($M737=P$3,-$K737,0)</f>
        <v>0</v>
      </c>
      <c r="Q737" s="4">
        <f>IF($M737=Q$3,-$K737,0)</f>
        <v>1600000</v>
      </c>
      <c r="R737" s="4">
        <f>IF($M737=R$3,-$K737,0)</f>
        <v>0</v>
      </c>
      <c r="S737" s="4">
        <f>IF($M737=S$3,-$K737,0)</f>
        <v>0</v>
      </c>
      <c r="T737" s="4">
        <f>IF($M737=T$3,-$K737,0)</f>
        <v>0</v>
      </c>
      <c r="U737" s="4">
        <f>IF($M737=U$3,-$K737,0)</f>
        <v>0</v>
      </c>
      <c r="V737" s="4">
        <f>IF($M737=V$3,-$K737,0)</f>
        <v>0</v>
      </c>
      <c r="W737" s="4">
        <f>IF($M737=W$3,-$K737,0)</f>
        <v>0</v>
      </c>
      <c r="X737" s="4">
        <f>IF($M737=X$3,-$K737,0)</f>
        <v>0</v>
      </c>
      <c r="Y737" s="4">
        <f>IF($M737=Y$3,-$K737,0)</f>
        <v>0</v>
      </c>
      <c r="Z737" s="4">
        <f>IF($M737=Z$3,-$K737,0)</f>
        <v>0</v>
      </c>
      <c r="AA737" s="4">
        <f>IF($M737=AA$3,-$K737,0)</f>
        <v>0</v>
      </c>
      <c r="AB737" s="4">
        <f>IF($M737=AB$3,-$K737,0)</f>
        <v>0</v>
      </c>
      <c r="AC737" s="10">
        <f>IF($M737=AC$3,-$K737,0)</f>
        <v>0</v>
      </c>
      <c r="AD737" s="9"/>
      <c r="AE737" s="8"/>
      <c r="AF737" s="4">
        <f>-$K737</f>
        <v>1600000</v>
      </c>
      <c r="AG737" s="4"/>
      <c r="AH737" s="2">
        <f>K737+SUM(O737:AC737)</f>
        <v>0</v>
      </c>
      <c r="AI737" s="2">
        <f>K737+SUM(AF737:AG737)</f>
        <v>0</v>
      </c>
    </row>
    <row r="738" spans="1:35" x14ac:dyDescent="0.2">
      <c r="A738" s="23" t="s">
        <v>3</v>
      </c>
      <c r="B738" s="22" t="s">
        <v>142</v>
      </c>
      <c r="H738" s="11" t="s">
        <v>11</v>
      </c>
      <c r="I738" s="11" t="s">
        <v>144</v>
      </c>
      <c r="K738" s="13">
        <v>-3976000</v>
      </c>
      <c r="L738" s="12">
        <v>102025</v>
      </c>
      <c r="M738" s="11" t="str">
        <f>LEFT(I738,(LEN(LEFT(I738,FIND(";",I738)))-8))</f>
        <v>VNQN</v>
      </c>
      <c r="N738" s="11"/>
      <c r="O738" s="4">
        <f>IF($M738=O$3,-$K738,0)</f>
        <v>0</v>
      </c>
      <c r="P738" s="4">
        <f>IF($M738=P$3,-$K738,0)</f>
        <v>0</v>
      </c>
      <c r="Q738" s="4">
        <f>IF($M738=Q$3,-$K738,0)</f>
        <v>0</v>
      </c>
      <c r="R738" s="4">
        <f>IF($M738=R$3,-$K738,0)</f>
        <v>0</v>
      </c>
      <c r="S738" s="4">
        <f>IF($M738=S$3,-$K738,0)</f>
        <v>0</v>
      </c>
      <c r="T738" s="4">
        <f>IF($M738=T$3,-$K738,0)</f>
        <v>3976000</v>
      </c>
      <c r="U738" s="4">
        <f>IF($M738=U$3,-$K738,0)</f>
        <v>0</v>
      </c>
      <c r="V738" s="4">
        <f>IF($M738=V$3,-$K738,0)</f>
        <v>0</v>
      </c>
      <c r="W738" s="4">
        <f>IF($M738=W$3,-$K738,0)</f>
        <v>0</v>
      </c>
      <c r="X738" s="4">
        <f>IF($M738=X$3,-$K738,0)</f>
        <v>0</v>
      </c>
      <c r="Y738" s="4">
        <f>IF($M738=Y$3,-$K738,0)</f>
        <v>0</v>
      </c>
      <c r="Z738" s="4">
        <f>IF($M738=Z$3,-$K738,0)</f>
        <v>0</v>
      </c>
      <c r="AA738" s="4">
        <f>IF($M738=AA$3,-$K738,0)</f>
        <v>0</v>
      </c>
      <c r="AB738" s="4">
        <f>IF($M738=AB$3,-$K738,0)</f>
        <v>0</v>
      </c>
      <c r="AC738" s="10">
        <f>IF($M738=AC$3,-$K738,0)</f>
        <v>0</v>
      </c>
      <c r="AD738" s="9"/>
      <c r="AE738" s="8"/>
      <c r="AF738" s="4"/>
      <c r="AG738" s="4">
        <f>-$K738</f>
        <v>3976000</v>
      </c>
      <c r="AH738" s="2">
        <f>K738+SUM(O738:AC738)</f>
        <v>0</v>
      </c>
      <c r="AI738" s="2">
        <f>K738+SUM(AF738:AG738)</f>
        <v>0</v>
      </c>
    </row>
    <row r="739" spans="1:35" x14ac:dyDescent="0.2">
      <c r="A739" s="23" t="s">
        <v>3</v>
      </c>
      <c r="B739" s="22" t="s">
        <v>142</v>
      </c>
      <c r="H739" s="11" t="s">
        <v>9</v>
      </c>
      <c r="I739" s="11" t="s">
        <v>143</v>
      </c>
      <c r="K739" s="13">
        <v>-4160000</v>
      </c>
      <c r="L739" s="12">
        <v>102025</v>
      </c>
      <c r="M739" s="11" t="str">
        <f>LEFT(I739,(LEN(LEFT(I739,FIND(";",I739)))-8))</f>
        <v>VNBN</v>
      </c>
      <c r="N739" s="11"/>
      <c r="O739" s="4">
        <f>IF($M739=O$3,-$K739,0)</f>
        <v>0</v>
      </c>
      <c r="P739" s="4">
        <f>IF($M739=P$3,-$K739,0)</f>
        <v>0</v>
      </c>
      <c r="Q739" s="4">
        <f>IF($M739=Q$3,-$K739,0)</f>
        <v>0</v>
      </c>
      <c r="R739" s="4">
        <f>IF($M739=R$3,-$K739,0)</f>
        <v>0</v>
      </c>
      <c r="S739" s="4">
        <f>IF($M739=S$3,-$K739,0)</f>
        <v>0</v>
      </c>
      <c r="T739" s="4">
        <f>IF($M739=T$3,-$K739,0)</f>
        <v>0</v>
      </c>
      <c r="U739" s="4">
        <f>IF($M739=U$3,-$K739,0)</f>
        <v>0</v>
      </c>
      <c r="V739" s="4">
        <f>IF($M739=V$3,-$K739,0)</f>
        <v>0</v>
      </c>
      <c r="W739" s="4">
        <f>IF($M739=W$3,-$K739,0)</f>
        <v>0</v>
      </c>
      <c r="X739" s="4">
        <f>IF($M739=X$3,-$K739,0)</f>
        <v>0</v>
      </c>
      <c r="Y739" s="4">
        <f>IF($M739=Y$3,-$K739,0)</f>
        <v>0</v>
      </c>
      <c r="Z739" s="4">
        <f>IF($M739=Z$3,-$K739,0)</f>
        <v>0</v>
      </c>
      <c r="AA739" s="4">
        <f>IF($M739=AA$3,-$K739,0)</f>
        <v>4160000</v>
      </c>
      <c r="AB739" s="4">
        <f>IF($M739=AB$3,-$K739,0)</f>
        <v>0</v>
      </c>
      <c r="AC739" s="10">
        <f>IF($M739=AC$3,-$K739,0)</f>
        <v>0</v>
      </c>
      <c r="AD739" s="9"/>
      <c r="AE739" s="8"/>
      <c r="AF739" s="4"/>
      <c r="AG739" s="4">
        <f>-$K739</f>
        <v>4160000</v>
      </c>
      <c r="AH739" s="2">
        <f>K739+SUM(O739:AC739)</f>
        <v>0</v>
      </c>
      <c r="AI739" s="2">
        <f>K739+SUM(AF739:AG739)</f>
        <v>0</v>
      </c>
    </row>
    <row r="740" spans="1:35" x14ac:dyDescent="0.2">
      <c r="A740" s="23" t="s">
        <v>3</v>
      </c>
      <c r="B740" s="22" t="s">
        <v>142</v>
      </c>
      <c r="H740" s="11" t="s">
        <v>7</v>
      </c>
      <c r="I740" s="11" t="s">
        <v>141</v>
      </c>
      <c r="K740" s="13">
        <v>-4160000</v>
      </c>
      <c r="L740" s="12">
        <v>102025</v>
      </c>
      <c r="M740" s="11" t="str">
        <f>LEFT(I740,(LEN(LEFT(I740,FIND(";",I740)))-8))</f>
        <v>VNBN</v>
      </c>
      <c r="N740" s="11"/>
      <c r="O740" s="4">
        <f>IF($M740=O$3,-$K740,0)</f>
        <v>0</v>
      </c>
      <c r="P740" s="4">
        <f>IF($M740=P$3,-$K740,0)</f>
        <v>0</v>
      </c>
      <c r="Q740" s="4">
        <f>IF($M740=Q$3,-$K740,0)</f>
        <v>0</v>
      </c>
      <c r="R740" s="4">
        <f>IF($M740=R$3,-$K740,0)</f>
        <v>0</v>
      </c>
      <c r="S740" s="4">
        <f>IF($M740=S$3,-$K740,0)</f>
        <v>0</v>
      </c>
      <c r="T740" s="4">
        <f>IF($M740=T$3,-$K740,0)</f>
        <v>0</v>
      </c>
      <c r="U740" s="4">
        <f>IF($M740=U$3,-$K740,0)</f>
        <v>0</v>
      </c>
      <c r="V740" s="4">
        <f>IF($M740=V$3,-$K740,0)</f>
        <v>0</v>
      </c>
      <c r="W740" s="4">
        <f>IF($M740=W$3,-$K740,0)</f>
        <v>0</v>
      </c>
      <c r="X740" s="4">
        <f>IF($M740=X$3,-$K740,0)</f>
        <v>0</v>
      </c>
      <c r="Y740" s="4">
        <f>IF($M740=Y$3,-$K740,0)</f>
        <v>0</v>
      </c>
      <c r="Z740" s="4">
        <f>IF($M740=Z$3,-$K740,0)</f>
        <v>0</v>
      </c>
      <c r="AA740" s="4">
        <f>IF($M740=AA$3,-$K740,0)</f>
        <v>4160000</v>
      </c>
      <c r="AB740" s="4">
        <f>IF($M740=AB$3,-$K740,0)</f>
        <v>0</v>
      </c>
      <c r="AC740" s="10">
        <f>IF($M740=AC$3,-$K740,0)</f>
        <v>0</v>
      </c>
      <c r="AD740" s="9"/>
      <c r="AE740" s="8"/>
      <c r="AF740" s="4"/>
      <c r="AG740" s="4">
        <f>-$K740</f>
        <v>4160000</v>
      </c>
      <c r="AH740" s="2">
        <f>K740+SUM(O740:AC740)</f>
        <v>0</v>
      </c>
      <c r="AI740" s="2">
        <f>K740+SUM(AF740:AG740)</f>
        <v>0</v>
      </c>
    </row>
    <row r="741" spans="1:35" x14ac:dyDescent="0.2">
      <c r="A741" s="11" t="s">
        <v>99</v>
      </c>
      <c r="B741" s="14"/>
      <c r="H741" s="11"/>
      <c r="I741" s="11"/>
      <c r="K741" s="13"/>
      <c r="L741" s="12"/>
      <c r="M741" s="11"/>
      <c r="N741" s="11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10"/>
      <c r="AD741" s="9"/>
      <c r="AE741" s="8"/>
      <c r="AF741" s="4"/>
      <c r="AG741" s="4"/>
      <c r="AH741" s="2"/>
      <c r="AI741" s="2">
        <f>K741+SUM(AF741:AG741)</f>
        <v>0</v>
      </c>
    </row>
    <row r="742" spans="1:35" x14ac:dyDescent="0.2">
      <c r="A742" s="11" t="s">
        <v>61</v>
      </c>
      <c r="B742" s="14" t="s">
        <v>101</v>
      </c>
      <c r="H742" s="11" t="s">
        <v>140</v>
      </c>
      <c r="I742" s="11" t="s">
        <v>139</v>
      </c>
      <c r="K742" s="13">
        <v>-540000</v>
      </c>
      <c r="L742" s="12">
        <v>112025</v>
      </c>
      <c r="M742" s="11" t="s">
        <v>138</v>
      </c>
      <c r="N742" s="11"/>
      <c r="O742" s="2">
        <f>IF($M742=O$3,-$K742,0)</f>
        <v>0</v>
      </c>
      <c r="P742" s="2">
        <f>IF($M742=P$3,-$K742,0)</f>
        <v>0</v>
      </c>
      <c r="Q742" s="2">
        <f>IF($M742=Q$3,-$K742,0)</f>
        <v>540000</v>
      </c>
      <c r="R742" s="2">
        <f>IF($M742=R$3,-$K742,0)</f>
        <v>0</v>
      </c>
      <c r="S742" s="2">
        <f>IF($M742=S$3,-$K742,0)</f>
        <v>0</v>
      </c>
      <c r="T742" s="2">
        <f>IF($M742=T$3,-$K742,0)</f>
        <v>0</v>
      </c>
      <c r="U742" s="2">
        <f>IF($M742=U$3,-$K742,0)</f>
        <v>0</v>
      </c>
      <c r="V742" s="2">
        <f>IF($M742=V$3,-$K742,0)</f>
        <v>0</v>
      </c>
      <c r="W742" s="2">
        <f>IF($M742=W$3,-$K742,0)</f>
        <v>0</v>
      </c>
      <c r="X742" s="2">
        <f>IF($M742=X$3,-$K742,0)</f>
        <v>0</v>
      </c>
      <c r="Y742" s="2">
        <f>IF($M742=Y$3,-$K742,0)</f>
        <v>0</v>
      </c>
      <c r="Z742" s="2">
        <f>IF($M742=Z$3,-$K742,0)</f>
        <v>0</v>
      </c>
      <c r="AA742" s="2">
        <f>IF($M742=AA$3,-$K742,0)</f>
        <v>0</v>
      </c>
      <c r="AB742" s="2">
        <f>IF($M742=AB$3,-$K742,0)</f>
        <v>0</v>
      </c>
      <c r="AC742" s="21">
        <f>IF($M742=AC$3,-$K742,0)</f>
        <v>0</v>
      </c>
      <c r="AD742" s="20"/>
      <c r="AE742" s="19"/>
      <c r="AF742" s="4">
        <f>-$K742</f>
        <v>540000</v>
      </c>
      <c r="AG742" s="2"/>
      <c r="AH742" s="2">
        <f>K742+SUM(O742:AC742)</f>
        <v>0</v>
      </c>
      <c r="AI742" s="2">
        <f>K742+SUM(AF742:AG742)</f>
        <v>0</v>
      </c>
    </row>
    <row r="743" spans="1:35" x14ac:dyDescent="0.2">
      <c r="A743" s="11" t="s">
        <v>61</v>
      </c>
      <c r="B743" s="14" t="s">
        <v>101</v>
      </c>
      <c r="H743" s="11" t="s">
        <v>137</v>
      </c>
      <c r="I743" s="11" t="s">
        <v>136</v>
      </c>
      <c r="K743" s="13">
        <v>-875000</v>
      </c>
      <c r="L743" s="12">
        <v>112025</v>
      </c>
      <c r="M743" s="11" t="str">
        <f>LEFT(I743,(LEN(LEFT(I743,FIND(";",I743)))-8))</f>
        <v>VNHD</v>
      </c>
      <c r="N743" s="11"/>
      <c r="O743" s="2">
        <f>IF($M743=O$3,-$K743,0)</f>
        <v>0</v>
      </c>
      <c r="P743" s="2">
        <f>IF($M743=P$3,-$K743,0)</f>
        <v>0</v>
      </c>
      <c r="Q743" s="2">
        <f>IF($M743=Q$3,-$K743,0)</f>
        <v>0</v>
      </c>
      <c r="R743" s="2">
        <f>IF($M743=R$3,-$K743,0)</f>
        <v>0</v>
      </c>
      <c r="S743" s="2">
        <f>IF($M743=S$3,-$K743,0)</f>
        <v>0</v>
      </c>
      <c r="T743" s="2">
        <f>IF($M743=T$3,-$K743,0)</f>
        <v>0</v>
      </c>
      <c r="U743" s="2">
        <f>IF($M743=U$3,-$K743,0)</f>
        <v>875000</v>
      </c>
      <c r="V743" s="2">
        <f>IF($M743=V$3,-$K743,0)</f>
        <v>0</v>
      </c>
      <c r="W743" s="2">
        <f>IF($M743=W$3,-$K743,0)</f>
        <v>0</v>
      </c>
      <c r="X743" s="2">
        <f>IF($M743=X$3,-$K743,0)</f>
        <v>0</v>
      </c>
      <c r="Y743" s="2">
        <f>IF($M743=Y$3,-$K743,0)</f>
        <v>0</v>
      </c>
      <c r="Z743" s="2">
        <f>IF($M743=Z$3,-$K743,0)</f>
        <v>0</v>
      </c>
      <c r="AA743" s="2">
        <f>IF($M743=AA$3,-$K743,0)</f>
        <v>0</v>
      </c>
      <c r="AB743" s="2">
        <f>IF($M743=AB$3,-$K743,0)</f>
        <v>0</v>
      </c>
      <c r="AC743" s="21">
        <f>IF($M743=AC$3,-$K743,0)</f>
        <v>0</v>
      </c>
      <c r="AD743" s="20"/>
      <c r="AE743" s="19"/>
      <c r="AF743" s="2"/>
      <c r="AG743" s="2">
        <f>-$K743</f>
        <v>875000</v>
      </c>
      <c r="AH743" s="2">
        <f>K743+SUM(O743:AC743)</f>
        <v>0</v>
      </c>
      <c r="AI743" s="2">
        <f>K743+SUM(AF743:AG743)</f>
        <v>0</v>
      </c>
    </row>
    <row r="744" spans="1:35" x14ac:dyDescent="0.2">
      <c r="A744" s="11" t="s">
        <v>61</v>
      </c>
      <c r="B744" s="14" t="s">
        <v>101</v>
      </c>
      <c r="H744" s="11" t="s">
        <v>135</v>
      </c>
      <c r="I744" s="11" t="s">
        <v>134</v>
      </c>
      <c r="K744" s="13">
        <v>-48390073</v>
      </c>
      <c r="L744" s="12">
        <v>112025</v>
      </c>
      <c r="M744" s="11" t="str">
        <f>LEFT(I744,(LEN(LEFT(I744,FIND(";",I744)))-8))</f>
        <v>VNOther</v>
      </c>
      <c r="N744" s="11"/>
      <c r="O744" s="15">
        <f>-$K744*IFERROR(INDEX('[1]salary allocation-v2'!$E$6:$J$22,MATCH($H744,'[1]salary allocation-v2'!$D$6:$D$22,0),MATCH(O$3,'[1]salary allocation-v2'!$E$3:$J$3,0)),0)</f>
        <v>0</v>
      </c>
      <c r="P744" s="15">
        <f>-$K744*IFERROR(INDEX('[1]salary allocation-v2'!$E$6:$J$22,MATCH($H744,'[1]salary allocation-v2'!$D$6:$D$22,0),MATCH(P$3,'[1]salary allocation-v2'!$E$3:$J$3,0)),0)</f>
        <v>0</v>
      </c>
      <c r="Q744" s="15">
        <f>-$K744*IFERROR(INDEX('[1]salary allocation-v2'!$E$6:$J$22,MATCH($H744,'[1]salary allocation-v2'!$D$6:$D$22,0),MATCH(Q$3,'[1]salary allocation-v2'!$E$3:$J$3,0)),0)</f>
        <v>0</v>
      </c>
      <c r="R744" s="15">
        <f>-$K744*IFERROR(INDEX('[1]salary allocation-v2'!$E$6:$J$22,MATCH($H744,'[1]salary allocation-v2'!$D$6:$D$22,0),MATCH(R$3,'[1]salary allocation-v2'!$E$3:$J$3,0)),0)</f>
        <v>0</v>
      </c>
      <c r="S744" s="15">
        <f>-$K744*IFERROR(INDEX('[1]salary allocation-v2'!$E$6:$J$22,MATCH($H744,'[1]salary allocation-v2'!$D$6:$D$22,0),MATCH(S$3,'[1]salary allocation-v2'!$E$3:$J$3,0)),0)</f>
        <v>4839007.3</v>
      </c>
      <c r="T744" s="15">
        <f>-$K744*IFERROR(INDEX('[1]salary allocation-v2'!$E$6:$J$22,MATCH($H744,'[1]salary allocation-v2'!$D$6:$D$22,0),MATCH(T$3,'[1]salary allocation-v2'!$E$3:$J$3,0)),0)</f>
        <v>4839007.3</v>
      </c>
      <c r="U744" s="15">
        <f>-$K744*IFERROR(INDEX('[1]salary allocation-v2'!$E$6:$J$22,MATCH($H744,'[1]salary allocation-v2'!$D$6:$D$22,0),MATCH(U$3,'[1]salary allocation-v2'!$E$3:$J$3,0)),0)</f>
        <v>4839007.3</v>
      </c>
      <c r="V744" s="15">
        <f>-$K744*IFERROR(INDEX('[1]salary allocation-v2'!$E$6:$J$22,MATCH($H744,'[1]salary allocation-v2'!$D$6:$D$22,0),MATCH(V$3,'[1]salary allocation-v2'!$E$3:$J$3,0)),0)</f>
        <v>0</v>
      </c>
      <c r="W744" s="15">
        <f>-$K744*IFERROR(INDEX('[1]salary allocation-v2'!$E$6:$J$22,MATCH($H744,'[1]salary allocation-v2'!$D$6:$D$22,0),MATCH(W$3,'[1]salary allocation-v2'!$E$3:$J$3,0)),0)</f>
        <v>33873051.100000001</v>
      </c>
      <c r="X744" s="15">
        <f>-$K744*IFERROR(INDEX('[1]salary allocation-v2'!$E$6:$J$22,MATCH($H744,'[1]salary allocation-v2'!$D$6:$D$22,0),MATCH(X$3,'[1]salary allocation-v2'!$E$3:$J$3,0)),0)</f>
        <v>0</v>
      </c>
      <c r="Y744" s="15">
        <f>-$K744*IFERROR(INDEX('[1]salary allocation-v2'!$E$6:$J$22,MATCH($H744,'[1]salary allocation-v2'!$D$6:$D$22,0),MATCH(Y$3,'[1]salary allocation-v2'!$E$3:$J$3,0)),0)</f>
        <v>0</v>
      </c>
      <c r="Z744" s="15">
        <f>-$K744*IFERROR(INDEX('[1]salary allocation-v2'!$E$6:$J$22,MATCH($H744,'[1]salary allocation-v2'!$D$6:$D$22,0),MATCH(Z$3,'[1]salary allocation-v2'!$E$3:$J$3,0)),0)</f>
        <v>0</v>
      </c>
      <c r="AA744" s="15">
        <f>-$K744*IFERROR(INDEX('[1]salary allocation-v2'!$E$6:$J$22,MATCH($H744,'[1]salary allocation-v2'!$D$6:$D$22,0),MATCH(AA$3,'[1]salary allocation-v2'!$E$3:$J$3,0)),0)</f>
        <v>0</v>
      </c>
      <c r="AB744" s="15">
        <f>-$K744*IFERROR(INDEX('[1]salary allocation-v2'!$E$6:$J$22,MATCH($H744,'[1]salary allocation-v2'!$D$6:$D$22,0),MATCH(AB$3,'[1]salary allocation-v2'!$E$3:$J$3,0)),0)</f>
        <v>0</v>
      </c>
      <c r="AC744" s="18">
        <f>-$K744*IFERROR(INDEX('[1]salary allocation-v2'!$E$6:$J$22,MATCH($H744,'[1]salary allocation-v2'!$D$6:$D$22,0),MATCH(AC$3,'[1]salary allocation-v2'!$E$3:$J$3,0)),0)</f>
        <v>0</v>
      </c>
      <c r="AD744" s="17"/>
      <c r="AE744" s="16"/>
      <c r="AF744" s="15">
        <f>-$K744</f>
        <v>48390073</v>
      </c>
      <c r="AG744" s="15"/>
      <c r="AH744" s="2">
        <f>K744+SUM(O744:AC744)</f>
        <v>0</v>
      </c>
      <c r="AI744" s="2">
        <f>K744+SUM(AF744:AG744)</f>
        <v>0</v>
      </c>
    </row>
    <row r="745" spans="1:35" x14ac:dyDescent="0.2">
      <c r="A745" s="11" t="s">
        <v>61</v>
      </c>
      <c r="B745" s="14" t="s">
        <v>101</v>
      </c>
      <c r="H745" s="11" t="s">
        <v>57</v>
      </c>
      <c r="I745" s="11" t="s">
        <v>133</v>
      </c>
      <c r="K745" s="13">
        <v>-6950156</v>
      </c>
      <c r="L745" s="12">
        <v>112025</v>
      </c>
      <c r="M745" s="11" t="str">
        <f>LEFT(I745,(LEN(LEFT(I745,FIND(";",I745)))-8))</f>
        <v>VNOther</v>
      </c>
      <c r="N745" s="11"/>
      <c r="O745" s="15">
        <f>-$K745*IFERROR(INDEX('[1]salary allocation-v2'!$E$6:$J$22,MATCH($H745,'[1]salary allocation-v2'!$D$6:$D$22,0),MATCH(O$3,'[1]salary allocation-v2'!$E$3:$J$3,0)),0)</f>
        <v>0</v>
      </c>
      <c r="P745" s="15">
        <f>-$K745*IFERROR(INDEX('[1]salary allocation-v2'!$E$6:$J$22,MATCH($H745,'[1]salary allocation-v2'!$D$6:$D$22,0),MATCH(P$3,'[1]salary allocation-v2'!$E$3:$J$3,0)),0)</f>
        <v>3475078</v>
      </c>
      <c r="Q745" s="15">
        <f>-$K745*IFERROR(INDEX('[1]salary allocation-v2'!$E$6:$J$22,MATCH($H745,'[1]salary allocation-v2'!$D$6:$D$22,0),MATCH(Q$3,'[1]salary allocation-v2'!$E$3:$J$3,0)),0)</f>
        <v>0</v>
      </c>
      <c r="R745" s="15">
        <f>-$K745*IFERROR(INDEX('[1]salary allocation-v2'!$E$6:$J$22,MATCH($H745,'[1]salary allocation-v2'!$D$6:$D$22,0),MATCH(R$3,'[1]salary allocation-v2'!$E$3:$J$3,0)),0)</f>
        <v>0</v>
      </c>
      <c r="S745" s="15">
        <f>-$K745*IFERROR(INDEX('[1]salary allocation-v2'!$E$6:$J$22,MATCH($H745,'[1]salary allocation-v2'!$D$6:$D$22,0),MATCH(S$3,'[1]salary allocation-v2'!$E$3:$J$3,0)),0)</f>
        <v>695015.60000000009</v>
      </c>
      <c r="T745" s="15">
        <f>-$K745*IFERROR(INDEX('[1]salary allocation-v2'!$E$6:$J$22,MATCH($H745,'[1]salary allocation-v2'!$D$6:$D$22,0),MATCH(T$3,'[1]salary allocation-v2'!$E$3:$J$3,0)),0)</f>
        <v>695015.60000000009</v>
      </c>
      <c r="U745" s="15">
        <f>-$K745*IFERROR(INDEX('[1]salary allocation-v2'!$E$6:$J$22,MATCH($H745,'[1]salary allocation-v2'!$D$6:$D$22,0),MATCH(U$3,'[1]salary allocation-v2'!$E$3:$J$3,0)),0)</f>
        <v>695015.60000000009</v>
      </c>
      <c r="V745" s="15">
        <f>-$K745*IFERROR(INDEX('[1]salary allocation-v2'!$E$6:$J$22,MATCH($H745,'[1]salary allocation-v2'!$D$6:$D$22,0),MATCH(V$3,'[1]salary allocation-v2'!$E$3:$J$3,0)),0)</f>
        <v>0</v>
      </c>
      <c r="W745" s="15">
        <f>-$K745*IFERROR(INDEX('[1]salary allocation-v2'!$E$6:$J$22,MATCH($H745,'[1]salary allocation-v2'!$D$6:$D$22,0),MATCH(W$3,'[1]salary allocation-v2'!$E$3:$J$3,0)),0)</f>
        <v>1390031.2000000002</v>
      </c>
      <c r="X745" s="15">
        <f>-$K745*IFERROR(INDEX('[1]salary allocation-v2'!$E$6:$J$22,MATCH($H745,'[1]salary allocation-v2'!$D$6:$D$22,0),MATCH(X$3,'[1]salary allocation-v2'!$E$3:$J$3,0)),0)</f>
        <v>0</v>
      </c>
      <c r="Y745" s="15">
        <f>-$K745*IFERROR(INDEX('[1]salary allocation-v2'!$E$6:$J$22,MATCH($H745,'[1]salary allocation-v2'!$D$6:$D$22,0),MATCH(Y$3,'[1]salary allocation-v2'!$E$3:$J$3,0)),0)</f>
        <v>0</v>
      </c>
      <c r="Z745" s="15">
        <f>-$K745*IFERROR(INDEX('[1]salary allocation-v2'!$E$6:$J$22,MATCH($H745,'[1]salary allocation-v2'!$D$6:$D$22,0),MATCH(Z$3,'[1]salary allocation-v2'!$E$3:$J$3,0)),0)</f>
        <v>0</v>
      </c>
      <c r="AA745" s="15">
        <f>-$K745*IFERROR(INDEX('[1]salary allocation-v2'!$E$6:$J$22,MATCH($H745,'[1]salary allocation-v2'!$D$6:$D$22,0),MATCH(AA$3,'[1]salary allocation-v2'!$E$3:$J$3,0)),0)</f>
        <v>0</v>
      </c>
      <c r="AB745" s="15">
        <f>-$K745*IFERROR(INDEX('[1]salary allocation-v2'!$E$6:$J$22,MATCH($H745,'[1]salary allocation-v2'!$D$6:$D$22,0),MATCH(AB$3,'[1]salary allocation-v2'!$E$3:$J$3,0)),0)</f>
        <v>0</v>
      </c>
      <c r="AC745" s="18">
        <f>-$K745*IFERROR(INDEX('[1]salary allocation-v2'!$E$6:$J$22,MATCH($H745,'[1]salary allocation-v2'!$D$6:$D$22,0),MATCH(AC$3,'[1]salary allocation-v2'!$E$3:$J$3,0)),0)</f>
        <v>0</v>
      </c>
      <c r="AD745" s="17"/>
      <c r="AE745" s="16"/>
      <c r="AF745" s="15">
        <f>-$K745</f>
        <v>6950156</v>
      </c>
      <c r="AG745" s="15"/>
      <c r="AH745" s="2">
        <f>K745+SUM(O745:AC745)</f>
        <v>0</v>
      </c>
      <c r="AI745" s="2">
        <f>K745+SUM(AF745:AG745)</f>
        <v>0</v>
      </c>
    </row>
    <row r="746" spans="1:35" x14ac:dyDescent="0.2">
      <c r="A746" s="11" t="s">
        <v>61</v>
      </c>
      <c r="B746" s="14" t="s">
        <v>101</v>
      </c>
      <c r="H746" s="11" t="s">
        <v>55</v>
      </c>
      <c r="I746" s="11" t="s">
        <v>132</v>
      </c>
      <c r="K746" s="13">
        <v>-8825750</v>
      </c>
      <c r="L746" s="12">
        <v>112025</v>
      </c>
      <c r="M746" s="11" t="str">
        <f>LEFT(I746,(LEN(LEFT(I746,FIND(";",I746)))-8))</f>
        <v>VNHBC</v>
      </c>
      <c r="N746" s="11"/>
      <c r="O746" s="15">
        <f>-$K746*IFERROR(INDEX('[1]salary allocation-v2'!$E$6:$J$22,MATCH($H746,'[1]salary allocation-v2'!$D$6:$D$22,0),MATCH(O$3,'[1]salary allocation-v2'!$E$3:$J$3,0)),0)</f>
        <v>0</v>
      </c>
      <c r="P746" s="15">
        <f>-$K746*IFERROR(INDEX('[1]salary allocation-v2'!$E$6:$J$22,MATCH($H746,'[1]salary allocation-v2'!$D$6:$D$22,0),MATCH(P$3,'[1]salary allocation-v2'!$E$3:$J$3,0)),0)</f>
        <v>0</v>
      </c>
      <c r="Q746" s="15">
        <f>-$K746*IFERROR(INDEX('[1]salary allocation-v2'!$E$6:$J$22,MATCH($H746,'[1]salary allocation-v2'!$D$6:$D$22,0),MATCH(Q$3,'[1]salary allocation-v2'!$E$3:$J$3,0)),0)</f>
        <v>0</v>
      </c>
      <c r="R746" s="15">
        <f>-$K746*IFERROR(INDEX('[1]salary allocation-v2'!$E$6:$J$22,MATCH($H746,'[1]salary allocation-v2'!$D$6:$D$22,0),MATCH(R$3,'[1]salary allocation-v2'!$E$3:$J$3,0)),0)</f>
        <v>0</v>
      </c>
      <c r="S746" s="15">
        <f>-$K746*IFERROR(INDEX('[1]salary allocation-v2'!$E$6:$J$22,MATCH($H746,'[1]salary allocation-v2'!$D$6:$D$22,0),MATCH(S$3,'[1]salary allocation-v2'!$E$3:$J$3,0)),0)</f>
        <v>1765150</v>
      </c>
      <c r="T746" s="15">
        <f>-$K746*IFERROR(INDEX('[1]salary allocation-v2'!$E$6:$J$22,MATCH($H746,'[1]salary allocation-v2'!$D$6:$D$22,0),MATCH(T$3,'[1]salary allocation-v2'!$E$3:$J$3,0)),0)</f>
        <v>1765150</v>
      </c>
      <c r="U746" s="15">
        <f>-$K746*IFERROR(INDEX('[1]salary allocation-v2'!$E$6:$J$22,MATCH($H746,'[1]salary allocation-v2'!$D$6:$D$22,0),MATCH(U$3,'[1]salary allocation-v2'!$E$3:$J$3,0)),0)</f>
        <v>1765150</v>
      </c>
      <c r="V746" s="15">
        <f>-$K746*IFERROR(INDEX('[1]salary allocation-v2'!$E$6:$J$22,MATCH($H746,'[1]salary allocation-v2'!$D$6:$D$22,0),MATCH(V$3,'[1]salary allocation-v2'!$E$3:$J$3,0)),0)</f>
        <v>0</v>
      </c>
      <c r="W746" s="15">
        <f>-$K746*IFERROR(INDEX('[1]salary allocation-v2'!$E$6:$J$22,MATCH($H746,'[1]salary allocation-v2'!$D$6:$D$22,0),MATCH(W$3,'[1]salary allocation-v2'!$E$3:$J$3,0)),0)</f>
        <v>3530300</v>
      </c>
      <c r="X746" s="15">
        <f>-$K746*IFERROR(INDEX('[1]salary allocation-v2'!$E$6:$J$22,MATCH($H746,'[1]salary allocation-v2'!$D$6:$D$22,0),MATCH(X$3,'[1]salary allocation-v2'!$E$3:$J$3,0)),0)</f>
        <v>0</v>
      </c>
      <c r="Y746" s="15">
        <f>-$K746*IFERROR(INDEX('[1]salary allocation-v2'!$E$6:$J$22,MATCH($H746,'[1]salary allocation-v2'!$D$6:$D$22,0),MATCH(Y$3,'[1]salary allocation-v2'!$E$3:$J$3,0)),0)</f>
        <v>0</v>
      </c>
      <c r="Z746" s="15">
        <f>-$K746*IFERROR(INDEX('[1]salary allocation-v2'!$E$6:$J$22,MATCH($H746,'[1]salary allocation-v2'!$D$6:$D$22,0),MATCH(Z$3,'[1]salary allocation-v2'!$E$3:$J$3,0)),0)</f>
        <v>0</v>
      </c>
      <c r="AA746" s="15">
        <f>-$K746*IFERROR(INDEX('[1]salary allocation-v2'!$E$6:$J$22,MATCH($H746,'[1]salary allocation-v2'!$D$6:$D$22,0),MATCH(AA$3,'[1]salary allocation-v2'!$E$3:$J$3,0)),0)</f>
        <v>0</v>
      </c>
      <c r="AB746" s="15">
        <f>-$K746*IFERROR(INDEX('[1]salary allocation-v2'!$E$6:$J$22,MATCH($H746,'[1]salary allocation-v2'!$D$6:$D$22,0),MATCH(AB$3,'[1]salary allocation-v2'!$E$3:$J$3,0)),0)</f>
        <v>0</v>
      </c>
      <c r="AC746" s="18">
        <f>-$K746*IFERROR(INDEX('[1]salary allocation-v2'!$E$6:$J$22,MATCH($H746,'[1]salary allocation-v2'!$D$6:$D$22,0),MATCH(AC$3,'[1]salary allocation-v2'!$E$3:$J$3,0)),0)</f>
        <v>0</v>
      </c>
      <c r="AD746" s="17"/>
      <c r="AE746" s="16"/>
      <c r="AF746" s="15"/>
      <c r="AG746" s="15">
        <f>-$K746</f>
        <v>8825750</v>
      </c>
      <c r="AH746" s="2">
        <f>K746+SUM(O746:AC746)</f>
        <v>0</v>
      </c>
      <c r="AI746" s="2">
        <f>K746+SUM(AF746:AG746)</f>
        <v>0</v>
      </c>
    </row>
    <row r="747" spans="1:35" x14ac:dyDescent="0.2">
      <c r="A747" s="11" t="s">
        <v>61</v>
      </c>
      <c r="B747" s="14" t="s">
        <v>101</v>
      </c>
      <c r="H747" s="11" t="s">
        <v>53</v>
      </c>
      <c r="I747" s="11" t="s">
        <v>131</v>
      </c>
      <c r="K747" s="13">
        <v>-5341574</v>
      </c>
      <c r="L747" s="12">
        <v>112025</v>
      </c>
      <c r="M747" s="11" t="str">
        <f>LEFT(I747,(LEN(LEFT(I747,FIND(";",I747)))-8))</f>
        <v>VNOther</v>
      </c>
      <c r="N747" s="11"/>
      <c r="O747" s="15">
        <f>-$K747*IFERROR(INDEX('[1]salary allocation-v2'!$E$6:$J$22,MATCH($H747,'[1]salary allocation-v2'!$D$6:$D$22,0),MATCH(O$3,'[1]salary allocation-v2'!$E$3:$J$3,0)),0)</f>
        <v>0</v>
      </c>
      <c r="P747" s="15">
        <f>-$K747*IFERROR(INDEX('[1]salary allocation-v2'!$E$6:$J$22,MATCH($H747,'[1]salary allocation-v2'!$D$6:$D$22,0),MATCH(P$3,'[1]salary allocation-v2'!$E$3:$J$3,0)),0)</f>
        <v>0</v>
      </c>
      <c r="Q747" s="15">
        <f>-$K747*IFERROR(INDEX('[1]salary allocation-v2'!$E$6:$J$22,MATCH($H747,'[1]salary allocation-v2'!$D$6:$D$22,0),MATCH(Q$3,'[1]salary allocation-v2'!$E$3:$J$3,0)),0)</f>
        <v>0</v>
      </c>
      <c r="R747" s="15">
        <f>-$K747*IFERROR(INDEX('[1]salary allocation-v2'!$E$6:$J$22,MATCH($H747,'[1]salary allocation-v2'!$D$6:$D$22,0),MATCH(R$3,'[1]salary allocation-v2'!$E$3:$J$3,0)),0)</f>
        <v>0</v>
      </c>
      <c r="S747" s="15">
        <f>-$K747*IFERROR(INDEX('[1]salary allocation-v2'!$E$6:$J$22,MATCH($H747,'[1]salary allocation-v2'!$D$6:$D$22,0),MATCH(S$3,'[1]salary allocation-v2'!$E$3:$J$3,0)),0)</f>
        <v>908067.58</v>
      </c>
      <c r="T747" s="15">
        <f>-$K747*IFERROR(INDEX('[1]salary allocation-v2'!$E$6:$J$22,MATCH($H747,'[1]salary allocation-v2'!$D$6:$D$22,0),MATCH(T$3,'[1]salary allocation-v2'!$E$3:$J$3,0)),0)</f>
        <v>908067.58</v>
      </c>
      <c r="U747" s="15">
        <f>-$K747*IFERROR(INDEX('[1]salary allocation-v2'!$E$6:$J$22,MATCH($H747,'[1]salary allocation-v2'!$D$6:$D$22,0),MATCH(U$3,'[1]salary allocation-v2'!$E$3:$J$3,0)),0)</f>
        <v>908067.58</v>
      </c>
      <c r="V747" s="15">
        <f>-$K747*IFERROR(INDEX('[1]salary allocation-v2'!$E$6:$J$22,MATCH($H747,'[1]salary allocation-v2'!$D$6:$D$22,0),MATCH(V$3,'[1]salary allocation-v2'!$E$3:$J$3,0)),0)</f>
        <v>0</v>
      </c>
      <c r="W747" s="15">
        <f>-$K747*IFERROR(INDEX('[1]salary allocation-v2'!$E$6:$J$22,MATCH($H747,'[1]salary allocation-v2'!$D$6:$D$22,0),MATCH(W$3,'[1]salary allocation-v2'!$E$3:$J$3,0)),0)</f>
        <v>2617371.2599999998</v>
      </c>
      <c r="X747" s="15">
        <f>-$K747*IFERROR(INDEX('[1]salary allocation-v2'!$E$6:$J$22,MATCH($H747,'[1]salary allocation-v2'!$D$6:$D$22,0),MATCH(X$3,'[1]salary allocation-v2'!$E$3:$J$3,0)),0)</f>
        <v>0</v>
      </c>
      <c r="Y747" s="15">
        <f>-$K747*IFERROR(INDEX('[1]salary allocation-v2'!$E$6:$J$22,MATCH($H747,'[1]salary allocation-v2'!$D$6:$D$22,0),MATCH(Y$3,'[1]salary allocation-v2'!$E$3:$J$3,0)),0)</f>
        <v>0</v>
      </c>
      <c r="Z747" s="15">
        <f>-$K747*IFERROR(INDEX('[1]salary allocation-v2'!$E$6:$J$22,MATCH($H747,'[1]salary allocation-v2'!$D$6:$D$22,0),MATCH(Z$3,'[1]salary allocation-v2'!$E$3:$J$3,0)),0)</f>
        <v>0</v>
      </c>
      <c r="AA747" s="15">
        <f>-$K747*IFERROR(INDEX('[1]salary allocation-v2'!$E$6:$J$22,MATCH($H747,'[1]salary allocation-v2'!$D$6:$D$22,0),MATCH(AA$3,'[1]salary allocation-v2'!$E$3:$J$3,0)),0)</f>
        <v>0</v>
      </c>
      <c r="AB747" s="15">
        <f>-$K747*IFERROR(INDEX('[1]salary allocation-v2'!$E$6:$J$22,MATCH($H747,'[1]salary allocation-v2'!$D$6:$D$22,0),MATCH(AB$3,'[1]salary allocation-v2'!$E$3:$J$3,0)),0)</f>
        <v>0</v>
      </c>
      <c r="AC747" s="18">
        <f>-$K747*IFERROR(INDEX('[1]salary allocation-v2'!$E$6:$J$22,MATCH($H747,'[1]salary allocation-v2'!$D$6:$D$22,0),MATCH(AC$3,'[1]salary allocation-v2'!$E$3:$J$3,0)),0)</f>
        <v>0</v>
      </c>
      <c r="AD747" s="17"/>
      <c r="AE747" s="16"/>
      <c r="AF747" s="15">
        <f>-$K747</f>
        <v>5341574</v>
      </c>
      <c r="AG747" s="15"/>
      <c r="AH747" s="2">
        <f>K747+SUM(O747:AC747)</f>
        <v>0</v>
      </c>
      <c r="AI747" s="2">
        <f>K747+SUM(AF747:AG747)</f>
        <v>0</v>
      </c>
    </row>
    <row r="748" spans="1:35" x14ac:dyDescent="0.2">
      <c r="A748" s="11" t="s">
        <v>61</v>
      </c>
      <c r="B748" s="14" t="s">
        <v>101</v>
      </c>
      <c r="H748" s="11" t="s">
        <v>51</v>
      </c>
      <c r="I748" s="11" t="s">
        <v>130</v>
      </c>
      <c r="K748" s="13">
        <v>-2339343</v>
      </c>
      <c r="L748" s="12">
        <v>112025</v>
      </c>
      <c r="M748" s="11" t="str">
        <f>LEFT(I748,(LEN(LEFT(I748,FIND(";",I748)))-8))</f>
        <v>VNOther</v>
      </c>
      <c r="N748" s="11"/>
      <c r="O748" s="15">
        <f>-$K748*IFERROR(INDEX('[1]salary allocation-v2'!$E$6:$J$22,MATCH($H748,'[1]salary allocation-v2'!$D$6:$D$22,0),MATCH(O$3,'[1]salary allocation-v2'!$E$3:$J$3,0)),0)</f>
        <v>0</v>
      </c>
      <c r="P748" s="15">
        <f>-$K748*IFERROR(INDEX('[1]salary allocation-v2'!$E$6:$J$22,MATCH($H748,'[1]salary allocation-v2'!$D$6:$D$22,0),MATCH(P$3,'[1]salary allocation-v2'!$E$3:$J$3,0)),0)</f>
        <v>0</v>
      </c>
      <c r="Q748" s="15">
        <f>-$K748*IFERROR(INDEX('[1]salary allocation-v2'!$E$6:$J$22,MATCH($H748,'[1]salary allocation-v2'!$D$6:$D$22,0),MATCH(Q$3,'[1]salary allocation-v2'!$E$3:$J$3,0)),0)</f>
        <v>0</v>
      </c>
      <c r="R748" s="15">
        <f>-$K748*IFERROR(INDEX('[1]salary allocation-v2'!$E$6:$J$22,MATCH($H748,'[1]salary allocation-v2'!$D$6:$D$22,0),MATCH(R$3,'[1]salary allocation-v2'!$E$3:$J$3,0)),0)</f>
        <v>0</v>
      </c>
      <c r="S748" s="15">
        <f>-$K748*IFERROR(INDEX('[1]salary allocation-v2'!$E$6:$J$22,MATCH($H748,'[1]salary allocation-v2'!$D$6:$D$22,0),MATCH(S$3,'[1]salary allocation-v2'!$E$3:$J$3,0)),0)</f>
        <v>233934.30000000002</v>
      </c>
      <c r="T748" s="15">
        <f>-$K748*IFERROR(INDEX('[1]salary allocation-v2'!$E$6:$J$22,MATCH($H748,'[1]salary allocation-v2'!$D$6:$D$22,0),MATCH(T$3,'[1]salary allocation-v2'!$E$3:$J$3,0)),0)</f>
        <v>233934.30000000002</v>
      </c>
      <c r="U748" s="15">
        <f>-$K748*IFERROR(INDEX('[1]salary allocation-v2'!$E$6:$J$22,MATCH($H748,'[1]salary allocation-v2'!$D$6:$D$22,0),MATCH(U$3,'[1]salary allocation-v2'!$E$3:$J$3,0)),0)</f>
        <v>233934.30000000002</v>
      </c>
      <c r="V748" s="15">
        <f>-$K748*IFERROR(INDEX('[1]salary allocation-v2'!$E$6:$J$22,MATCH($H748,'[1]salary allocation-v2'!$D$6:$D$22,0),MATCH(V$3,'[1]salary allocation-v2'!$E$3:$J$3,0)),0)</f>
        <v>0</v>
      </c>
      <c r="W748" s="15">
        <f>-$K748*IFERROR(INDEX('[1]salary allocation-v2'!$E$6:$J$22,MATCH($H748,'[1]salary allocation-v2'!$D$6:$D$22,0),MATCH(W$3,'[1]salary allocation-v2'!$E$3:$J$3,0)),0)</f>
        <v>1637540.0999999999</v>
      </c>
      <c r="X748" s="15">
        <f>-$K748*IFERROR(INDEX('[1]salary allocation-v2'!$E$6:$J$22,MATCH($H748,'[1]salary allocation-v2'!$D$6:$D$22,0),MATCH(X$3,'[1]salary allocation-v2'!$E$3:$J$3,0)),0)</f>
        <v>0</v>
      </c>
      <c r="Y748" s="15">
        <f>-$K748*IFERROR(INDEX('[1]salary allocation-v2'!$E$6:$J$22,MATCH($H748,'[1]salary allocation-v2'!$D$6:$D$22,0),MATCH(Y$3,'[1]salary allocation-v2'!$E$3:$J$3,0)),0)</f>
        <v>0</v>
      </c>
      <c r="Z748" s="15">
        <f>-$K748*IFERROR(INDEX('[1]salary allocation-v2'!$E$6:$J$22,MATCH($H748,'[1]salary allocation-v2'!$D$6:$D$22,0),MATCH(Z$3,'[1]salary allocation-v2'!$E$3:$J$3,0)),0)</f>
        <v>0</v>
      </c>
      <c r="AA748" s="15">
        <f>-$K748*IFERROR(INDEX('[1]salary allocation-v2'!$E$6:$J$22,MATCH($H748,'[1]salary allocation-v2'!$D$6:$D$22,0),MATCH(AA$3,'[1]salary allocation-v2'!$E$3:$J$3,0)),0)</f>
        <v>0</v>
      </c>
      <c r="AB748" s="15">
        <f>-$K748*IFERROR(INDEX('[1]salary allocation-v2'!$E$6:$J$22,MATCH($H748,'[1]salary allocation-v2'!$D$6:$D$22,0),MATCH(AB$3,'[1]salary allocation-v2'!$E$3:$J$3,0)),0)</f>
        <v>0</v>
      </c>
      <c r="AC748" s="18">
        <f>-$K748*IFERROR(INDEX('[1]salary allocation-v2'!$E$6:$J$22,MATCH($H748,'[1]salary allocation-v2'!$D$6:$D$22,0),MATCH(AC$3,'[1]salary allocation-v2'!$E$3:$J$3,0)),0)</f>
        <v>0</v>
      </c>
      <c r="AD748" s="17"/>
      <c r="AE748" s="16"/>
      <c r="AF748" s="15">
        <f>-$K748</f>
        <v>2339343</v>
      </c>
      <c r="AG748" s="15"/>
      <c r="AH748" s="2">
        <f>K748+SUM(O748:AC748)</f>
        <v>0</v>
      </c>
      <c r="AI748" s="2">
        <f>K748+SUM(AF748:AG748)</f>
        <v>0</v>
      </c>
    </row>
    <row r="749" spans="1:35" x14ac:dyDescent="0.2">
      <c r="A749" s="11" t="s">
        <v>61</v>
      </c>
      <c r="B749" s="14" t="s">
        <v>101</v>
      </c>
      <c r="H749" s="11" t="s">
        <v>49</v>
      </c>
      <c r="I749" s="11" t="s">
        <v>129</v>
      </c>
      <c r="K749" s="13">
        <v>-1389501</v>
      </c>
      <c r="L749" s="12">
        <v>112025</v>
      </c>
      <c r="M749" s="11" t="str">
        <f>LEFT(I749,(LEN(LEFT(I749,FIND(";",I749)))-8))</f>
        <v>VNMOET</v>
      </c>
      <c r="N749" s="11"/>
      <c r="O749" s="15">
        <f>-$K749*IFERROR(INDEX('[1]salary allocation-v2'!$E$6:$J$22,MATCH($H749,'[1]salary allocation-v2'!$D$6:$D$22,0),MATCH(O$3,'[1]salary allocation-v2'!$E$3:$J$3,0)),0)</f>
        <v>0</v>
      </c>
      <c r="P749" s="15">
        <f>-$K749*IFERROR(INDEX('[1]salary allocation-v2'!$E$6:$J$22,MATCH($H749,'[1]salary allocation-v2'!$D$6:$D$22,0),MATCH(P$3,'[1]salary allocation-v2'!$E$3:$J$3,0)),0)</f>
        <v>0</v>
      </c>
      <c r="Q749" s="15">
        <f>-$K749*IFERROR(INDEX('[1]salary allocation-v2'!$E$6:$J$22,MATCH($H749,'[1]salary allocation-v2'!$D$6:$D$22,0),MATCH(Q$3,'[1]salary allocation-v2'!$E$3:$J$3,0)),0)</f>
        <v>0</v>
      </c>
      <c r="R749" s="15">
        <f>-$K749*IFERROR(INDEX('[1]salary allocation-v2'!$E$6:$J$22,MATCH($H749,'[1]salary allocation-v2'!$D$6:$D$22,0),MATCH(R$3,'[1]salary allocation-v2'!$E$3:$J$3,0)),0)</f>
        <v>0</v>
      </c>
      <c r="S749" s="15">
        <f>-$K749*IFERROR(INDEX('[1]salary allocation-v2'!$E$6:$J$22,MATCH($H749,'[1]salary allocation-v2'!$D$6:$D$22,0),MATCH(S$3,'[1]salary allocation-v2'!$E$3:$J$3,0)),0)</f>
        <v>277900.2</v>
      </c>
      <c r="T749" s="15">
        <f>-$K749*IFERROR(INDEX('[1]salary allocation-v2'!$E$6:$J$22,MATCH($H749,'[1]salary allocation-v2'!$D$6:$D$22,0),MATCH(T$3,'[1]salary allocation-v2'!$E$3:$J$3,0)),0)</f>
        <v>277900.2</v>
      </c>
      <c r="U749" s="15">
        <f>-$K749*IFERROR(INDEX('[1]salary allocation-v2'!$E$6:$J$22,MATCH($H749,'[1]salary allocation-v2'!$D$6:$D$22,0),MATCH(U$3,'[1]salary allocation-v2'!$E$3:$J$3,0)),0)</f>
        <v>277900.2</v>
      </c>
      <c r="V749" s="15">
        <f>-$K749*IFERROR(INDEX('[1]salary allocation-v2'!$E$6:$J$22,MATCH($H749,'[1]salary allocation-v2'!$D$6:$D$22,0),MATCH(V$3,'[1]salary allocation-v2'!$E$3:$J$3,0)),0)</f>
        <v>0</v>
      </c>
      <c r="W749" s="15">
        <f>-$K749*IFERROR(INDEX('[1]salary allocation-v2'!$E$6:$J$22,MATCH($H749,'[1]salary allocation-v2'!$D$6:$D$22,0),MATCH(W$3,'[1]salary allocation-v2'!$E$3:$J$3,0)),0)</f>
        <v>555800.4</v>
      </c>
      <c r="X749" s="15">
        <f>-$K749*IFERROR(INDEX('[1]salary allocation-v2'!$E$6:$J$22,MATCH($H749,'[1]salary allocation-v2'!$D$6:$D$22,0),MATCH(X$3,'[1]salary allocation-v2'!$E$3:$J$3,0)),0)</f>
        <v>0</v>
      </c>
      <c r="Y749" s="15">
        <f>-$K749*IFERROR(INDEX('[1]salary allocation-v2'!$E$6:$J$22,MATCH($H749,'[1]salary allocation-v2'!$D$6:$D$22,0),MATCH(Y$3,'[1]salary allocation-v2'!$E$3:$J$3,0)),0)</f>
        <v>0</v>
      </c>
      <c r="Z749" s="15">
        <f>-$K749*IFERROR(INDEX('[1]salary allocation-v2'!$E$6:$J$22,MATCH($H749,'[1]salary allocation-v2'!$D$6:$D$22,0),MATCH(Z$3,'[1]salary allocation-v2'!$E$3:$J$3,0)),0)</f>
        <v>0</v>
      </c>
      <c r="AA749" s="15">
        <f>-$K749*IFERROR(INDEX('[1]salary allocation-v2'!$E$6:$J$22,MATCH($H749,'[1]salary allocation-v2'!$D$6:$D$22,0),MATCH(AA$3,'[1]salary allocation-v2'!$E$3:$J$3,0)),0)</f>
        <v>0</v>
      </c>
      <c r="AB749" s="15">
        <f>-$K749*IFERROR(INDEX('[1]salary allocation-v2'!$E$6:$J$22,MATCH($H749,'[1]salary allocation-v2'!$D$6:$D$22,0),MATCH(AB$3,'[1]salary allocation-v2'!$E$3:$J$3,0)),0)</f>
        <v>0</v>
      </c>
      <c r="AC749" s="18">
        <f>-$K749*IFERROR(INDEX('[1]salary allocation-v2'!$E$6:$J$22,MATCH($H749,'[1]salary allocation-v2'!$D$6:$D$22,0),MATCH(AC$3,'[1]salary allocation-v2'!$E$3:$J$3,0)),0)</f>
        <v>0</v>
      </c>
      <c r="AD749" s="17"/>
      <c r="AE749" s="16"/>
      <c r="AF749" s="15"/>
      <c r="AG749" s="15">
        <f>-K749</f>
        <v>1389501</v>
      </c>
      <c r="AH749" s="2">
        <f>K749+SUM(O749:AC749)</f>
        <v>0</v>
      </c>
      <c r="AI749" s="2">
        <f>K749+SUM(AF749:AG749)</f>
        <v>0</v>
      </c>
    </row>
    <row r="750" spans="1:35" x14ac:dyDescent="0.2">
      <c r="A750" s="11" t="s">
        <v>61</v>
      </c>
      <c r="B750" s="14" t="s">
        <v>101</v>
      </c>
      <c r="H750" s="11" t="s">
        <v>47</v>
      </c>
      <c r="I750" s="11" t="s">
        <v>128</v>
      </c>
      <c r="K750" s="13">
        <v>-4578196</v>
      </c>
      <c r="L750" s="12">
        <v>112025</v>
      </c>
      <c r="M750" s="11" t="str">
        <f>LEFT(I750,(LEN(LEFT(I750,FIND(";",I750)))-8))</f>
        <v>VNHBC</v>
      </c>
      <c r="N750" s="11"/>
      <c r="O750" s="15">
        <f>-$K750*IFERROR(INDEX('[1]salary allocation-v2'!$E$6:$J$22,MATCH($H750,'[1]salary allocation-v2'!$D$6:$D$22,0),MATCH(O$3,'[1]salary allocation-v2'!$E$3:$J$3,0)),0)</f>
        <v>0</v>
      </c>
      <c r="P750" s="15">
        <f>-$K750*IFERROR(INDEX('[1]salary allocation-v2'!$E$6:$J$22,MATCH($H750,'[1]salary allocation-v2'!$D$6:$D$22,0),MATCH(P$3,'[1]salary allocation-v2'!$E$3:$J$3,0)),0)</f>
        <v>0</v>
      </c>
      <c r="Q750" s="15">
        <f>-$K750*IFERROR(INDEX('[1]salary allocation-v2'!$E$6:$J$22,MATCH($H750,'[1]salary allocation-v2'!$D$6:$D$22,0),MATCH(Q$3,'[1]salary allocation-v2'!$E$3:$J$3,0)),0)</f>
        <v>0</v>
      </c>
      <c r="R750" s="15">
        <f>-$K750*IFERROR(INDEX('[1]salary allocation-v2'!$E$6:$J$22,MATCH($H750,'[1]salary allocation-v2'!$D$6:$D$22,0),MATCH(R$3,'[1]salary allocation-v2'!$E$3:$J$3,0)),0)</f>
        <v>0</v>
      </c>
      <c r="S750" s="15">
        <f>-$K750*IFERROR(INDEX('[1]salary allocation-v2'!$E$6:$J$22,MATCH($H750,'[1]salary allocation-v2'!$D$6:$D$22,0),MATCH(S$3,'[1]salary allocation-v2'!$E$3:$J$3,0)),0)</f>
        <v>915639.20000000007</v>
      </c>
      <c r="T750" s="15">
        <f>-$K750*IFERROR(INDEX('[1]salary allocation-v2'!$E$6:$J$22,MATCH($H750,'[1]salary allocation-v2'!$D$6:$D$22,0),MATCH(T$3,'[1]salary allocation-v2'!$E$3:$J$3,0)),0)</f>
        <v>915639.20000000007</v>
      </c>
      <c r="U750" s="15">
        <f>-$K750*IFERROR(INDEX('[1]salary allocation-v2'!$E$6:$J$22,MATCH($H750,'[1]salary allocation-v2'!$D$6:$D$22,0),MATCH(U$3,'[1]salary allocation-v2'!$E$3:$J$3,0)),0)</f>
        <v>915639.20000000007</v>
      </c>
      <c r="V750" s="15">
        <f>-$K750*IFERROR(INDEX('[1]salary allocation-v2'!$E$6:$J$22,MATCH($H750,'[1]salary allocation-v2'!$D$6:$D$22,0),MATCH(V$3,'[1]salary allocation-v2'!$E$3:$J$3,0)),0)</f>
        <v>0</v>
      </c>
      <c r="W750" s="15">
        <f>-$K750*IFERROR(INDEX('[1]salary allocation-v2'!$E$6:$J$22,MATCH($H750,'[1]salary allocation-v2'!$D$6:$D$22,0),MATCH(W$3,'[1]salary allocation-v2'!$E$3:$J$3,0)),0)</f>
        <v>1831278.4000000001</v>
      </c>
      <c r="X750" s="15">
        <f>-$K750*IFERROR(INDEX('[1]salary allocation-v2'!$E$6:$J$22,MATCH($H750,'[1]salary allocation-v2'!$D$6:$D$22,0),MATCH(X$3,'[1]salary allocation-v2'!$E$3:$J$3,0)),0)</f>
        <v>0</v>
      </c>
      <c r="Y750" s="15">
        <f>-$K750*IFERROR(INDEX('[1]salary allocation-v2'!$E$6:$J$22,MATCH($H750,'[1]salary allocation-v2'!$D$6:$D$22,0),MATCH(Y$3,'[1]salary allocation-v2'!$E$3:$J$3,0)),0)</f>
        <v>0</v>
      </c>
      <c r="Z750" s="15">
        <f>-$K750*IFERROR(INDEX('[1]salary allocation-v2'!$E$6:$J$22,MATCH($H750,'[1]salary allocation-v2'!$D$6:$D$22,0),MATCH(Z$3,'[1]salary allocation-v2'!$E$3:$J$3,0)),0)</f>
        <v>0</v>
      </c>
      <c r="AA750" s="15">
        <f>-$K750*IFERROR(INDEX('[1]salary allocation-v2'!$E$6:$J$22,MATCH($H750,'[1]salary allocation-v2'!$D$6:$D$22,0),MATCH(AA$3,'[1]salary allocation-v2'!$E$3:$J$3,0)),0)</f>
        <v>0</v>
      </c>
      <c r="AB750" s="15">
        <f>-$K750*IFERROR(INDEX('[1]salary allocation-v2'!$E$6:$J$22,MATCH($H750,'[1]salary allocation-v2'!$D$6:$D$22,0),MATCH(AB$3,'[1]salary allocation-v2'!$E$3:$J$3,0)),0)</f>
        <v>0</v>
      </c>
      <c r="AC750" s="18">
        <f>-$K750*IFERROR(INDEX('[1]salary allocation-v2'!$E$6:$J$22,MATCH($H750,'[1]salary allocation-v2'!$D$6:$D$22,0),MATCH(AC$3,'[1]salary allocation-v2'!$E$3:$J$3,0)),0)</f>
        <v>0</v>
      </c>
      <c r="AD750" s="17"/>
      <c r="AE750" s="16"/>
      <c r="AF750" s="15">
        <f>-$K750</f>
        <v>4578196</v>
      </c>
      <c r="AG750" s="15"/>
      <c r="AH750" s="2">
        <f>K750+SUM(O750:AC750)</f>
        <v>0</v>
      </c>
      <c r="AI750" s="2">
        <f>K750+SUM(AF750:AG750)</f>
        <v>0</v>
      </c>
    </row>
    <row r="751" spans="1:35" x14ac:dyDescent="0.2">
      <c r="A751" s="11" t="s">
        <v>61</v>
      </c>
      <c r="B751" s="14" t="s">
        <v>101</v>
      </c>
      <c r="H751" s="11" t="s">
        <v>45</v>
      </c>
      <c r="I751" s="11" t="s">
        <v>127</v>
      </c>
      <c r="K751" s="13">
        <v>-140518</v>
      </c>
      <c r="L751" s="12">
        <v>112025</v>
      </c>
      <c r="M751" s="11" t="str">
        <f>LEFT(I751,(LEN(LEFT(I751,FIND(";",I751)))-9))</f>
        <v>VNHBC</v>
      </c>
      <c r="N751" s="11"/>
      <c r="O751" s="15">
        <f>-$K751*IFERROR(INDEX('[1]salary allocation-v2'!$E$6:$J$22,MATCH($H751,'[1]salary allocation-v2'!$D$6:$D$22,0),MATCH(O$3,'[1]salary allocation-v2'!$E$3:$J$3,0)),0)</f>
        <v>0</v>
      </c>
      <c r="P751" s="15">
        <f>-$K751*IFERROR(INDEX('[1]salary allocation-v2'!$E$6:$J$22,MATCH($H751,'[1]salary allocation-v2'!$D$6:$D$22,0),MATCH(P$3,'[1]salary allocation-v2'!$E$3:$J$3,0)),0)</f>
        <v>0</v>
      </c>
      <c r="Q751" s="15">
        <f>-$K751*IFERROR(INDEX('[1]salary allocation-v2'!$E$6:$J$22,MATCH($H751,'[1]salary allocation-v2'!$D$6:$D$22,0),MATCH(Q$3,'[1]salary allocation-v2'!$E$3:$J$3,0)),0)</f>
        <v>0</v>
      </c>
      <c r="R751" s="15">
        <f>-$K751*IFERROR(INDEX('[1]salary allocation-v2'!$E$6:$J$22,MATCH($H751,'[1]salary allocation-v2'!$D$6:$D$22,0),MATCH(R$3,'[1]salary allocation-v2'!$E$3:$J$3,0)),0)</f>
        <v>0</v>
      </c>
      <c r="S751" s="15">
        <f>-$K751*IFERROR(INDEX('[1]salary allocation-v2'!$E$6:$J$22,MATCH($H751,'[1]salary allocation-v2'!$D$6:$D$22,0),MATCH(S$3,'[1]salary allocation-v2'!$E$3:$J$3,0)),0)</f>
        <v>28103.600000000002</v>
      </c>
      <c r="T751" s="15">
        <f>-$K751*IFERROR(INDEX('[1]salary allocation-v2'!$E$6:$J$22,MATCH($H751,'[1]salary allocation-v2'!$D$6:$D$22,0),MATCH(T$3,'[1]salary allocation-v2'!$E$3:$J$3,0)),0)</f>
        <v>28103.600000000002</v>
      </c>
      <c r="U751" s="15">
        <f>-$K751*IFERROR(INDEX('[1]salary allocation-v2'!$E$6:$J$22,MATCH($H751,'[1]salary allocation-v2'!$D$6:$D$22,0),MATCH(U$3,'[1]salary allocation-v2'!$E$3:$J$3,0)),0)</f>
        <v>28103.600000000002</v>
      </c>
      <c r="V751" s="15">
        <f>-$K751*IFERROR(INDEX('[1]salary allocation-v2'!$E$6:$J$22,MATCH($H751,'[1]salary allocation-v2'!$D$6:$D$22,0),MATCH(V$3,'[1]salary allocation-v2'!$E$3:$J$3,0)),0)</f>
        <v>0</v>
      </c>
      <c r="W751" s="15">
        <f>-$K751*IFERROR(INDEX('[1]salary allocation-v2'!$E$6:$J$22,MATCH($H751,'[1]salary allocation-v2'!$D$6:$D$22,0),MATCH(W$3,'[1]salary allocation-v2'!$E$3:$J$3,0)),0)</f>
        <v>56207.200000000004</v>
      </c>
      <c r="X751" s="15">
        <f>-$K751*IFERROR(INDEX('[1]salary allocation-v2'!$E$6:$J$22,MATCH($H751,'[1]salary allocation-v2'!$D$6:$D$22,0),MATCH(X$3,'[1]salary allocation-v2'!$E$3:$J$3,0)),0)</f>
        <v>0</v>
      </c>
      <c r="Y751" s="15">
        <f>-$K751*IFERROR(INDEX('[1]salary allocation-v2'!$E$6:$J$22,MATCH($H751,'[1]salary allocation-v2'!$D$6:$D$22,0),MATCH(Y$3,'[1]salary allocation-v2'!$E$3:$J$3,0)),0)</f>
        <v>0</v>
      </c>
      <c r="Z751" s="15">
        <f>-$K751*IFERROR(INDEX('[1]salary allocation-v2'!$E$6:$J$22,MATCH($H751,'[1]salary allocation-v2'!$D$6:$D$22,0),MATCH(Z$3,'[1]salary allocation-v2'!$E$3:$J$3,0)),0)</f>
        <v>0</v>
      </c>
      <c r="AA751" s="15">
        <f>-$K751*IFERROR(INDEX('[1]salary allocation-v2'!$E$6:$J$22,MATCH($H751,'[1]salary allocation-v2'!$D$6:$D$22,0),MATCH(AA$3,'[1]salary allocation-v2'!$E$3:$J$3,0)),0)</f>
        <v>0</v>
      </c>
      <c r="AB751" s="15">
        <f>-$K751*IFERROR(INDEX('[1]salary allocation-v2'!$E$6:$J$22,MATCH($H751,'[1]salary allocation-v2'!$D$6:$D$22,0),MATCH(AB$3,'[1]salary allocation-v2'!$E$3:$J$3,0)),0)</f>
        <v>0</v>
      </c>
      <c r="AC751" s="18">
        <f>-$K751*IFERROR(INDEX('[1]salary allocation-v2'!$E$6:$J$22,MATCH($H751,'[1]salary allocation-v2'!$D$6:$D$22,0),MATCH(AC$3,'[1]salary allocation-v2'!$E$3:$J$3,0)),0)</f>
        <v>0</v>
      </c>
      <c r="AD751" s="17"/>
      <c r="AE751" s="16"/>
      <c r="AF751" s="15"/>
      <c r="AG751" s="15">
        <f>-K751</f>
        <v>140518</v>
      </c>
      <c r="AH751" s="2">
        <f>K751+SUM(O751:AC751)</f>
        <v>0</v>
      </c>
      <c r="AI751" s="2">
        <f>K751+SUM(AF751:AG751)</f>
        <v>0</v>
      </c>
    </row>
    <row r="752" spans="1:35" x14ac:dyDescent="0.2">
      <c r="A752" s="11" t="s">
        <v>61</v>
      </c>
      <c r="B752" s="14" t="s">
        <v>101</v>
      </c>
      <c r="H752" s="11" t="s">
        <v>43</v>
      </c>
      <c r="I752" s="11" t="s">
        <v>126</v>
      </c>
      <c r="K752" s="13">
        <v>-5334453</v>
      </c>
      <c r="L752" s="12">
        <v>112025</v>
      </c>
      <c r="M752" s="11" t="str">
        <f>LEFT(I752,(LEN(LEFT(I752,FIND(";",I752)))-8))</f>
        <v>VNMOET</v>
      </c>
      <c r="N752" s="11"/>
      <c r="O752" s="15">
        <f>-$K752*IFERROR(INDEX('[1]salary allocation-v2'!$E$6:$J$22,MATCH($H752,'[1]salary allocation-v2'!$D$6:$D$22,0),MATCH(O$3,'[1]salary allocation-v2'!$E$3:$J$3,0)),0)</f>
        <v>0</v>
      </c>
      <c r="P752" s="15">
        <f>-$K752*IFERROR(INDEX('[1]salary allocation-v2'!$E$6:$J$22,MATCH($H752,'[1]salary allocation-v2'!$D$6:$D$22,0),MATCH(P$3,'[1]salary allocation-v2'!$E$3:$J$3,0)),0)</f>
        <v>0</v>
      </c>
      <c r="Q752" s="15">
        <f>-$K752*IFERROR(INDEX('[1]salary allocation-v2'!$E$6:$J$22,MATCH($H752,'[1]salary allocation-v2'!$D$6:$D$22,0),MATCH(Q$3,'[1]salary allocation-v2'!$E$3:$J$3,0)),0)</f>
        <v>0</v>
      </c>
      <c r="R752" s="15">
        <f>-$K752*IFERROR(INDEX('[1]salary allocation-v2'!$E$6:$J$22,MATCH($H752,'[1]salary allocation-v2'!$D$6:$D$22,0),MATCH(R$3,'[1]salary allocation-v2'!$E$3:$J$3,0)),0)</f>
        <v>0</v>
      </c>
      <c r="S752" s="15">
        <f>-$K752*IFERROR(INDEX('[1]salary allocation-v2'!$E$6:$J$22,MATCH($H752,'[1]salary allocation-v2'!$D$6:$D$22,0),MATCH(S$3,'[1]salary allocation-v2'!$E$3:$J$3,0)),0)</f>
        <v>1066890.6000000001</v>
      </c>
      <c r="T752" s="15">
        <f>-$K752*IFERROR(INDEX('[1]salary allocation-v2'!$E$6:$J$22,MATCH($H752,'[1]salary allocation-v2'!$D$6:$D$22,0),MATCH(T$3,'[1]salary allocation-v2'!$E$3:$J$3,0)),0)</f>
        <v>1066890.6000000001</v>
      </c>
      <c r="U752" s="15">
        <f>-$K752*IFERROR(INDEX('[1]salary allocation-v2'!$E$6:$J$22,MATCH($H752,'[1]salary allocation-v2'!$D$6:$D$22,0),MATCH(U$3,'[1]salary allocation-v2'!$E$3:$J$3,0)),0)</f>
        <v>1066890.6000000001</v>
      </c>
      <c r="V752" s="15">
        <f>-$K752*IFERROR(INDEX('[1]salary allocation-v2'!$E$6:$J$22,MATCH($H752,'[1]salary allocation-v2'!$D$6:$D$22,0),MATCH(V$3,'[1]salary allocation-v2'!$E$3:$J$3,0)),0)</f>
        <v>0</v>
      </c>
      <c r="W752" s="15">
        <f>-$K752*IFERROR(INDEX('[1]salary allocation-v2'!$E$6:$J$22,MATCH($H752,'[1]salary allocation-v2'!$D$6:$D$22,0),MATCH(W$3,'[1]salary allocation-v2'!$E$3:$J$3,0)),0)</f>
        <v>2133781.2000000002</v>
      </c>
      <c r="X752" s="15">
        <f>-$K752*IFERROR(INDEX('[1]salary allocation-v2'!$E$6:$J$22,MATCH($H752,'[1]salary allocation-v2'!$D$6:$D$22,0),MATCH(X$3,'[1]salary allocation-v2'!$E$3:$J$3,0)),0)</f>
        <v>0</v>
      </c>
      <c r="Y752" s="15">
        <f>-$K752*IFERROR(INDEX('[1]salary allocation-v2'!$E$6:$J$22,MATCH($H752,'[1]salary allocation-v2'!$D$6:$D$22,0),MATCH(Y$3,'[1]salary allocation-v2'!$E$3:$J$3,0)),0)</f>
        <v>0</v>
      </c>
      <c r="Z752" s="15">
        <f>-$K752*IFERROR(INDEX('[1]salary allocation-v2'!$E$6:$J$22,MATCH($H752,'[1]salary allocation-v2'!$D$6:$D$22,0),MATCH(Z$3,'[1]salary allocation-v2'!$E$3:$J$3,0)),0)</f>
        <v>0</v>
      </c>
      <c r="AA752" s="15">
        <f>-$K752*IFERROR(INDEX('[1]salary allocation-v2'!$E$6:$J$22,MATCH($H752,'[1]salary allocation-v2'!$D$6:$D$22,0),MATCH(AA$3,'[1]salary allocation-v2'!$E$3:$J$3,0)),0)</f>
        <v>0</v>
      </c>
      <c r="AB752" s="15">
        <f>-$K752*IFERROR(INDEX('[1]salary allocation-v2'!$E$6:$J$22,MATCH($H752,'[1]salary allocation-v2'!$D$6:$D$22,0),MATCH(AB$3,'[1]salary allocation-v2'!$E$3:$J$3,0)),0)</f>
        <v>0</v>
      </c>
      <c r="AC752" s="18">
        <f>-$K752*IFERROR(INDEX('[1]salary allocation-v2'!$E$6:$J$22,MATCH($H752,'[1]salary allocation-v2'!$D$6:$D$22,0),MATCH(AC$3,'[1]salary allocation-v2'!$E$3:$J$3,0)),0)</f>
        <v>0</v>
      </c>
      <c r="AD752" s="17"/>
      <c r="AE752" s="16"/>
      <c r="AF752" s="15">
        <f>-$K752</f>
        <v>5334453</v>
      </c>
      <c r="AG752" s="15"/>
      <c r="AH752" s="2">
        <f>K752+SUM(O752:AC752)</f>
        <v>0</v>
      </c>
      <c r="AI752" s="2">
        <f>K752+SUM(AF752:AG752)</f>
        <v>0</v>
      </c>
    </row>
    <row r="753" spans="1:35" x14ac:dyDescent="0.2">
      <c r="A753" s="11" t="s">
        <v>61</v>
      </c>
      <c r="B753" s="14" t="s">
        <v>101</v>
      </c>
      <c r="H753" s="11" t="s">
        <v>41</v>
      </c>
      <c r="I753" s="11" t="s">
        <v>125</v>
      </c>
      <c r="K753" s="13">
        <v>-4675724</v>
      </c>
      <c r="L753" s="12">
        <v>112025</v>
      </c>
      <c r="M753" s="11" t="str">
        <f>LEFT(I753,(LEN(LEFT(I753,FIND(";",I753)))-8))</f>
        <v>VNMOET</v>
      </c>
      <c r="N753" s="11"/>
      <c r="O753" s="15">
        <f>-$K753*IFERROR(INDEX('[1]salary allocation-v2'!$E$6:$J$22,MATCH($H753,'[1]salary allocation-v2'!$D$6:$D$22,0),MATCH(O$3,'[1]salary allocation-v2'!$E$3:$J$3,0)),0)</f>
        <v>0</v>
      </c>
      <c r="P753" s="15">
        <f>-$K753*IFERROR(INDEX('[1]salary allocation-v2'!$E$6:$J$22,MATCH($H753,'[1]salary allocation-v2'!$D$6:$D$22,0),MATCH(P$3,'[1]salary allocation-v2'!$E$3:$J$3,0)),0)</f>
        <v>0</v>
      </c>
      <c r="Q753" s="15">
        <f>-$K753*IFERROR(INDEX('[1]salary allocation-v2'!$E$6:$J$22,MATCH($H753,'[1]salary allocation-v2'!$D$6:$D$22,0),MATCH(Q$3,'[1]salary allocation-v2'!$E$3:$J$3,0)),0)</f>
        <v>0</v>
      </c>
      <c r="R753" s="15">
        <f>-$K753*IFERROR(INDEX('[1]salary allocation-v2'!$E$6:$J$22,MATCH($H753,'[1]salary allocation-v2'!$D$6:$D$22,0),MATCH(R$3,'[1]salary allocation-v2'!$E$3:$J$3,0)),0)</f>
        <v>0</v>
      </c>
      <c r="S753" s="15">
        <f>-$K753*IFERROR(INDEX('[1]salary allocation-v2'!$E$6:$J$22,MATCH($H753,'[1]salary allocation-v2'!$D$6:$D$22,0),MATCH(S$3,'[1]salary allocation-v2'!$E$3:$J$3,0)),0)</f>
        <v>0</v>
      </c>
      <c r="T753" s="15">
        <f>-$K753*IFERROR(INDEX('[1]salary allocation-v2'!$E$6:$J$22,MATCH($H753,'[1]salary allocation-v2'!$D$6:$D$22,0),MATCH(T$3,'[1]salary allocation-v2'!$E$3:$J$3,0)),0)</f>
        <v>0</v>
      </c>
      <c r="U753" s="15">
        <f>-$K753*IFERROR(INDEX('[1]salary allocation-v2'!$E$6:$J$22,MATCH($H753,'[1]salary allocation-v2'!$D$6:$D$22,0),MATCH(U$3,'[1]salary allocation-v2'!$E$3:$J$3,0)),0)</f>
        <v>0</v>
      </c>
      <c r="V753" s="15">
        <f>-$K753*IFERROR(INDEX('[1]salary allocation-v2'!$E$6:$J$22,MATCH($H753,'[1]salary allocation-v2'!$D$6:$D$22,0),MATCH(V$3,'[1]salary allocation-v2'!$E$3:$J$3,0)),0)</f>
        <v>0</v>
      </c>
      <c r="W753" s="15">
        <f>-$K753*IFERROR(INDEX('[1]salary allocation-v2'!$E$6:$J$22,MATCH($H753,'[1]salary allocation-v2'!$D$6:$D$22,0),MATCH(W$3,'[1]salary allocation-v2'!$E$3:$J$3,0)),0)</f>
        <v>4675724</v>
      </c>
      <c r="X753" s="15">
        <f>-$K753*IFERROR(INDEX('[1]salary allocation-v2'!$E$6:$J$22,MATCH($H753,'[1]salary allocation-v2'!$D$6:$D$22,0),MATCH(X$3,'[1]salary allocation-v2'!$E$3:$J$3,0)),0)</f>
        <v>0</v>
      </c>
      <c r="Y753" s="15">
        <f>-$K753*IFERROR(INDEX('[1]salary allocation-v2'!$E$6:$J$22,MATCH($H753,'[1]salary allocation-v2'!$D$6:$D$22,0),MATCH(Y$3,'[1]salary allocation-v2'!$E$3:$J$3,0)),0)</f>
        <v>0</v>
      </c>
      <c r="Z753" s="15">
        <f>-$K753*IFERROR(INDEX('[1]salary allocation-v2'!$E$6:$J$22,MATCH($H753,'[1]salary allocation-v2'!$D$6:$D$22,0),MATCH(Z$3,'[1]salary allocation-v2'!$E$3:$J$3,0)),0)</f>
        <v>0</v>
      </c>
      <c r="AA753" s="15">
        <f>-$K753*IFERROR(INDEX('[1]salary allocation-v2'!$E$6:$J$22,MATCH($H753,'[1]salary allocation-v2'!$D$6:$D$22,0),MATCH(AA$3,'[1]salary allocation-v2'!$E$3:$J$3,0)),0)</f>
        <v>0</v>
      </c>
      <c r="AB753" s="15">
        <f>-$K753*IFERROR(INDEX('[1]salary allocation-v2'!$E$6:$J$22,MATCH($H753,'[1]salary allocation-v2'!$D$6:$D$22,0),MATCH(AB$3,'[1]salary allocation-v2'!$E$3:$J$3,0)),0)</f>
        <v>0</v>
      </c>
      <c r="AC753" s="18">
        <f>-$K753*IFERROR(INDEX('[1]salary allocation-v2'!$E$6:$J$22,MATCH($H753,'[1]salary allocation-v2'!$D$6:$D$22,0),MATCH(AC$3,'[1]salary allocation-v2'!$E$3:$J$3,0)),0)</f>
        <v>0</v>
      </c>
      <c r="AD753" s="17"/>
      <c r="AE753" s="16"/>
      <c r="AF753" s="15">
        <f>-$K753</f>
        <v>4675724</v>
      </c>
      <c r="AG753" s="15"/>
      <c r="AH753" s="2">
        <f>K753+SUM(O753:AC753)</f>
        <v>0</v>
      </c>
      <c r="AI753" s="2">
        <f>K753+SUM(AF753:AG753)</f>
        <v>0</v>
      </c>
    </row>
    <row r="754" spans="1:35" x14ac:dyDescent="0.2">
      <c r="A754" s="11" t="s">
        <v>61</v>
      </c>
      <c r="B754" s="14" t="s">
        <v>101</v>
      </c>
      <c r="H754" s="11" t="s">
        <v>39</v>
      </c>
      <c r="I754" s="11" t="s">
        <v>124</v>
      </c>
      <c r="K754" s="13">
        <v>-5334453</v>
      </c>
      <c r="L754" s="12">
        <v>112025</v>
      </c>
      <c r="M754" s="11" t="str">
        <f>LEFT(I754,(LEN(LEFT(I754,FIND(";",I754)))-8))</f>
        <v>VNMOET</v>
      </c>
      <c r="N754" s="11"/>
      <c r="O754" s="15">
        <f>-$K754*IFERROR(INDEX('[1]salary allocation-v2'!$E$6:$J$22,MATCH($H754,'[1]salary allocation-v2'!$D$6:$D$22,0),MATCH(O$3,'[1]salary allocation-v2'!$E$3:$J$3,0)),0)</f>
        <v>0</v>
      </c>
      <c r="P754" s="15">
        <f>-$K754*IFERROR(INDEX('[1]salary allocation-v2'!$E$6:$J$22,MATCH($H754,'[1]salary allocation-v2'!$D$6:$D$22,0),MATCH(P$3,'[1]salary allocation-v2'!$E$3:$J$3,0)),0)</f>
        <v>0</v>
      </c>
      <c r="Q754" s="15">
        <f>-$K754*IFERROR(INDEX('[1]salary allocation-v2'!$E$6:$J$22,MATCH($H754,'[1]salary allocation-v2'!$D$6:$D$22,0),MATCH(Q$3,'[1]salary allocation-v2'!$E$3:$J$3,0)),0)</f>
        <v>0</v>
      </c>
      <c r="R754" s="15">
        <f>-$K754*IFERROR(INDEX('[1]salary allocation-v2'!$E$6:$J$22,MATCH($H754,'[1]salary allocation-v2'!$D$6:$D$22,0),MATCH(R$3,'[1]salary allocation-v2'!$E$3:$J$3,0)),0)</f>
        <v>0</v>
      </c>
      <c r="S754" s="15">
        <f>-$K754*IFERROR(INDEX('[1]salary allocation-v2'!$E$6:$J$22,MATCH($H754,'[1]salary allocation-v2'!$D$6:$D$22,0),MATCH(S$3,'[1]salary allocation-v2'!$E$3:$J$3,0)),0)</f>
        <v>0</v>
      </c>
      <c r="T754" s="15">
        <f>-$K754*IFERROR(INDEX('[1]salary allocation-v2'!$E$6:$J$22,MATCH($H754,'[1]salary allocation-v2'!$D$6:$D$22,0),MATCH(T$3,'[1]salary allocation-v2'!$E$3:$J$3,0)),0)</f>
        <v>0</v>
      </c>
      <c r="U754" s="15">
        <f>-$K754*IFERROR(INDEX('[1]salary allocation-v2'!$E$6:$J$22,MATCH($H754,'[1]salary allocation-v2'!$D$6:$D$22,0),MATCH(U$3,'[1]salary allocation-v2'!$E$3:$J$3,0)),0)</f>
        <v>0</v>
      </c>
      <c r="V754" s="15">
        <f>-$K754*IFERROR(INDEX('[1]salary allocation-v2'!$E$6:$J$22,MATCH($H754,'[1]salary allocation-v2'!$D$6:$D$22,0),MATCH(V$3,'[1]salary allocation-v2'!$E$3:$J$3,0)),0)</f>
        <v>0</v>
      </c>
      <c r="W754" s="15">
        <f>-$K754*IFERROR(INDEX('[1]salary allocation-v2'!$E$6:$J$22,MATCH($H754,'[1]salary allocation-v2'!$D$6:$D$22,0),MATCH(W$3,'[1]salary allocation-v2'!$E$3:$J$3,0)),0)</f>
        <v>5334453</v>
      </c>
      <c r="X754" s="15">
        <f>-$K754*IFERROR(INDEX('[1]salary allocation-v2'!$E$6:$J$22,MATCH($H754,'[1]salary allocation-v2'!$D$6:$D$22,0),MATCH(X$3,'[1]salary allocation-v2'!$E$3:$J$3,0)),0)</f>
        <v>0</v>
      </c>
      <c r="Y754" s="15">
        <f>-$K754*IFERROR(INDEX('[1]salary allocation-v2'!$E$6:$J$22,MATCH($H754,'[1]salary allocation-v2'!$D$6:$D$22,0),MATCH(Y$3,'[1]salary allocation-v2'!$E$3:$J$3,0)),0)</f>
        <v>0</v>
      </c>
      <c r="Z754" s="15">
        <f>-$K754*IFERROR(INDEX('[1]salary allocation-v2'!$E$6:$J$22,MATCH($H754,'[1]salary allocation-v2'!$D$6:$D$22,0),MATCH(Z$3,'[1]salary allocation-v2'!$E$3:$J$3,0)),0)</f>
        <v>0</v>
      </c>
      <c r="AA754" s="15">
        <f>-$K754*IFERROR(INDEX('[1]salary allocation-v2'!$E$6:$J$22,MATCH($H754,'[1]salary allocation-v2'!$D$6:$D$22,0),MATCH(AA$3,'[1]salary allocation-v2'!$E$3:$J$3,0)),0)</f>
        <v>0</v>
      </c>
      <c r="AB754" s="15">
        <f>-$K754*IFERROR(INDEX('[1]salary allocation-v2'!$E$6:$J$22,MATCH($H754,'[1]salary allocation-v2'!$D$6:$D$22,0),MATCH(AB$3,'[1]salary allocation-v2'!$E$3:$J$3,0)),0)</f>
        <v>0</v>
      </c>
      <c r="AC754" s="18">
        <f>-$K754*IFERROR(INDEX('[1]salary allocation-v2'!$E$6:$J$22,MATCH($H754,'[1]salary allocation-v2'!$D$6:$D$22,0),MATCH(AC$3,'[1]salary allocation-v2'!$E$3:$J$3,0)),0)</f>
        <v>0</v>
      </c>
      <c r="AD754" s="17"/>
      <c r="AE754" s="16"/>
      <c r="AF754" s="15">
        <f>-$K754</f>
        <v>5334453</v>
      </c>
      <c r="AG754" s="15"/>
      <c r="AH754" s="2">
        <f>K754+SUM(O754:AC754)</f>
        <v>0</v>
      </c>
      <c r="AI754" s="2">
        <f>K754+SUM(AF754:AG754)</f>
        <v>0</v>
      </c>
    </row>
    <row r="755" spans="1:35" x14ac:dyDescent="0.2">
      <c r="A755" s="11" t="s">
        <v>61</v>
      </c>
      <c r="B755" s="14" t="s">
        <v>101</v>
      </c>
      <c r="H755" s="11" t="s">
        <v>37</v>
      </c>
      <c r="I755" s="11" t="s">
        <v>123</v>
      </c>
      <c r="K755" s="13">
        <v>-4170109</v>
      </c>
      <c r="L755" s="12">
        <v>112025</v>
      </c>
      <c r="M755" s="11" t="str">
        <f>LEFT(I755,(LEN(LEFT(I755,FIND(";",I755)))-8))</f>
        <v>VNOther</v>
      </c>
      <c r="N755" s="11"/>
      <c r="O755" s="15">
        <f>-$K755*IFERROR(INDEX('[1]salary allocation-v2'!$E$6:$J$22,MATCH($H755,'[1]salary allocation-v2'!$D$6:$D$22,0),MATCH(O$3,'[1]salary allocation-v2'!$E$3:$J$3,0)),0)</f>
        <v>0</v>
      </c>
      <c r="P755" s="15">
        <f>-$K755*IFERROR(INDEX('[1]salary allocation-v2'!$E$6:$J$22,MATCH($H755,'[1]salary allocation-v2'!$D$6:$D$22,0),MATCH(P$3,'[1]salary allocation-v2'!$E$3:$J$3,0)),0)</f>
        <v>0</v>
      </c>
      <c r="Q755" s="15">
        <f>-$K755*IFERROR(INDEX('[1]salary allocation-v2'!$E$6:$J$22,MATCH($H755,'[1]salary allocation-v2'!$D$6:$D$22,0),MATCH(Q$3,'[1]salary allocation-v2'!$E$3:$J$3,0)),0)</f>
        <v>0</v>
      </c>
      <c r="R755" s="15">
        <f>-$K755*IFERROR(INDEX('[1]salary allocation-v2'!$E$6:$J$22,MATCH($H755,'[1]salary allocation-v2'!$D$6:$D$22,0),MATCH(R$3,'[1]salary allocation-v2'!$E$3:$J$3,0)),0)</f>
        <v>0</v>
      </c>
      <c r="S755" s="15">
        <f>-$K755*IFERROR(INDEX('[1]salary allocation-v2'!$E$6:$J$22,MATCH($H755,'[1]salary allocation-v2'!$D$6:$D$22,0),MATCH(S$3,'[1]salary allocation-v2'!$E$3:$J$3,0)),0)</f>
        <v>708918.52999999991</v>
      </c>
      <c r="T755" s="15">
        <f>-$K755*IFERROR(INDEX('[1]salary allocation-v2'!$E$6:$J$22,MATCH($H755,'[1]salary allocation-v2'!$D$6:$D$22,0),MATCH(T$3,'[1]salary allocation-v2'!$E$3:$J$3,0)),0)</f>
        <v>708918.52999999991</v>
      </c>
      <c r="U755" s="15">
        <f>-$K755*IFERROR(INDEX('[1]salary allocation-v2'!$E$6:$J$22,MATCH($H755,'[1]salary allocation-v2'!$D$6:$D$22,0),MATCH(U$3,'[1]salary allocation-v2'!$E$3:$J$3,0)),0)</f>
        <v>708918.52999999991</v>
      </c>
      <c r="V755" s="15">
        <f>-$K755*IFERROR(INDEX('[1]salary allocation-v2'!$E$6:$J$22,MATCH($H755,'[1]salary allocation-v2'!$D$6:$D$22,0),MATCH(V$3,'[1]salary allocation-v2'!$E$3:$J$3,0)),0)</f>
        <v>0</v>
      </c>
      <c r="W755" s="15">
        <f>-$K755*IFERROR(INDEX('[1]salary allocation-v2'!$E$6:$J$22,MATCH($H755,'[1]salary allocation-v2'!$D$6:$D$22,0),MATCH(W$3,'[1]salary allocation-v2'!$E$3:$J$3,0)),0)</f>
        <v>2043353.41</v>
      </c>
      <c r="X755" s="15">
        <f>-$K755*IFERROR(INDEX('[1]salary allocation-v2'!$E$6:$J$22,MATCH($H755,'[1]salary allocation-v2'!$D$6:$D$22,0),MATCH(X$3,'[1]salary allocation-v2'!$E$3:$J$3,0)),0)</f>
        <v>0</v>
      </c>
      <c r="Y755" s="15">
        <f>-$K755*IFERROR(INDEX('[1]salary allocation-v2'!$E$6:$J$22,MATCH($H755,'[1]salary allocation-v2'!$D$6:$D$22,0),MATCH(Y$3,'[1]salary allocation-v2'!$E$3:$J$3,0)),0)</f>
        <v>0</v>
      </c>
      <c r="Z755" s="15">
        <f>-$K755*IFERROR(INDEX('[1]salary allocation-v2'!$E$6:$J$22,MATCH($H755,'[1]salary allocation-v2'!$D$6:$D$22,0),MATCH(Z$3,'[1]salary allocation-v2'!$E$3:$J$3,0)),0)</f>
        <v>0</v>
      </c>
      <c r="AA755" s="15">
        <f>-$K755*IFERROR(INDEX('[1]salary allocation-v2'!$E$6:$J$22,MATCH($H755,'[1]salary allocation-v2'!$D$6:$D$22,0),MATCH(AA$3,'[1]salary allocation-v2'!$E$3:$J$3,0)),0)</f>
        <v>0</v>
      </c>
      <c r="AB755" s="15">
        <f>-$K755*IFERROR(INDEX('[1]salary allocation-v2'!$E$6:$J$22,MATCH($H755,'[1]salary allocation-v2'!$D$6:$D$22,0),MATCH(AB$3,'[1]salary allocation-v2'!$E$3:$J$3,0)),0)</f>
        <v>0</v>
      </c>
      <c r="AC755" s="18">
        <f>-$K755*IFERROR(INDEX('[1]salary allocation-v2'!$E$6:$J$22,MATCH($H755,'[1]salary allocation-v2'!$D$6:$D$22,0),MATCH(AC$3,'[1]salary allocation-v2'!$E$3:$J$3,0)),0)</f>
        <v>0</v>
      </c>
      <c r="AD755" s="17"/>
      <c r="AE755" s="16"/>
      <c r="AF755" s="15">
        <f>-K755</f>
        <v>4170109</v>
      </c>
      <c r="AG755" s="15"/>
      <c r="AH755" s="2">
        <f>K755+SUM(O755:AC755)</f>
        <v>0</v>
      </c>
      <c r="AI755" s="2">
        <f>K755+SUM(AF755:AG755)</f>
        <v>0</v>
      </c>
    </row>
    <row r="756" spans="1:35" x14ac:dyDescent="0.2">
      <c r="A756" s="11" t="s">
        <v>61</v>
      </c>
      <c r="B756" s="14" t="s">
        <v>101</v>
      </c>
      <c r="H756" s="11" t="s">
        <v>35</v>
      </c>
      <c r="I756" s="11" t="s">
        <v>122</v>
      </c>
      <c r="K756" s="13">
        <v>-9476998</v>
      </c>
      <c r="L756" s="12">
        <v>112025</v>
      </c>
      <c r="M756" s="11" t="str">
        <f>LEFT(I756,(LEN(LEFT(I756,FIND(";",I756)))-8))</f>
        <v>VNOther</v>
      </c>
      <c r="N756" s="11"/>
      <c r="O756" s="15">
        <f>-$K756*IFERROR(INDEX('[1]salary allocation-v2'!$E$6:$J$22,MATCH($H756,'[1]salary allocation-v2'!$D$6:$D$22,0),MATCH(O$3,'[1]salary allocation-v2'!$E$3:$J$3,0)),0)</f>
        <v>0</v>
      </c>
      <c r="P756" s="15">
        <f>-$K756*IFERROR(INDEX('[1]salary allocation-v2'!$E$6:$J$22,MATCH($H756,'[1]salary allocation-v2'!$D$6:$D$22,0),MATCH(P$3,'[1]salary allocation-v2'!$E$3:$J$3,0)),0)</f>
        <v>0</v>
      </c>
      <c r="Q756" s="15">
        <f>-$K756*IFERROR(INDEX('[1]salary allocation-v2'!$E$6:$J$22,MATCH($H756,'[1]salary allocation-v2'!$D$6:$D$22,0),MATCH(Q$3,'[1]salary allocation-v2'!$E$3:$J$3,0)),0)</f>
        <v>0</v>
      </c>
      <c r="R756" s="15">
        <f>-$K756*IFERROR(INDEX('[1]salary allocation-v2'!$E$6:$J$22,MATCH($H756,'[1]salary allocation-v2'!$D$6:$D$22,0),MATCH(R$3,'[1]salary allocation-v2'!$E$3:$J$3,0)),0)</f>
        <v>0</v>
      </c>
      <c r="S756" s="15">
        <f>-$K756*IFERROR(INDEX('[1]salary allocation-v2'!$E$6:$J$22,MATCH($H756,'[1]salary allocation-v2'!$D$6:$D$22,0),MATCH(S$3,'[1]salary allocation-v2'!$E$3:$J$3,0)),0)</f>
        <v>1611089.66</v>
      </c>
      <c r="T756" s="15">
        <f>-$K756*IFERROR(INDEX('[1]salary allocation-v2'!$E$6:$J$22,MATCH($H756,'[1]salary allocation-v2'!$D$6:$D$22,0),MATCH(T$3,'[1]salary allocation-v2'!$E$3:$J$3,0)),0)</f>
        <v>1611089.66</v>
      </c>
      <c r="U756" s="15">
        <f>-$K756*IFERROR(INDEX('[1]salary allocation-v2'!$E$6:$J$22,MATCH($H756,'[1]salary allocation-v2'!$D$6:$D$22,0),MATCH(U$3,'[1]salary allocation-v2'!$E$3:$J$3,0)),0)</f>
        <v>1611089.66</v>
      </c>
      <c r="V756" s="15">
        <f>-$K756*IFERROR(INDEX('[1]salary allocation-v2'!$E$6:$J$22,MATCH($H756,'[1]salary allocation-v2'!$D$6:$D$22,0),MATCH(V$3,'[1]salary allocation-v2'!$E$3:$J$3,0)),0)</f>
        <v>0</v>
      </c>
      <c r="W756" s="15">
        <f>-$K756*IFERROR(INDEX('[1]salary allocation-v2'!$E$6:$J$22,MATCH($H756,'[1]salary allocation-v2'!$D$6:$D$22,0),MATCH(W$3,'[1]salary allocation-v2'!$E$3:$J$3,0)),0)</f>
        <v>4643729.0199999996</v>
      </c>
      <c r="X756" s="15">
        <f>-$K756*IFERROR(INDEX('[1]salary allocation-v2'!$E$6:$J$22,MATCH($H756,'[1]salary allocation-v2'!$D$6:$D$22,0),MATCH(X$3,'[1]salary allocation-v2'!$E$3:$J$3,0)),0)</f>
        <v>0</v>
      </c>
      <c r="Y756" s="15">
        <f>-$K756*IFERROR(INDEX('[1]salary allocation-v2'!$E$6:$J$22,MATCH($H756,'[1]salary allocation-v2'!$D$6:$D$22,0),MATCH(Y$3,'[1]salary allocation-v2'!$E$3:$J$3,0)),0)</f>
        <v>0</v>
      </c>
      <c r="Z756" s="15">
        <f>-$K756*IFERROR(INDEX('[1]salary allocation-v2'!$E$6:$J$22,MATCH($H756,'[1]salary allocation-v2'!$D$6:$D$22,0),MATCH(Z$3,'[1]salary allocation-v2'!$E$3:$J$3,0)),0)</f>
        <v>0</v>
      </c>
      <c r="AA756" s="15">
        <f>-$K756*IFERROR(INDEX('[1]salary allocation-v2'!$E$6:$J$22,MATCH($H756,'[1]salary allocation-v2'!$D$6:$D$22,0),MATCH(AA$3,'[1]salary allocation-v2'!$E$3:$J$3,0)),0)</f>
        <v>0</v>
      </c>
      <c r="AB756" s="15">
        <f>-$K756*IFERROR(INDEX('[1]salary allocation-v2'!$E$6:$J$22,MATCH($H756,'[1]salary allocation-v2'!$D$6:$D$22,0),MATCH(AB$3,'[1]salary allocation-v2'!$E$3:$J$3,0)),0)</f>
        <v>0</v>
      </c>
      <c r="AC756" s="18">
        <f>-$K756*IFERROR(INDEX('[1]salary allocation-v2'!$E$6:$J$22,MATCH($H756,'[1]salary allocation-v2'!$D$6:$D$22,0),MATCH(AC$3,'[1]salary allocation-v2'!$E$3:$J$3,0)),0)</f>
        <v>0</v>
      </c>
      <c r="AD756" s="17"/>
      <c r="AE756" s="16"/>
      <c r="AF756" s="15">
        <f>-$K756</f>
        <v>9476998</v>
      </c>
      <c r="AG756" s="15"/>
      <c r="AH756" s="2">
        <f>K756+SUM(O756:AC756)</f>
        <v>0</v>
      </c>
      <c r="AI756" s="2">
        <f>K756+SUM(AF756:AG756)</f>
        <v>0</v>
      </c>
    </row>
    <row r="757" spans="1:35" x14ac:dyDescent="0.2">
      <c r="A757" s="11" t="s">
        <v>61</v>
      </c>
      <c r="B757" s="14" t="s">
        <v>101</v>
      </c>
      <c r="H757" s="11" t="s">
        <v>121</v>
      </c>
      <c r="I757" s="11" t="s">
        <v>120</v>
      </c>
      <c r="K757" s="13">
        <v>-222483</v>
      </c>
      <c r="L757" s="12">
        <v>112025</v>
      </c>
      <c r="M757" s="11" t="str">
        <f>LEFT(I757,(LEN(LEFT(I757,FIND(";",I757)))-8))</f>
        <v>VNLA</v>
      </c>
      <c r="N757" s="11"/>
      <c r="O757" s="2">
        <f>IF($M757=O$3,-$K757,0)</f>
        <v>0</v>
      </c>
      <c r="P757" s="2">
        <f>IF($M757=P$3,-$K757,0)</f>
        <v>0</v>
      </c>
      <c r="Q757" s="2">
        <f>IF($M757=Q$3,-$K757,0)</f>
        <v>0</v>
      </c>
      <c r="R757" s="2">
        <f>IF($M757=R$3,-$K757,0)</f>
        <v>0</v>
      </c>
      <c r="S757" s="2">
        <f>IF($M757=S$3,-$K757,0)</f>
        <v>0</v>
      </c>
      <c r="T757" s="2">
        <f>IF($M757=T$3,-$K757,0)</f>
        <v>0</v>
      </c>
      <c r="U757" s="2">
        <f>IF($M757=U$3,-$K757,0)</f>
        <v>0</v>
      </c>
      <c r="V757" s="2">
        <f>IF($M757=V$3,-$K757,0)</f>
        <v>0</v>
      </c>
      <c r="W757" s="2">
        <f>IF($M757=W$3,-$K757,0)</f>
        <v>0</v>
      </c>
      <c r="X757" s="2">
        <f>IF($M757=X$3,-$K757,0)</f>
        <v>222483</v>
      </c>
      <c r="Y757" s="2">
        <f>IF($M757=Y$3,-$K757,0)</f>
        <v>0</v>
      </c>
      <c r="Z757" s="2">
        <f>IF($M757=Z$3,-$K757,0)</f>
        <v>0</v>
      </c>
      <c r="AA757" s="2">
        <f>IF($M757=AA$3,-$K757,0)</f>
        <v>0</v>
      </c>
      <c r="AB757" s="2">
        <f>IF($M757=AB$3,-$K757,0)</f>
        <v>0</v>
      </c>
      <c r="AC757" s="21">
        <f>IF($M757=AC$3,-$K757,0)</f>
        <v>0</v>
      </c>
      <c r="AD757" s="20"/>
      <c r="AE757" s="19"/>
      <c r="AF757" s="2"/>
      <c r="AG757" s="2">
        <f>-$K757</f>
        <v>222483</v>
      </c>
      <c r="AH757" s="2">
        <f>K757+SUM(O757:AC757)</f>
        <v>0</v>
      </c>
      <c r="AI757" s="2">
        <f>K757+SUM(AF757:AG757)</f>
        <v>0</v>
      </c>
    </row>
    <row r="758" spans="1:35" x14ac:dyDescent="0.2">
      <c r="A758" s="11" t="s">
        <v>61</v>
      </c>
      <c r="B758" s="14" t="s">
        <v>101</v>
      </c>
      <c r="H758" s="11" t="s">
        <v>33</v>
      </c>
      <c r="I758" s="11" t="s">
        <v>119</v>
      </c>
      <c r="K758" s="13">
        <v>-7936421</v>
      </c>
      <c r="L758" s="12">
        <v>112025</v>
      </c>
      <c r="M758" s="11" t="str">
        <f>LEFT(I758,(LEN(LEFT(I758,FIND(";",I758)))-8))</f>
        <v>VNDN</v>
      </c>
      <c r="N758" s="11"/>
      <c r="O758" s="2">
        <f>IF($M758=O$3,-$K758,0)</f>
        <v>0</v>
      </c>
      <c r="P758" s="2">
        <f>IF($M758=P$3,-$K758,0)</f>
        <v>0</v>
      </c>
      <c r="Q758" s="2">
        <f>IF($M758=Q$3,-$K758,0)</f>
        <v>0</v>
      </c>
      <c r="R758" s="2">
        <f>IF($M758=R$3,-$K758,0)</f>
        <v>0</v>
      </c>
      <c r="S758" s="2">
        <f>IF($M758=S$3,-$K758,0)</f>
        <v>7936421</v>
      </c>
      <c r="T758" s="2">
        <f>IF($M758=T$3,-$K758,0)</f>
        <v>0</v>
      </c>
      <c r="U758" s="2">
        <f>IF($M758=U$3,-$K758,0)</f>
        <v>0</v>
      </c>
      <c r="V758" s="2">
        <f>IF($M758=V$3,-$K758,0)</f>
        <v>0</v>
      </c>
      <c r="W758" s="2">
        <f>IF($M758=W$3,-$K758,0)</f>
        <v>0</v>
      </c>
      <c r="X758" s="2">
        <f>IF($M758=X$3,-$K758,0)</f>
        <v>0</v>
      </c>
      <c r="Y758" s="2">
        <f>IF($M758=Y$3,-$K758,0)</f>
        <v>0</v>
      </c>
      <c r="Z758" s="2">
        <f>IF($M758=Z$3,-$K758,0)</f>
        <v>0</v>
      </c>
      <c r="AA758" s="2">
        <f>IF($M758=AA$3,-$K758,0)</f>
        <v>0</v>
      </c>
      <c r="AB758" s="2">
        <f>IF($M758=AB$3,-$K758,0)</f>
        <v>0</v>
      </c>
      <c r="AC758" s="21">
        <f>IF($M758=AC$3,-$K758,0)</f>
        <v>0</v>
      </c>
      <c r="AD758" s="20"/>
      <c r="AE758" s="19"/>
      <c r="AF758" s="2"/>
      <c r="AG758" s="2">
        <f>-$K758</f>
        <v>7936421</v>
      </c>
      <c r="AH758" s="2">
        <f>K758+SUM(O758:AC758)</f>
        <v>0</v>
      </c>
      <c r="AI758" s="2">
        <f>K758+SUM(AF758:AG758)</f>
        <v>0</v>
      </c>
    </row>
    <row r="759" spans="1:35" x14ac:dyDescent="0.2">
      <c r="A759" s="11" t="s">
        <v>61</v>
      </c>
      <c r="B759" s="14" t="s">
        <v>101</v>
      </c>
      <c r="H759" s="11" t="s">
        <v>31</v>
      </c>
      <c r="I759" s="11" t="s">
        <v>118</v>
      </c>
      <c r="K759" s="13">
        <v>-5791481</v>
      </c>
      <c r="L759" s="12">
        <v>112025</v>
      </c>
      <c r="M759" s="11" t="str">
        <f>LEFT(I759,(LEN(LEFT(I759,FIND(";",I759)))-8))</f>
        <v>VNDN</v>
      </c>
      <c r="N759" s="11"/>
      <c r="O759" s="2">
        <f>IF($M759=O$3,-$K759,0)</f>
        <v>0</v>
      </c>
      <c r="P759" s="2">
        <f>IF($M759=P$3,-$K759,0)</f>
        <v>0</v>
      </c>
      <c r="Q759" s="2">
        <f>IF($M759=Q$3,-$K759,0)</f>
        <v>0</v>
      </c>
      <c r="R759" s="2">
        <f>IF($M759=R$3,-$K759,0)</f>
        <v>0</v>
      </c>
      <c r="S759" s="2">
        <f>IF($M759=S$3,-$K759,0)</f>
        <v>5791481</v>
      </c>
      <c r="T759" s="2">
        <f>IF($M759=T$3,-$K759,0)</f>
        <v>0</v>
      </c>
      <c r="U759" s="2">
        <f>IF($M759=U$3,-$K759,0)</f>
        <v>0</v>
      </c>
      <c r="V759" s="2">
        <f>IF($M759=V$3,-$K759,0)</f>
        <v>0</v>
      </c>
      <c r="W759" s="2">
        <f>IF($M759=W$3,-$K759,0)</f>
        <v>0</v>
      </c>
      <c r="X759" s="2">
        <f>IF($M759=X$3,-$K759,0)</f>
        <v>0</v>
      </c>
      <c r="Y759" s="2">
        <f>IF($M759=Y$3,-$K759,0)</f>
        <v>0</v>
      </c>
      <c r="Z759" s="2">
        <f>IF($M759=Z$3,-$K759,0)</f>
        <v>0</v>
      </c>
      <c r="AA759" s="2">
        <f>IF($M759=AA$3,-$K759,0)</f>
        <v>0</v>
      </c>
      <c r="AB759" s="2">
        <f>IF($M759=AB$3,-$K759,0)</f>
        <v>0</v>
      </c>
      <c r="AC759" s="21">
        <f>IF($M759=AC$3,-$K759,0)</f>
        <v>0</v>
      </c>
      <c r="AD759" s="20"/>
      <c r="AE759" s="19"/>
      <c r="AF759" s="2"/>
      <c r="AG759" s="2">
        <f>-$K759</f>
        <v>5791481</v>
      </c>
      <c r="AH759" s="2">
        <f>K759+SUM(O759:AC759)</f>
        <v>0</v>
      </c>
      <c r="AI759" s="2">
        <f>K759+SUM(AF759:AG759)</f>
        <v>0</v>
      </c>
    </row>
    <row r="760" spans="1:35" x14ac:dyDescent="0.2">
      <c r="A760" s="11" t="s">
        <v>61</v>
      </c>
      <c r="B760" s="14" t="s">
        <v>101</v>
      </c>
      <c r="H760" s="11" t="s">
        <v>29</v>
      </c>
      <c r="I760" s="11" t="s">
        <v>117</v>
      </c>
      <c r="K760" s="13">
        <v>-7180359</v>
      </c>
      <c r="L760" s="12">
        <v>112025</v>
      </c>
      <c r="M760" s="11" t="str">
        <f>LEFT(I760,(LEN(LEFT(I760,FIND(";",I760)))-8))</f>
        <v>VNDN</v>
      </c>
      <c r="N760" s="11"/>
      <c r="O760" s="2">
        <f>IF($M760=O$3,-$K760,0)</f>
        <v>0</v>
      </c>
      <c r="P760" s="2">
        <f>IF($M760=P$3,-$K760,0)</f>
        <v>0</v>
      </c>
      <c r="Q760" s="2">
        <f>IF($M760=Q$3,-$K760,0)</f>
        <v>0</v>
      </c>
      <c r="R760" s="2">
        <f>IF($M760=R$3,-$K760,0)</f>
        <v>0</v>
      </c>
      <c r="S760" s="2">
        <f>IF($M760=S$3,-$K760,0)</f>
        <v>7180359</v>
      </c>
      <c r="T760" s="2">
        <f>IF($M760=T$3,-$K760,0)</f>
        <v>0</v>
      </c>
      <c r="U760" s="2">
        <f>IF($M760=U$3,-$K760,0)</f>
        <v>0</v>
      </c>
      <c r="V760" s="2">
        <f>IF($M760=V$3,-$K760,0)</f>
        <v>0</v>
      </c>
      <c r="W760" s="2">
        <f>IF($M760=W$3,-$K760,0)</f>
        <v>0</v>
      </c>
      <c r="X760" s="2">
        <f>IF($M760=X$3,-$K760,0)</f>
        <v>0</v>
      </c>
      <c r="Y760" s="2">
        <f>IF($M760=Y$3,-$K760,0)</f>
        <v>0</v>
      </c>
      <c r="Z760" s="2">
        <f>IF($M760=Z$3,-$K760,0)</f>
        <v>0</v>
      </c>
      <c r="AA760" s="2">
        <f>IF($M760=AA$3,-$K760,0)</f>
        <v>0</v>
      </c>
      <c r="AB760" s="2">
        <f>IF($M760=AB$3,-$K760,0)</f>
        <v>0</v>
      </c>
      <c r="AC760" s="21">
        <f>IF($M760=AC$3,-$K760,0)</f>
        <v>0</v>
      </c>
      <c r="AD760" s="20"/>
      <c r="AE760" s="19"/>
      <c r="AF760" s="2"/>
      <c r="AG760" s="2">
        <f>-$K760</f>
        <v>7180359</v>
      </c>
      <c r="AH760" s="2">
        <f>K760+SUM(O760:AC760)</f>
        <v>0</v>
      </c>
      <c r="AI760" s="2">
        <f>K760+SUM(AF760:AG760)</f>
        <v>0</v>
      </c>
    </row>
    <row r="761" spans="1:35" x14ac:dyDescent="0.2">
      <c r="A761" s="11" t="s">
        <v>61</v>
      </c>
      <c r="B761" s="14" t="s">
        <v>101</v>
      </c>
      <c r="H761" s="11" t="s">
        <v>27</v>
      </c>
      <c r="I761" s="11" t="s">
        <v>116</v>
      </c>
      <c r="K761" s="13">
        <v>-5506553</v>
      </c>
      <c r="L761" s="12">
        <v>112025</v>
      </c>
      <c r="M761" s="11" t="str">
        <f>LEFT(I761,(LEN(LEFT(I761,FIND(";",I761)))-8))</f>
        <v>VNDN</v>
      </c>
      <c r="N761" s="11"/>
      <c r="O761" s="2">
        <f>IF($M761=O$3,-$K761,0)</f>
        <v>0</v>
      </c>
      <c r="P761" s="2">
        <f>IF($M761=P$3,-$K761,0)</f>
        <v>0</v>
      </c>
      <c r="Q761" s="2">
        <f>IF($M761=Q$3,-$K761,0)</f>
        <v>0</v>
      </c>
      <c r="R761" s="2">
        <f>IF($M761=R$3,-$K761,0)</f>
        <v>0</v>
      </c>
      <c r="S761" s="2">
        <f>IF($M761=S$3,-$K761,0)</f>
        <v>5506553</v>
      </c>
      <c r="T761" s="2">
        <f>IF($M761=T$3,-$K761,0)</f>
        <v>0</v>
      </c>
      <c r="U761" s="2">
        <f>IF($M761=U$3,-$K761,0)</f>
        <v>0</v>
      </c>
      <c r="V761" s="2">
        <f>IF($M761=V$3,-$K761,0)</f>
        <v>0</v>
      </c>
      <c r="W761" s="2">
        <f>IF($M761=W$3,-$K761,0)</f>
        <v>0</v>
      </c>
      <c r="X761" s="2">
        <f>IF($M761=X$3,-$K761,0)</f>
        <v>0</v>
      </c>
      <c r="Y761" s="2">
        <f>IF($M761=Y$3,-$K761,0)</f>
        <v>0</v>
      </c>
      <c r="Z761" s="2">
        <f>IF($M761=Z$3,-$K761,0)</f>
        <v>0</v>
      </c>
      <c r="AA761" s="2">
        <f>IF($M761=AA$3,-$K761,0)</f>
        <v>0</v>
      </c>
      <c r="AB761" s="2">
        <f>IF($M761=AB$3,-$K761,0)</f>
        <v>0</v>
      </c>
      <c r="AC761" s="21">
        <f>IF($M761=AC$3,-$K761,0)</f>
        <v>0</v>
      </c>
      <c r="AD761" s="20"/>
      <c r="AE761" s="19"/>
      <c r="AF761" s="2"/>
      <c r="AG761" s="2">
        <f>-$K761</f>
        <v>5506553</v>
      </c>
      <c r="AH761" s="2">
        <f>K761+SUM(O761:AC761)</f>
        <v>0</v>
      </c>
      <c r="AI761" s="2">
        <f>K761+SUM(AF761:AG761)</f>
        <v>0</v>
      </c>
    </row>
    <row r="762" spans="1:35" x14ac:dyDescent="0.2">
      <c r="A762" s="11" t="s">
        <v>61</v>
      </c>
      <c r="B762" s="14" t="s">
        <v>101</v>
      </c>
      <c r="H762" s="11" t="s">
        <v>25</v>
      </c>
      <c r="I762" s="11" t="s">
        <v>115</v>
      </c>
      <c r="K762" s="13">
        <v>-6703620</v>
      </c>
      <c r="L762" s="12">
        <v>112025</v>
      </c>
      <c r="M762" s="11" t="str">
        <f>LEFT(I762,(LEN(LEFT(I762,FIND(";",I762)))-8))</f>
        <v>VNQN</v>
      </c>
      <c r="N762" s="11"/>
      <c r="O762" s="2">
        <f>IF($M762=O$3,-$K762,0)</f>
        <v>0</v>
      </c>
      <c r="P762" s="2">
        <f>IF($M762=P$3,-$K762,0)</f>
        <v>0</v>
      </c>
      <c r="Q762" s="2">
        <f>IF($M762=Q$3,-$K762,0)</f>
        <v>0</v>
      </c>
      <c r="R762" s="2">
        <f>IF($M762=R$3,-$K762,0)</f>
        <v>0</v>
      </c>
      <c r="S762" s="2">
        <f>IF($M762=S$3,-$K762,0)</f>
        <v>0</v>
      </c>
      <c r="T762" s="2">
        <f>IF($M762=T$3,-$K762,0)</f>
        <v>6703620</v>
      </c>
      <c r="U762" s="2">
        <f>IF($M762=U$3,-$K762,0)</f>
        <v>0</v>
      </c>
      <c r="V762" s="2">
        <f>IF($M762=V$3,-$K762,0)</f>
        <v>0</v>
      </c>
      <c r="W762" s="2">
        <f>IF($M762=W$3,-$K762,0)</f>
        <v>0</v>
      </c>
      <c r="X762" s="2">
        <f>IF($M762=X$3,-$K762,0)</f>
        <v>0</v>
      </c>
      <c r="Y762" s="2">
        <f>IF($M762=Y$3,-$K762,0)</f>
        <v>0</v>
      </c>
      <c r="Z762" s="2">
        <f>IF($M762=Z$3,-$K762,0)</f>
        <v>0</v>
      </c>
      <c r="AA762" s="2">
        <f>IF($M762=AA$3,-$K762,0)</f>
        <v>0</v>
      </c>
      <c r="AB762" s="2">
        <f>IF($M762=AB$3,-$K762,0)</f>
        <v>0</v>
      </c>
      <c r="AC762" s="21">
        <f>IF($M762=AC$3,-$K762,0)</f>
        <v>0</v>
      </c>
      <c r="AD762" s="20"/>
      <c r="AE762" s="19"/>
      <c r="AF762" s="2"/>
      <c r="AG762" s="2">
        <f>-$K762</f>
        <v>6703620</v>
      </c>
      <c r="AH762" s="2">
        <f>K762+SUM(O762:AC762)</f>
        <v>0</v>
      </c>
      <c r="AI762" s="2">
        <f>K762+SUM(AF762:AG762)</f>
        <v>0</v>
      </c>
    </row>
    <row r="763" spans="1:35" x14ac:dyDescent="0.2">
      <c r="A763" s="11" t="s">
        <v>61</v>
      </c>
      <c r="B763" s="14" t="s">
        <v>101</v>
      </c>
      <c r="H763" s="11" t="s">
        <v>81</v>
      </c>
      <c r="I763" s="11" t="s">
        <v>114</v>
      </c>
      <c r="K763" s="13">
        <v>-6556557</v>
      </c>
      <c r="L763" s="12">
        <v>112025</v>
      </c>
      <c r="M763" s="11" t="str">
        <f>LEFT(I763,(LEN(LEFT(I763,FIND(";",I763)))-8))</f>
        <v>VNQN</v>
      </c>
      <c r="N763" s="11"/>
      <c r="O763" s="2">
        <f>IF($M763=O$3,-$K763,0)</f>
        <v>0</v>
      </c>
      <c r="P763" s="2">
        <f>IF($M763=P$3,-$K763,0)</f>
        <v>0</v>
      </c>
      <c r="Q763" s="2">
        <f>IF($M763=Q$3,-$K763,0)</f>
        <v>0</v>
      </c>
      <c r="R763" s="2">
        <f>IF($M763=R$3,-$K763,0)</f>
        <v>0</v>
      </c>
      <c r="S763" s="2">
        <f>IF($M763=S$3,-$K763,0)</f>
        <v>0</v>
      </c>
      <c r="T763" s="2">
        <f>IF($M763=T$3,-$K763,0)</f>
        <v>6556557</v>
      </c>
      <c r="U763" s="2">
        <f>IF($M763=U$3,-$K763,0)</f>
        <v>0</v>
      </c>
      <c r="V763" s="2">
        <f>IF($M763=V$3,-$K763,0)</f>
        <v>0</v>
      </c>
      <c r="W763" s="2">
        <f>IF($M763=W$3,-$K763,0)</f>
        <v>0</v>
      </c>
      <c r="X763" s="2">
        <f>IF($M763=X$3,-$K763,0)</f>
        <v>0</v>
      </c>
      <c r="Y763" s="2">
        <f>IF($M763=Y$3,-$K763,0)</f>
        <v>0</v>
      </c>
      <c r="Z763" s="2">
        <f>IF($M763=Z$3,-$K763,0)</f>
        <v>0</v>
      </c>
      <c r="AA763" s="2">
        <f>IF($M763=AA$3,-$K763,0)</f>
        <v>0</v>
      </c>
      <c r="AB763" s="2">
        <f>IF($M763=AB$3,-$K763,0)</f>
        <v>0</v>
      </c>
      <c r="AC763" s="21">
        <f>IF($M763=AC$3,-$K763,0)</f>
        <v>0</v>
      </c>
      <c r="AD763" s="20"/>
      <c r="AE763" s="19"/>
      <c r="AF763" s="2"/>
      <c r="AG763" s="2">
        <f>-$K763</f>
        <v>6556557</v>
      </c>
      <c r="AH763" s="2">
        <f>K763+SUM(O763:AC763)</f>
        <v>0</v>
      </c>
      <c r="AI763" s="2">
        <f>K763+SUM(AF763:AG763)</f>
        <v>0</v>
      </c>
    </row>
    <row r="764" spans="1:35" x14ac:dyDescent="0.2">
      <c r="A764" s="11" t="s">
        <v>61</v>
      </c>
      <c r="B764" s="14" t="s">
        <v>101</v>
      </c>
      <c r="H764" s="11" t="s">
        <v>23</v>
      </c>
      <c r="I764" s="11" t="s">
        <v>113</v>
      </c>
      <c r="K764" s="13">
        <v>0</v>
      </c>
      <c r="L764" s="12">
        <v>112025</v>
      </c>
      <c r="M764" s="11" t="str">
        <f>LEFT(I764,(LEN(LEFT(I764,FIND(";",I764)))-8))</f>
        <v>VNHD</v>
      </c>
      <c r="N764" s="11"/>
      <c r="O764" s="2">
        <f>IF($M764=O$3,-$K764,0)</f>
        <v>0</v>
      </c>
      <c r="P764" s="2">
        <f>IF($M764=P$3,-$K764,0)</f>
        <v>0</v>
      </c>
      <c r="Q764" s="2">
        <f>IF($M764=Q$3,-$K764,0)</f>
        <v>0</v>
      </c>
      <c r="R764" s="2">
        <f>IF($M764=R$3,-$K764,0)</f>
        <v>0</v>
      </c>
      <c r="S764" s="2">
        <f>IF($M764=S$3,-$K764,0)</f>
        <v>0</v>
      </c>
      <c r="T764" s="2">
        <f>IF($M764=T$3,-$K764,0)</f>
        <v>0</v>
      </c>
      <c r="U764" s="2">
        <f>IF($M764=U$3,-$K764,0)</f>
        <v>0</v>
      </c>
      <c r="V764" s="2">
        <f>IF($M764=V$3,-$K764,0)</f>
        <v>0</v>
      </c>
      <c r="W764" s="2">
        <f>IF($M764=W$3,-$K764,0)</f>
        <v>0</v>
      </c>
      <c r="X764" s="2">
        <f>IF($M764=X$3,-$K764,0)</f>
        <v>0</v>
      </c>
      <c r="Y764" s="2">
        <f>IF($M764=Y$3,-$K764,0)</f>
        <v>0</v>
      </c>
      <c r="Z764" s="2">
        <f>IF($M764=Z$3,-$K764,0)</f>
        <v>0</v>
      </c>
      <c r="AA764" s="2">
        <f>IF($M764=AA$3,-$K764,0)</f>
        <v>0</v>
      </c>
      <c r="AB764" s="2">
        <f>IF($M764=AB$3,-$K764,0)</f>
        <v>0</v>
      </c>
      <c r="AC764" s="21">
        <f>IF($M764=AC$3,-$K764,0)</f>
        <v>0</v>
      </c>
      <c r="AD764" s="20"/>
      <c r="AE764" s="19"/>
      <c r="AF764" s="2"/>
      <c r="AG764" s="2">
        <f>-$K764</f>
        <v>0</v>
      </c>
      <c r="AH764" s="2">
        <f>K764+SUM(O764:AC764)</f>
        <v>0</v>
      </c>
      <c r="AI764" s="2">
        <f>K764+SUM(AF764:AG764)</f>
        <v>0</v>
      </c>
    </row>
    <row r="765" spans="1:35" x14ac:dyDescent="0.2">
      <c r="A765" s="11" t="s">
        <v>61</v>
      </c>
      <c r="B765" s="14" t="s">
        <v>101</v>
      </c>
      <c r="H765" s="11" t="s">
        <v>21</v>
      </c>
      <c r="I765" s="11" t="s">
        <v>112</v>
      </c>
      <c r="K765" s="13">
        <v>-188296</v>
      </c>
      <c r="L765" s="12">
        <v>112025</v>
      </c>
      <c r="M765" s="11" t="str">
        <f>LEFT(I765,(LEN(LEFT(I765,FIND(";",I765)))-8))</f>
        <v>VNHCM</v>
      </c>
      <c r="N765" s="11"/>
      <c r="O765" s="2">
        <f>IF($M765=O$3,-$K765,0)</f>
        <v>0</v>
      </c>
      <c r="P765" s="2">
        <f>IF($M765=P$3,-$K765,0)</f>
        <v>0</v>
      </c>
      <c r="Q765" s="2">
        <f>IF($M765=Q$3,-$K765,0)</f>
        <v>0</v>
      </c>
      <c r="R765" s="2">
        <f>IF($M765=R$3,-$K765,0)</f>
        <v>0</v>
      </c>
      <c r="S765" s="2">
        <f>IF($M765=S$3,-$K765,0)</f>
        <v>0</v>
      </c>
      <c r="T765" s="2">
        <f>IF($M765=T$3,-$K765,0)</f>
        <v>0</v>
      </c>
      <c r="U765" s="2">
        <f>IF($M765=U$3,-$K765,0)</f>
        <v>0</v>
      </c>
      <c r="V765" s="2">
        <f>IF($M765=V$3,-$K765,0)</f>
        <v>0</v>
      </c>
      <c r="W765" s="2">
        <f>IF($M765=W$3,-$K765,0)</f>
        <v>0</v>
      </c>
      <c r="X765" s="2">
        <f>IF($M765=X$3,-$K765,0)</f>
        <v>0</v>
      </c>
      <c r="Y765" s="2">
        <f>IF($M765=Y$3,-$K765,0)</f>
        <v>188296</v>
      </c>
      <c r="Z765" s="2">
        <f>IF($M765=Z$3,-$K765,0)</f>
        <v>0</v>
      </c>
      <c r="AA765" s="2">
        <f>IF($M765=AA$3,-$K765,0)</f>
        <v>0</v>
      </c>
      <c r="AB765" s="2">
        <f>IF($M765=AB$3,-$K765,0)</f>
        <v>0</v>
      </c>
      <c r="AC765" s="21">
        <f>IF($M765=AC$3,-$K765,0)</f>
        <v>0</v>
      </c>
      <c r="AD765" s="20"/>
      <c r="AE765" s="19"/>
      <c r="AF765" s="2"/>
      <c r="AG765" s="2">
        <f>-$K765</f>
        <v>188296</v>
      </c>
      <c r="AH765" s="2">
        <f>K765+SUM(O765:AC765)</f>
        <v>0</v>
      </c>
      <c r="AI765" s="2">
        <f>K765+SUM(AF765:AG765)</f>
        <v>0</v>
      </c>
    </row>
    <row r="766" spans="1:35" x14ac:dyDescent="0.2">
      <c r="A766" s="11" t="s">
        <v>61</v>
      </c>
      <c r="B766" s="14" t="s">
        <v>101</v>
      </c>
      <c r="H766" s="11" t="s">
        <v>19</v>
      </c>
      <c r="I766" s="11" t="s">
        <v>111</v>
      </c>
      <c r="K766" s="13">
        <v>-18491</v>
      </c>
      <c r="L766" s="12">
        <v>112025</v>
      </c>
      <c r="M766" s="11" t="str">
        <f>LEFT(I766,(LEN(LEFT(I766,FIND(";",I766)))-8))</f>
        <v>VNHCM</v>
      </c>
      <c r="N766" s="11"/>
      <c r="O766" s="2">
        <f>IF($M766=O$3,-$K766,0)</f>
        <v>0</v>
      </c>
      <c r="P766" s="2">
        <f>IF($M766=P$3,-$K766,0)</f>
        <v>0</v>
      </c>
      <c r="Q766" s="2">
        <f>IF($M766=Q$3,-$K766,0)</f>
        <v>0</v>
      </c>
      <c r="R766" s="2">
        <f>IF($M766=R$3,-$K766,0)</f>
        <v>0</v>
      </c>
      <c r="S766" s="2">
        <f>IF($M766=S$3,-$K766,0)</f>
        <v>0</v>
      </c>
      <c r="T766" s="2">
        <f>IF($M766=T$3,-$K766,0)</f>
        <v>0</v>
      </c>
      <c r="U766" s="2">
        <f>IF($M766=U$3,-$K766,0)</f>
        <v>0</v>
      </c>
      <c r="V766" s="2">
        <f>IF($M766=V$3,-$K766,0)</f>
        <v>0</v>
      </c>
      <c r="W766" s="2">
        <f>IF($M766=W$3,-$K766,0)</f>
        <v>0</v>
      </c>
      <c r="X766" s="2">
        <f>IF($M766=X$3,-$K766,0)</f>
        <v>0</v>
      </c>
      <c r="Y766" s="2">
        <f>IF($M766=Y$3,-$K766,0)</f>
        <v>18491</v>
      </c>
      <c r="Z766" s="2">
        <f>IF($M766=Z$3,-$K766,0)</f>
        <v>0</v>
      </c>
      <c r="AA766" s="2">
        <f>IF($M766=AA$3,-$K766,0)</f>
        <v>0</v>
      </c>
      <c r="AB766" s="2">
        <f>IF($M766=AB$3,-$K766,0)</f>
        <v>0</v>
      </c>
      <c r="AC766" s="21">
        <f>IF($M766=AC$3,-$K766,0)</f>
        <v>0</v>
      </c>
      <c r="AD766" s="20"/>
      <c r="AE766" s="19"/>
      <c r="AF766" s="2"/>
      <c r="AG766" s="2">
        <f>-$K766</f>
        <v>18491</v>
      </c>
      <c r="AH766" s="2">
        <f>K766+SUM(O766:AC766)</f>
        <v>0</v>
      </c>
      <c r="AI766" s="2">
        <f>K766+SUM(AF766:AG766)</f>
        <v>0</v>
      </c>
    </row>
    <row r="767" spans="1:35" x14ac:dyDescent="0.2">
      <c r="A767" s="11" t="s">
        <v>61</v>
      </c>
      <c r="B767" s="14" t="s">
        <v>101</v>
      </c>
      <c r="H767" s="11" t="s">
        <v>110</v>
      </c>
      <c r="I767" s="11" t="s">
        <v>109</v>
      </c>
      <c r="K767" s="13">
        <v>-812948</v>
      </c>
      <c r="L767" s="12">
        <v>112025</v>
      </c>
      <c r="M767" s="11" t="str">
        <f>LEFT(I767,(LEN(LEFT(I767,FIND(";",I767)))-8))</f>
        <v>VNOther</v>
      </c>
      <c r="N767" s="11"/>
      <c r="O767" s="15">
        <f>-$K767*IFERROR(INDEX('[1]salary allocation-v2'!$E$6:$J$22,MATCH($H767,'[1]salary allocation-v2'!$D$6:$D$22,0),MATCH(O$3,'[1]salary allocation-v2'!$E$3:$J$3,0)),0)</f>
        <v>0</v>
      </c>
      <c r="P767" s="15">
        <f>-$K767*IFERROR(INDEX('[1]salary allocation-v2'!$E$6:$J$22,MATCH($H767,'[1]salary allocation-v2'!$D$6:$D$22,0),MATCH(P$3,'[1]salary allocation-v2'!$E$3:$J$3,0)),0)</f>
        <v>0</v>
      </c>
      <c r="Q767" s="15">
        <f>-$K767*IFERROR(INDEX('[1]salary allocation-v2'!$E$6:$J$22,MATCH($H767,'[1]salary allocation-v2'!$D$6:$D$22,0),MATCH(Q$3,'[1]salary allocation-v2'!$E$3:$J$3,0)),0)</f>
        <v>0</v>
      </c>
      <c r="R767" s="15">
        <f>-$K767*IFERROR(INDEX('[1]salary allocation-v2'!$E$6:$J$22,MATCH($H767,'[1]salary allocation-v2'!$D$6:$D$22,0),MATCH(R$3,'[1]salary allocation-v2'!$E$3:$J$3,0)),0)</f>
        <v>0</v>
      </c>
      <c r="S767" s="15">
        <f>-$K767*IFERROR(INDEX('[1]salary allocation-v2'!$E$6:$J$22,MATCH($H767,'[1]salary allocation-v2'!$D$6:$D$22,0),MATCH(S$3,'[1]salary allocation-v2'!$E$3:$J$3,0)),0)</f>
        <v>138201.15999999997</v>
      </c>
      <c r="T767" s="15">
        <f>-$K767*IFERROR(INDEX('[1]salary allocation-v2'!$E$6:$J$22,MATCH($H767,'[1]salary allocation-v2'!$D$6:$D$22,0),MATCH(T$3,'[1]salary allocation-v2'!$E$3:$J$3,0)),0)</f>
        <v>138201.15999999997</v>
      </c>
      <c r="U767" s="15">
        <f>-$K767*IFERROR(INDEX('[1]salary allocation-v2'!$E$6:$J$22,MATCH($H767,'[1]salary allocation-v2'!$D$6:$D$22,0),MATCH(U$3,'[1]salary allocation-v2'!$E$3:$J$3,0)),0)</f>
        <v>138201.15999999997</v>
      </c>
      <c r="V767" s="15">
        <f>-$K767*IFERROR(INDEX('[1]salary allocation-v2'!$E$6:$J$22,MATCH($H767,'[1]salary allocation-v2'!$D$6:$D$22,0),MATCH(V$3,'[1]salary allocation-v2'!$E$3:$J$3,0)),0)</f>
        <v>0</v>
      </c>
      <c r="W767" s="15">
        <f>-$K767*IFERROR(INDEX('[1]salary allocation-v2'!$E$6:$J$22,MATCH($H767,'[1]salary allocation-v2'!$D$6:$D$22,0),MATCH(W$3,'[1]salary allocation-v2'!$E$3:$J$3,0)),0)</f>
        <v>398344.52</v>
      </c>
      <c r="X767" s="15">
        <f>-$K767*IFERROR(INDEX('[1]salary allocation-v2'!$E$6:$J$22,MATCH($H767,'[1]salary allocation-v2'!$D$6:$D$22,0),MATCH(X$3,'[1]salary allocation-v2'!$E$3:$J$3,0)),0)</f>
        <v>0</v>
      </c>
      <c r="Y767" s="15">
        <f>-$K767*IFERROR(INDEX('[1]salary allocation-v2'!$E$6:$J$22,MATCH($H767,'[1]salary allocation-v2'!$D$6:$D$22,0),MATCH(Y$3,'[1]salary allocation-v2'!$E$3:$J$3,0)),0)</f>
        <v>0</v>
      </c>
      <c r="Z767" s="15">
        <f>-$K767*IFERROR(INDEX('[1]salary allocation-v2'!$E$6:$J$22,MATCH($H767,'[1]salary allocation-v2'!$D$6:$D$22,0),MATCH(Z$3,'[1]salary allocation-v2'!$E$3:$J$3,0)),0)</f>
        <v>0</v>
      </c>
      <c r="AA767" s="15">
        <f>-$K767*IFERROR(INDEX('[1]salary allocation-v2'!$E$6:$J$22,MATCH($H767,'[1]salary allocation-v2'!$D$6:$D$22,0),MATCH(AA$3,'[1]salary allocation-v2'!$E$3:$J$3,0)),0)</f>
        <v>0</v>
      </c>
      <c r="AB767" s="15">
        <f>-$K767*IFERROR(INDEX('[1]salary allocation-v2'!$E$6:$J$22,MATCH($H767,'[1]salary allocation-v2'!$D$6:$D$22,0),MATCH(AB$3,'[1]salary allocation-v2'!$E$3:$J$3,0)),0)</f>
        <v>0</v>
      </c>
      <c r="AC767" s="18">
        <f>-$K767*IFERROR(INDEX('[1]salary allocation-v2'!$E$6:$J$22,MATCH($H767,'[1]salary allocation-v2'!$D$6:$D$22,0),MATCH(AC$3,'[1]salary allocation-v2'!$E$3:$J$3,0)),0)</f>
        <v>0</v>
      </c>
      <c r="AD767" s="17"/>
      <c r="AE767" s="16"/>
      <c r="AF767" s="15">
        <f>-$K767</f>
        <v>812948</v>
      </c>
      <c r="AG767" s="15"/>
      <c r="AH767" s="2">
        <f>K767+SUM(O767:AC767)</f>
        <v>0</v>
      </c>
      <c r="AI767" s="2">
        <f>K767+SUM(AF767:AG767)</f>
        <v>0</v>
      </c>
    </row>
    <row r="768" spans="1:35" x14ac:dyDescent="0.2">
      <c r="A768" s="11" t="s">
        <v>61</v>
      </c>
      <c r="B768" s="14" t="s">
        <v>101</v>
      </c>
      <c r="H768" s="11" t="s">
        <v>76</v>
      </c>
      <c r="I768" s="11" t="s">
        <v>108</v>
      </c>
      <c r="K768" s="13">
        <v>-17639481</v>
      </c>
      <c r="L768" s="12">
        <v>112025</v>
      </c>
      <c r="M768" s="11" t="str">
        <f>LEFT(I768,(LEN(LEFT(I768,FIND(";",I768)))-8))</f>
        <v>VNMOET</v>
      </c>
      <c r="N768" s="11"/>
      <c r="O768" s="2">
        <f>IF($M768=O$3,-$K768,0)</f>
        <v>0</v>
      </c>
      <c r="P768" s="2">
        <f>IF($M768=P$3,-$K768,0)</f>
        <v>0</v>
      </c>
      <c r="Q768" s="2">
        <f>IF($M768=Q$3,-$K768,0)</f>
        <v>0</v>
      </c>
      <c r="R768" s="2">
        <f>IF($M768=R$3,-$K768,0)</f>
        <v>0</v>
      </c>
      <c r="S768" s="2">
        <f>IF($M768=S$3,-$K768,0)</f>
        <v>0</v>
      </c>
      <c r="T768" s="2">
        <f>IF($M768=T$3,-$K768,0)</f>
        <v>0</v>
      </c>
      <c r="U768" s="2">
        <f>IF($M768=U$3,-$K768,0)</f>
        <v>0</v>
      </c>
      <c r="V768" s="2">
        <f>IF($M768=V$3,-$K768,0)</f>
        <v>0</v>
      </c>
      <c r="W768" s="2">
        <f>IF($M768=W$3,-$K768,0)</f>
        <v>17639481</v>
      </c>
      <c r="X768" s="2">
        <f>IF($M768=X$3,-$K768,0)</f>
        <v>0</v>
      </c>
      <c r="Y768" s="2">
        <f>IF($M768=Y$3,-$K768,0)</f>
        <v>0</v>
      </c>
      <c r="Z768" s="2">
        <f>IF($M768=Z$3,-$K768,0)</f>
        <v>0</v>
      </c>
      <c r="AA768" s="2">
        <f>IF($M768=AA$3,-$K768,0)</f>
        <v>0</v>
      </c>
      <c r="AB768" s="2">
        <f>IF($M768=AB$3,-$K768,0)</f>
        <v>0</v>
      </c>
      <c r="AC768" s="21">
        <f>IF($M768=AC$3,-$K768,0)</f>
        <v>0</v>
      </c>
      <c r="AD768" s="20"/>
      <c r="AE768" s="19"/>
      <c r="AF768" s="2">
        <f>-$K768</f>
        <v>17639481</v>
      </c>
      <c r="AG768" s="2"/>
      <c r="AH768" s="2">
        <f>K768+SUM(O768:AC768)</f>
        <v>0</v>
      </c>
      <c r="AI768" s="2">
        <f>K768+SUM(AF768:AG768)</f>
        <v>0</v>
      </c>
    </row>
    <row r="769" spans="1:35" x14ac:dyDescent="0.2">
      <c r="A769" s="11" t="s">
        <v>61</v>
      </c>
      <c r="B769" s="14" t="s">
        <v>101</v>
      </c>
      <c r="H769" s="11" t="s">
        <v>17</v>
      </c>
      <c r="I769" s="11" t="s">
        <v>107</v>
      </c>
      <c r="K769" s="13">
        <v>-7813111</v>
      </c>
      <c r="L769" s="12">
        <v>112025</v>
      </c>
      <c r="M769" s="11" t="str">
        <f>LEFT(I769,(LEN(LEFT(I769,FIND(";",I769)))-8))</f>
        <v>VNQN</v>
      </c>
      <c r="N769" s="11"/>
      <c r="O769" s="2">
        <f>IF($M769=O$3,-$K769,0)</f>
        <v>0</v>
      </c>
      <c r="P769" s="2">
        <f>IF($M769=P$3,-$K769,0)</f>
        <v>0</v>
      </c>
      <c r="Q769" s="2">
        <f>IF($M769=Q$3,-$K769,0)</f>
        <v>0</v>
      </c>
      <c r="R769" s="2">
        <f>IF($M769=R$3,-$K769,0)</f>
        <v>0</v>
      </c>
      <c r="S769" s="2">
        <f>IF($M769=S$3,-$K769,0)</f>
        <v>0</v>
      </c>
      <c r="T769" s="2">
        <f>IF($M769=T$3,-$K769,0)</f>
        <v>7813111</v>
      </c>
      <c r="U769" s="2">
        <f>IF($M769=U$3,-$K769,0)</f>
        <v>0</v>
      </c>
      <c r="V769" s="2">
        <f>IF($M769=V$3,-$K769,0)</f>
        <v>0</v>
      </c>
      <c r="W769" s="2">
        <f>IF($M769=W$3,-$K769,0)</f>
        <v>0</v>
      </c>
      <c r="X769" s="2">
        <f>IF($M769=X$3,-$K769,0)</f>
        <v>0</v>
      </c>
      <c r="Y769" s="2">
        <f>IF($M769=Y$3,-$K769,0)</f>
        <v>0</v>
      </c>
      <c r="Z769" s="2">
        <f>IF($M769=Z$3,-$K769,0)</f>
        <v>0</v>
      </c>
      <c r="AA769" s="2">
        <f>IF($M769=AA$3,-$K769,0)</f>
        <v>0</v>
      </c>
      <c r="AB769" s="2">
        <f>IF($M769=AB$3,-$K769,0)</f>
        <v>0</v>
      </c>
      <c r="AC769" s="21">
        <f>IF($M769=AC$3,-$K769,0)</f>
        <v>0</v>
      </c>
      <c r="AD769" s="20"/>
      <c r="AE769" s="19"/>
      <c r="AF769" s="2"/>
      <c r="AG769" s="2">
        <f>-$K769</f>
        <v>7813111</v>
      </c>
      <c r="AH769" s="2">
        <f>K769+SUM(O769:AC769)</f>
        <v>0</v>
      </c>
      <c r="AI769" s="2">
        <f>K769+SUM(AF769:AG769)</f>
        <v>0</v>
      </c>
    </row>
    <row r="770" spans="1:35" x14ac:dyDescent="0.2">
      <c r="A770" s="11" t="s">
        <v>61</v>
      </c>
      <c r="B770" s="14" t="s">
        <v>101</v>
      </c>
      <c r="H770" s="11" t="s">
        <v>73</v>
      </c>
      <c r="I770" s="11" t="s">
        <v>106</v>
      </c>
      <c r="K770" s="13">
        <v>0</v>
      </c>
      <c r="L770" s="12">
        <v>112025</v>
      </c>
      <c r="M770" s="11" t="str">
        <f>LEFT(I770,(LEN(LEFT(I770,FIND(";",I770)))-8))</f>
        <v>VNLA</v>
      </c>
      <c r="N770" s="11"/>
      <c r="O770" s="2">
        <f>IF($M770=O$3,-$K770,0)</f>
        <v>0</v>
      </c>
      <c r="P770" s="2">
        <f>IF($M770=P$3,-$K770,0)</f>
        <v>0</v>
      </c>
      <c r="Q770" s="2">
        <f>IF($M770=Q$3,-$K770,0)</f>
        <v>0</v>
      </c>
      <c r="R770" s="2">
        <f>IF($M770=R$3,-$K770,0)</f>
        <v>0</v>
      </c>
      <c r="S770" s="2">
        <f>IF($M770=S$3,-$K770,0)</f>
        <v>0</v>
      </c>
      <c r="T770" s="2">
        <f>IF($M770=T$3,-$K770,0)</f>
        <v>0</v>
      </c>
      <c r="U770" s="2">
        <f>IF($M770=U$3,-$K770,0)</f>
        <v>0</v>
      </c>
      <c r="V770" s="2">
        <f>IF($M770=V$3,-$K770,0)</f>
        <v>0</v>
      </c>
      <c r="W770" s="2">
        <f>IF($M770=W$3,-$K770,0)</f>
        <v>0</v>
      </c>
      <c r="X770" s="2">
        <f>IF($M770=X$3,-$K770,0)</f>
        <v>0</v>
      </c>
      <c r="Y770" s="2">
        <f>IF($M770=Y$3,-$K770,0)</f>
        <v>0</v>
      </c>
      <c r="Z770" s="2">
        <f>IF($M770=Z$3,-$K770,0)</f>
        <v>0</v>
      </c>
      <c r="AA770" s="2">
        <f>IF($M770=AA$3,-$K770,0)</f>
        <v>0</v>
      </c>
      <c r="AB770" s="2">
        <f>IF($M770=AB$3,-$K770,0)</f>
        <v>0</v>
      </c>
      <c r="AC770" s="21">
        <f>IF($M770=AC$3,-$K770,0)</f>
        <v>0</v>
      </c>
      <c r="AD770" s="20"/>
      <c r="AE770" s="19"/>
      <c r="AF770" s="2"/>
      <c r="AG770" s="2"/>
      <c r="AH770" s="2">
        <f>K770+SUM(O770:AC770)</f>
        <v>0</v>
      </c>
      <c r="AI770" s="2">
        <f>K770+SUM(AF770:AG770)</f>
        <v>0</v>
      </c>
    </row>
    <row r="771" spans="1:35" x14ac:dyDescent="0.2">
      <c r="A771" s="11" t="s">
        <v>61</v>
      </c>
      <c r="B771" s="14" t="s">
        <v>101</v>
      </c>
      <c r="H771" s="11" t="s">
        <v>15</v>
      </c>
      <c r="I771" s="11" t="s">
        <v>105</v>
      </c>
      <c r="K771" s="13">
        <v>-131750</v>
      </c>
      <c r="L771" s="12">
        <v>112025</v>
      </c>
      <c r="M771" s="11" t="str">
        <f>LEFT(I771,(LEN(LEFT(I771,FIND(";",I771)))-8))</f>
        <v>VNLA</v>
      </c>
      <c r="N771" s="11"/>
      <c r="O771" s="2">
        <f>IF($M771=O$3,-$K771,0)</f>
        <v>0</v>
      </c>
      <c r="P771" s="2">
        <f>IF($M771=P$3,-$K771,0)</f>
        <v>0</v>
      </c>
      <c r="Q771" s="2">
        <f>IF($M771=Q$3,-$K771,0)</f>
        <v>0</v>
      </c>
      <c r="R771" s="2">
        <f>IF($M771=R$3,-$K771,0)</f>
        <v>0</v>
      </c>
      <c r="S771" s="2">
        <f>IF($M771=S$3,-$K771,0)</f>
        <v>0</v>
      </c>
      <c r="T771" s="2">
        <f>IF($M771=T$3,-$K771,0)</f>
        <v>0</v>
      </c>
      <c r="U771" s="2">
        <f>IF($M771=U$3,-$K771,0)</f>
        <v>0</v>
      </c>
      <c r="V771" s="2">
        <f>IF($M771=V$3,-$K771,0)</f>
        <v>0</v>
      </c>
      <c r="W771" s="2">
        <f>IF($M771=W$3,-$K771,0)</f>
        <v>0</v>
      </c>
      <c r="X771" s="2">
        <f>IF($M771=X$3,-$K771,0)</f>
        <v>131750</v>
      </c>
      <c r="Y771" s="2">
        <f>IF($M771=Y$3,-$K771,0)</f>
        <v>0</v>
      </c>
      <c r="Z771" s="2">
        <f>IF($M771=Z$3,-$K771,0)</f>
        <v>0</v>
      </c>
      <c r="AA771" s="2">
        <f>IF($M771=AA$3,-$K771,0)</f>
        <v>0</v>
      </c>
      <c r="AB771" s="2">
        <f>IF($M771=AB$3,-$K771,0)</f>
        <v>0</v>
      </c>
      <c r="AC771" s="21">
        <f>IF($M771=AC$3,-$K771,0)</f>
        <v>0</v>
      </c>
      <c r="AD771" s="20"/>
      <c r="AE771" s="19"/>
      <c r="AF771" s="2"/>
      <c r="AG771" s="2">
        <f>-$K771</f>
        <v>131750</v>
      </c>
      <c r="AH771" s="2">
        <f>K771+SUM(O771:AC771)</f>
        <v>0</v>
      </c>
      <c r="AI771" s="2">
        <f>K771+SUM(AF771:AG771)</f>
        <v>0</v>
      </c>
    </row>
    <row r="772" spans="1:35" x14ac:dyDescent="0.2">
      <c r="A772" s="11" t="s">
        <v>61</v>
      </c>
      <c r="B772" s="14" t="s">
        <v>101</v>
      </c>
      <c r="H772" s="11" t="s">
        <v>13</v>
      </c>
      <c r="I772" s="11" t="s">
        <v>104</v>
      </c>
      <c r="K772" s="13">
        <v>0</v>
      </c>
      <c r="L772" s="12">
        <v>112025</v>
      </c>
      <c r="M772" s="11" t="str">
        <f>LEFT(I772,(LEN(LEFT(I772,FIND(";",I772)))-8))</f>
        <v>VNOther</v>
      </c>
      <c r="N772" s="11"/>
      <c r="O772" s="2">
        <f>IF($M772=O$3,-$K772,0)</f>
        <v>0</v>
      </c>
      <c r="P772" s="2">
        <f>IF($M772=P$3,-$K772,0)</f>
        <v>0</v>
      </c>
      <c r="Q772" s="2">
        <f>IF($M772=Q$3,-$K772,0)</f>
        <v>0</v>
      </c>
      <c r="R772" s="2">
        <f>IF($M772=R$3,-$K772,0)</f>
        <v>0</v>
      </c>
      <c r="S772" s="2">
        <f>IF($M772=S$3,-$K772,0)</f>
        <v>0</v>
      </c>
      <c r="T772" s="2">
        <f>IF($M772=T$3,-$K772,0)</f>
        <v>0</v>
      </c>
      <c r="U772" s="2">
        <f>IF($M772=U$3,-$K772,0)</f>
        <v>0</v>
      </c>
      <c r="V772" s="2">
        <f>IF($M772=V$3,-$K772,0)</f>
        <v>0</v>
      </c>
      <c r="W772" s="2">
        <f>IF($M772=W$3,-$K772,0)</f>
        <v>0</v>
      </c>
      <c r="X772" s="2">
        <f>IF($M772=X$3,-$K772,0)</f>
        <v>0</v>
      </c>
      <c r="Y772" s="2">
        <f>IF($M772=Y$3,-$K772,0)</f>
        <v>0</v>
      </c>
      <c r="Z772" s="2">
        <f>IF($M772=Z$3,-$K772,0)</f>
        <v>0</v>
      </c>
      <c r="AA772" s="2">
        <f>IF($M772=AA$3,-$K772,0)</f>
        <v>0</v>
      </c>
      <c r="AB772" s="2">
        <f>IF($M772=AB$3,-$K772,0)</f>
        <v>0</v>
      </c>
      <c r="AC772" s="21">
        <f>IF($M772=AC$3,-$K772,0)</f>
        <v>0</v>
      </c>
      <c r="AD772" s="20"/>
      <c r="AE772" s="19"/>
      <c r="AF772" s="2"/>
      <c r="AG772" s="2"/>
      <c r="AH772" s="2">
        <f>K772+SUM(O772:AC772)</f>
        <v>0</v>
      </c>
      <c r="AI772" s="2">
        <f>K772+SUM(AF772:AG772)</f>
        <v>0</v>
      </c>
    </row>
    <row r="773" spans="1:35" x14ac:dyDescent="0.2">
      <c r="A773" s="11" t="s">
        <v>61</v>
      </c>
      <c r="B773" s="14" t="s">
        <v>101</v>
      </c>
      <c r="H773" s="11" t="s">
        <v>11</v>
      </c>
      <c r="I773" s="11" t="s">
        <v>103</v>
      </c>
      <c r="K773" s="13">
        <v>-7913438</v>
      </c>
      <c r="L773" s="12">
        <v>112025</v>
      </c>
      <c r="M773" s="11" t="str">
        <f>LEFT(I773,(LEN(LEFT(I773,FIND(";",I773)))-8))</f>
        <v>VNQN</v>
      </c>
      <c r="N773" s="11"/>
      <c r="O773" s="2">
        <f>IF($M773=O$3,-$K773,0)</f>
        <v>0</v>
      </c>
      <c r="P773" s="2">
        <f>IF($M773=P$3,-$K773,0)</f>
        <v>0</v>
      </c>
      <c r="Q773" s="2">
        <f>IF($M773=Q$3,-$K773,0)</f>
        <v>0</v>
      </c>
      <c r="R773" s="2">
        <f>IF($M773=R$3,-$K773,0)</f>
        <v>0</v>
      </c>
      <c r="S773" s="2">
        <f>IF($M773=S$3,-$K773,0)</f>
        <v>0</v>
      </c>
      <c r="T773" s="2">
        <f>IF($M773=T$3,-$K773,0)</f>
        <v>7913438</v>
      </c>
      <c r="U773" s="2">
        <f>IF($M773=U$3,-$K773,0)</f>
        <v>0</v>
      </c>
      <c r="V773" s="2">
        <f>IF($M773=V$3,-$K773,0)</f>
        <v>0</v>
      </c>
      <c r="W773" s="2">
        <f>IF($M773=W$3,-$K773,0)</f>
        <v>0</v>
      </c>
      <c r="X773" s="2">
        <f>IF($M773=X$3,-$K773,0)</f>
        <v>0</v>
      </c>
      <c r="Y773" s="2">
        <f>IF($M773=Y$3,-$K773,0)</f>
        <v>0</v>
      </c>
      <c r="Z773" s="2">
        <f>IF($M773=Z$3,-$K773,0)</f>
        <v>0</v>
      </c>
      <c r="AA773" s="2">
        <f>IF($M773=AA$3,-$K773,0)</f>
        <v>0</v>
      </c>
      <c r="AB773" s="2">
        <f>IF($M773=AB$3,-$K773,0)</f>
        <v>0</v>
      </c>
      <c r="AC773" s="21">
        <f>IF($M773=AC$3,-$K773,0)</f>
        <v>0</v>
      </c>
      <c r="AD773" s="20"/>
      <c r="AE773" s="19"/>
      <c r="AF773" s="2"/>
      <c r="AG773" s="2">
        <f>-$K773</f>
        <v>7913438</v>
      </c>
      <c r="AH773" s="2">
        <f>K773+SUM(O773:AC773)</f>
        <v>0</v>
      </c>
      <c r="AI773" s="2">
        <f>K773+SUM(AF773:AG773)</f>
        <v>0</v>
      </c>
    </row>
    <row r="774" spans="1:35" x14ac:dyDescent="0.2">
      <c r="A774" s="11" t="s">
        <v>61</v>
      </c>
      <c r="B774" s="14" t="s">
        <v>101</v>
      </c>
      <c r="H774" s="11" t="s">
        <v>9</v>
      </c>
      <c r="I774" s="11" t="s">
        <v>102</v>
      </c>
      <c r="K774" s="13">
        <v>-38893</v>
      </c>
      <c r="L774" s="12">
        <v>112025</v>
      </c>
      <c r="M774" s="11" t="str">
        <f>LEFT(I774,(LEN(LEFT(I774,FIND(";",I774)))-8))</f>
        <v>VNBN</v>
      </c>
      <c r="N774" s="11"/>
      <c r="O774" s="2">
        <f>IF($M774=O$3,-$K774,0)</f>
        <v>0</v>
      </c>
      <c r="P774" s="2">
        <f>IF($M774=P$3,-$K774,0)</f>
        <v>0</v>
      </c>
      <c r="Q774" s="2">
        <f>IF($M774=Q$3,-$K774,0)</f>
        <v>0</v>
      </c>
      <c r="R774" s="2">
        <f>IF($M774=R$3,-$K774,0)</f>
        <v>0</v>
      </c>
      <c r="S774" s="2">
        <f>IF($M774=S$3,-$K774,0)</f>
        <v>0</v>
      </c>
      <c r="T774" s="2">
        <f>IF($M774=T$3,-$K774,0)</f>
        <v>0</v>
      </c>
      <c r="U774" s="2">
        <f>IF($M774=U$3,-$K774,0)</f>
        <v>0</v>
      </c>
      <c r="V774" s="2">
        <f>IF($M774=V$3,-$K774,0)</f>
        <v>0</v>
      </c>
      <c r="W774" s="2">
        <f>IF($M774=W$3,-$K774,0)</f>
        <v>0</v>
      </c>
      <c r="X774" s="2">
        <f>IF($M774=X$3,-$K774,0)</f>
        <v>0</v>
      </c>
      <c r="Y774" s="2">
        <f>IF($M774=Y$3,-$K774,0)</f>
        <v>0</v>
      </c>
      <c r="Z774" s="2">
        <f>IF($M774=Z$3,-$K774,0)</f>
        <v>0</v>
      </c>
      <c r="AA774" s="2">
        <f>IF($M774=AA$3,-$K774,0)</f>
        <v>38893</v>
      </c>
      <c r="AB774" s="2">
        <f>IF($M774=AB$3,-$K774,0)</f>
        <v>0</v>
      </c>
      <c r="AC774" s="21">
        <f>IF($M774=AC$3,-$K774,0)</f>
        <v>0</v>
      </c>
      <c r="AD774" s="20"/>
      <c r="AE774" s="19"/>
      <c r="AF774" s="2"/>
      <c r="AG774" s="2">
        <f>-$K774</f>
        <v>38893</v>
      </c>
      <c r="AH774" s="2">
        <f>K774+SUM(O774:AC774)</f>
        <v>0</v>
      </c>
      <c r="AI774" s="2">
        <f>K774+SUM(AF774:AG774)</f>
        <v>0</v>
      </c>
    </row>
    <row r="775" spans="1:35" x14ac:dyDescent="0.2">
      <c r="A775" s="11" t="s">
        <v>61</v>
      </c>
      <c r="B775" s="14" t="s">
        <v>101</v>
      </c>
      <c r="H775" s="11" t="s">
        <v>7</v>
      </c>
      <c r="I775" s="11" t="s">
        <v>100</v>
      </c>
      <c r="K775" s="13">
        <v>-38893</v>
      </c>
      <c r="L775" s="12">
        <v>112025</v>
      </c>
      <c r="M775" s="11" t="str">
        <f>LEFT(I775,(LEN(LEFT(I775,FIND(";",I775)))-8))</f>
        <v>VNBN</v>
      </c>
      <c r="N775" s="11"/>
      <c r="O775" s="2">
        <f>IF($M775=O$3,-$K775,0)</f>
        <v>0</v>
      </c>
      <c r="P775" s="2">
        <f>IF($M775=P$3,-$K775,0)</f>
        <v>0</v>
      </c>
      <c r="Q775" s="2">
        <f>IF($M775=Q$3,-$K775,0)</f>
        <v>0</v>
      </c>
      <c r="R775" s="2">
        <f>IF($M775=R$3,-$K775,0)</f>
        <v>0</v>
      </c>
      <c r="S775" s="2">
        <f>IF($M775=S$3,-$K775,0)</f>
        <v>0</v>
      </c>
      <c r="T775" s="2">
        <f>IF($M775=T$3,-$K775,0)</f>
        <v>0</v>
      </c>
      <c r="U775" s="2">
        <f>IF($M775=U$3,-$K775,0)</f>
        <v>0</v>
      </c>
      <c r="V775" s="2">
        <f>IF($M775=V$3,-$K775,0)</f>
        <v>0</v>
      </c>
      <c r="W775" s="2">
        <f>IF($M775=W$3,-$K775,0)</f>
        <v>0</v>
      </c>
      <c r="X775" s="2">
        <f>IF($M775=X$3,-$K775,0)</f>
        <v>0</v>
      </c>
      <c r="Y775" s="2">
        <f>IF($M775=Y$3,-$K775,0)</f>
        <v>0</v>
      </c>
      <c r="Z775" s="2">
        <f>IF($M775=Z$3,-$K775,0)</f>
        <v>0</v>
      </c>
      <c r="AA775" s="2">
        <f>IF($M775=AA$3,-$K775,0)</f>
        <v>38893</v>
      </c>
      <c r="AB775" s="2">
        <f>IF($M775=AB$3,-$K775,0)</f>
        <v>0</v>
      </c>
      <c r="AC775" s="21">
        <f>IF($M775=AC$3,-$K775,0)</f>
        <v>0</v>
      </c>
      <c r="AD775" s="20"/>
      <c r="AE775" s="19"/>
      <c r="AF775" s="2"/>
      <c r="AG775" s="2">
        <f>-$K775</f>
        <v>38893</v>
      </c>
      <c r="AH775" s="2">
        <f>K775+SUM(O775:AC775)</f>
        <v>0</v>
      </c>
      <c r="AI775" s="2">
        <f>K775+SUM(AF775:AG775)</f>
        <v>0</v>
      </c>
    </row>
    <row r="776" spans="1:35" x14ac:dyDescent="0.2">
      <c r="A776" s="11" t="s">
        <v>99</v>
      </c>
      <c r="B776" s="14"/>
      <c r="H776" s="11"/>
      <c r="I776" s="11"/>
      <c r="K776" s="13"/>
      <c r="L776" s="12"/>
      <c r="M776" s="11"/>
      <c r="N776" s="11"/>
      <c r="AC776" s="21"/>
      <c r="AD776" s="20"/>
      <c r="AE776" s="19"/>
      <c r="AF776" s="2"/>
      <c r="AG776" s="2"/>
      <c r="AH776" s="11"/>
      <c r="AI776" s="2">
        <f>K776+SUM(AF776:AG776)</f>
        <v>0</v>
      </c>
    </row>
    <row r="777" spans="1:35" x14ac:dyDescent="0.2">
      <c r="A777" s="11" t="s">
        <v>3</v>
      </c>
      <c r="B777" s="14">
        <v>45994</v>
      </c>
      <c r="H777" s="11" t="s">
        <v>57</v>
      </c>
      <c r="I777" s="11" t="s">
        <v>98</v>
      </c>
      <c r="K777" s="13">
        <v>-15333896</v>
      </c>
      <c r="L777" s="12">
        <v>122025</v>
      </c>
      <c r="M777" s="11" t="str">
        <f>LEFT(I777,(LEN(LEFT(I777,FIND(";",I777)))-8))</f>
        <v>VNOther</v>
      </c>
      <c r="N777" s="11"/>
      <c r="O777" s="15">
        <f>-$K777*IFERROR(INDEX('[1]salary allocation-v2'!$E$6:$J$22,MATCH($H777,'[1]salary allocation-v2'!$D$6:$D$22,0),MATCH(O$3,'[1]salary allocation-v2'!$E$3:$J$3,0)),0)</f>
        <v>0</v>
      </c>
      <c r="P777" s="15">
        <f>-$K777*IFERROR(INDEX('[1]salary allocation-v2'!$E$6:$J$22,MATCH($H777,'[1]salary allocation-v2'!$D$6:$D$22,0),MATCH(P$3,'[1]salary allocation-v2'!$E$3:$J$3,0)),0)</f>
        <v>7666948</v>
      </c>
      <c r="Q777" s="15">
        <f>-$K777*IFERROR(INDEX('[1]salary allocation-v2'!$E$6:$J$22,MATCH($H777,'[1]salary allocation-v2'!$D$6:$D$22,0),MATCH(Q$3,'[1]salary allocation-v2'!$E$3:$J$3,0)),0)</f>
        <v>0</v>
      </c>
      <c r="R777" s="15">
        <f>-$K777*IFERROR(INDEX('[1]salary allocation-v2'!$E$6:$J$22,MATCH($H777,'[1]salary allocation-v2'!$D$6:$D$22,0),MATCH(R$3,'[1]salary allocation-v2'!$E$3:$J$3,0)),0)</f>
        <v>0</v>
      </c>
      <c r="S777" s="15">
        <f>-$K777*IFERROR(INDEX('[1]salary allocation-v2'!$E$6:$J$22,MATCH($H777,'[1]salary allocation-v2'!$D$6:$D$22,0),MATCH(S$3,'[1]salary allocation-v2'!$E$3:$J$3,0)),0)</f>
        <v>1533389.6</v>
      </c>
      <c r="T777" s="15">
        <f>-$K777*IFERROR(INDEX('[1]salary allocation-v2'!$E$6:$J$22,MATCH($H777,'[1]salary allocation-v2'!$D$6:$D$22,0),MATCH(T$3,'[1]salary allocation-v2'!$E$3:$J$3,0)),0)</f>
        <v>1533389.6</v>
      </c>
      <c r="U777" s="15">
        <f>-$K777*IFERROR(INDEX('[1]salary allocation-v2'!$E$6:$J$22,MATCH($H777,'[1]salary allocation-v2'!$D$6:$D$22,0),MATCH(U$3,'[1]salary allocation-v2'!$E$3:$J$3,0)),0)</f>
        <v>1533389.6</v>
      </c>
      <c r="V777" s="15">
        <f>-$K777*IFERROR(INDEX('[1]salary allocation-v2'!$E$6:$J$22,MATCH($H777,'[1]salary allocation-v2'!$D$6:$D$22,0),MATCH(V$3,'[1]salary allocation-v2'!$E$3:$J$3,0)),0)</f>
        <v>0</v>
      </c>
      <c r="W777" s="15">
        <f>-$K777*IFERROR(INDEX('[1]salary allocation-v2'!$E$6:$J$22,MATCH($H777,'[1]salary allocation-v2'!$D$6:$D$22,0),MATCH(W$3,'[1]salary allocation-v2'!$E$3:$J$3,0)),0)</f>
        <v>3066779.2</v>
      </c>
      <c r="X777" s="15">
        <f>-$K777*IFERROR(INDEX('[1]salary allocation-v2'!$E$6:$J$22,MATCH($H777,'[1]salary allocation-v2'!$D$6:$D$22,0),MATCH(X$3,'[1]salary allocation-v2'!$E$3:$J$3,0)),0)</f>
        <v>0</v>
      </c>
      <c r="Y777" s="15">
        <f>-$K777*IFERROR(INDEX('[1]salary allocation-v2'!$E$6:$J$22,MATCH($H777,'[1]salary allocation-v2'!$D$6:$D$22,0),MATCH(Y$3,'[1]salary allocation-v2'!$E$3:$J$3,0)),0)</f>
        <v>0</v>
      </c>
      <c r="Z777" s="15">
        <f>-$K777*IFERROR(INDEX('[1]salary allocation-v2'!$E$6:$J$22,MATCH($H777,'[1]salary allocation-v2'!$D$6:$D$22,0),MATCH(Z$3,'[1]salary allocation-v2'!$E$3:$J$3,0)),0)</f>
        <v>0</v>
      </c>
      <c r="AA777" s="15">
        <f>-$K777*IFERROR(INDEX('[1]salary allocation-v2'!$E$6:$J$22,MATCH($H777,'[1]salary allocation-v2'!$D$6:$D$22,0),MATCH(AA$3,'[1]salary allocation-v2'!$E$3:$J$3,0)),0)</f>
        <v>0</v>
      </c>
      <c r="AB777" s="15">
        <f>-$K777*IFERROR(INDEX('[1]salary allocation-v2'!$E$6:$J$22,MATCH($H777,'[1]salary allocation-v2'!$D$6:$D$22,0),MATCH(AB$3,'[1]salary allocation-v2'!$E$3:$J$3,0)),0)</f>
        <v>0</v>
      </c>
      <c r="AC777" s="18">
        <f>-$K777*IFERROR(INDEX('[1]salary allocation-v2'!$E$6:$J$22,MATCH($H777,'[1]salary allocation-v2'!$D$6:$D$22,0),MATCH(AC$3,'[1]salary allocation-v2'!$E$3:$J$3,0)),0)</f>
        <v>0</v>
      </c>
      <c r="AD777" s="17"/>
      <c r="AE777" s="16"/>
      <c r="AF777" s="15">
        <f>-$K777</f>
        <v>15333896</v>
      </c>
      <c r="AG777" s="15"/>
      <c r="AH777" s="2">
        <f>K777+SUM(O777:AC777)</f>
        <v>0</v>
      </c>
      <c r="AI777" s="2">
        <f>K777+SUM(AF777:AG777)</f>
        <v>0</v>
      </c>
    </row>
    <row r="778" spans="1:35" x14ac:dyDescent="0.2">
      <c r="A778" s="11" t="s">
        <v>3</v>
      </c>
      <c r="B778" s="14">
        <v>45994</v>
      </c>
      <c r="H778" s="11" t="s">
        <v>55</v>
      </c>
      <c r="I778" s="11" t="s">
        <v>97</v>
      </c>
      <c r="K778" s="13">
        <v>-15483132</v>
      </c>
      <c r="L778" s="12">
        <v>122025</v>
      </c>
      <c r="M778" s="11" t="str">
        <f>LEFT(I778,(LEN(LEFT(I778,FIND(";",I778)))-8))</f>
        <v>VNHBC</v>
      </c>
      <c r="N778" s="11"/>
      <c r="O778" s="15">
        <f>-$K778*IFERROR(INDEX('[1]salary allocation-v2'!$E$6:$J$22,MATCH($H778,'[1]salary allocation-v2'!$D$6:$D$22,0),MATCH(O$3,'[1]salary allocation-v2'!$E$3:$J$3,0)),0)</f>
        <v>0</v>
      </c>
      <c r="P778" s="15">
        <f>-$K778*IFERROR(INDEX('[1]salary allocation-v2'!$E$6:$J$22,MATCH($H778,'[1]salary allocation-v2'!$D$6:$D$22,0),MATCH(P$3,'[1]salary allocation-v2'!$E$3:$J$3,0)),0)</f>
        <v>0</v>
      </c>
      <c r="Q778" s="15">
        <f>-$K778*IFERROR(INDEX('[1]salary allocation-v2'!$E$6:$J$22,MATCH($H778,'[1]salary allocation-v2'!$D$6:$D$22,0),MATCH(Q$3,'[1]salary allocation-v2'!$E$3:$J$3,0)),0)</f>
        <v>0</v>
      </c>
      <c r="R778" s="15">
        <f>-$K778*IFERROR(INDEX('[1]salary allocation-v2'!$E$6:$J$22,MATCH($H778,'[1]salary allocation-v2'!$D$6:$D$22,0),MATCH(R$3,'[1]salary allocation-v2'!$E$3:$J$3,0)),0)</f>
        <v>0</v>
      </c>
      <c r="S778" s="15">
        <f>-$K778*IFERROR(INDEX('[1]salary allocation-v2'!$E$6:$J$22,MATCH($H778,'[1]salary allocation-v2'!$D$6:$D$22,0),MATCH(S$3,'[1]salary allocation-v2'!$E$3:$J$3,0)),0)</f>
        <v>3096626.4000000004</v>
      </c>
      <c r="T778" s="15">
        <f>-$K778*IFERROR(INDEX('[1]salary allocation-v2'!$E$6:$J$22,MATCH($H778,'[1]salary allocation-v2'!$D$6:$D$22,0),MATCH(T$3,'[1]salary allocation-v2'!$E$3:$J$3,0)),0)</f>
        <v>3096626.4000000004</v>
      </c>
      <c r="U778" s="15">
        <f>-$K778*IFERROR(INDEX('[1]salary allocation-v2'!$E$6:$J$22,MATCH($H778,'[1]salary allocation-v2'!$D$6:$D$22,0),MATCH(U$3,'[1]salary allocation-v2'!$E$3:$J$3,0)),0)</f>
        <v>3096626.4000000004</v>
      </c>
      <c r="V778" s="15">
        <f>-$K778*IFERROR(INDEX('[1]salary allocation-v2'!$E$6:$J$22,MATCH($H778,'[1]salary allocation-v2'!$D$6:$D$22,0),MATCH(V$3,'[1]salary allocation-v2'!$E$3:$J$3,0)),0)</f>
        <v>0</v>
      </c>
      <c r="W778" s="15">
        <f>-$K778*IFERROR(INDEX('[1]salary allocation-v2'!$E$6:$J$22,MATCH($H778,'[1]salary allocation-v2'!$D$6:$D$22,0),MATCH(W$3,'[1]salary allocation-v2'!$E$3:$J$3,0)),0)</f>
        <v>6193252.8000000007</v>
      </c>
      <c r="X778" s="15">
        <f>-$K778*IFERROR(INDEX('[1]salary allocation-v2'!$E$6:$J$22,MATCH($H778,'[1]salary allocation-v2'!$D$6:$D$22,0),MATCH(X$3,'[1]salary allocation-v2'!$E$3:$J$3,0)),0)</f>
        <v>0</v>
      </c>
      <c r="Y778" s="15">
        <f>-$K778*IFERROR(INDEX('[1]salary allocation-v2'!$E$6:$J$22,MATCH($H778,'[1]salary allocation-v2'!$D$6:$D$22,0),MATCH(Y$3,'[1]salary allocation-v2'!$E$3:$J$3,0)),0)</f>
        <v>0</v>
      </c>
      <c r="Z778" s="15">
        <f>-$K778*IFERROR(INDEX('[1]salary allocation-v2'!$E$6:$J$22,MATCH($H778,'[1]salary allocation-v2'!$D$6:$D$22,0),MATCH(Z$3,'[1]salary allocation-v2'!$E$3:$J$3,0)),0)</f>
        <v>0</v>
      </c>
      <c r="AA778" s="15">
        <f>-$K778*IFERROR(INDEX('[1]salary allocation-v2'!$E$6:$J$22,MATCH($H778,'[1]salary allocation-v2'!$D$6:$D$22,0),MATCH(AA$3,'[1]salary allocation-v2'!$E$3:$J$3,0)),0)</f>
        <v>0</v>
      </c>
      <c r="AB778" s="15">
        <f>-$K778*IFERROR(INDEX('[1]salary allocation-v2'!$E$6:$J$22,MATCH($H778,'[1]salary allocation-v2'!$D$6:$D$22,0),MATCH(AB$3,'[1]salary allocation-v2'!$E$3:$J$3,0)),0)</f>
        <v>0</v>
      </c>
      <c r="AC778" s="18">
        <f>-$K778*IFERROR(INDEX('[1]salary allocation-v2'!$E$6:$J$22,MATCH($H778,'[1]salary allocation-v2'!$D$6:$D$22,0),MATCH(AC$3,'[1]salary allocation-v2'!$E$3:$J$3,0)),0)</f>
        <v>0</v>
      </c>
      <c r="AD778" s="17"/>
      <c r="AE778" s="16"/>
      <c r="AF778" s="15"/>
      <c r="AG778" s="15">
        <f>-$K778</f>
        <v>15483132</v>
      </c>
      <c r="AH778" s="2">
        <f>K778+SUM(O778:AC778)</f>
        <v>0</v>
      </c>
      <c r="AI778" s="2">
        <f>K778+SUM(AF778:AG778)</f>
        <v>0</v>
      </c>
    </row>
    <row r="779" spans="1:35" x14ac:dyDescent="0.2">
      <c r="A779" s="11" t="s">
        <v>3</v>
      </c>
      <c r="B779" s="14">
        <v>45994</v>
      </c>
      <c r="H779" s="11" t="s">
        <v>53</v>
      </c>
      <c r="I779" s="11" t="s">
        <v>96</v>
      </c>
      <c r="K779" s="13">
        <v>-15205906</v>
      </c>
      <c r="L779" s="12">
        <v>122025</v>
      </c>
      <c r="M779" s="11" t="str">
        <f>LEFT(I779,(LEN(LEFT(I779,FIND(";",I779)))-8))</f>
        <v>VNOther</v>
      </c>
      <c r="N779" s="11"/>
      <c r="O779" s="15">
        <f>-$K779*IFERROR(INDEX('[1]salary allocation-v2'!$E$6:$J$22,MATCH($H779,'[1]salary allocation-v2'!$D$6:$D$22,0),MATCH(O$3,'[1]salary allocation-v2'!$E$3:$J$3,0)),0)</f>
        <v>0</v>
      </c>
      <c r="P779" s="15">
        <f>-$K779*IFERROR(INDEX('[1]salary allocation-v2'!$E$6:$J$22,MATCH($H779,'[1]salary allocation-v2'!$D$6:$D$22,0),MATCH(P$3,'[1]salary allocation-v2'!$E$3:$J$3,0)),0)</f>
        <v>0</v>
      </c>
      <c r="Q779" s="15">
        <f>-$K779*IFERROR(INDEX('[1]salary allocation-v2'!$E$6:$J$22,MATCH($H779,'[1]salary allocation-v2'!$D$6:$D$22,0),MATCH(Q$3,'[1]salary allocation-v2'!$E$3:$J$3,0)),0)</f>
        <v>0</v>
      </c>
      <c r="R779" s="15">
        <f>-$K779*IFERROR(INDEX('[1]salary allocation-v2'!$E$6:$J$22,MATCH($H779,'[1]salary allocation-v2'!$D$6:$D$22,0),MATCH(R$3,'[1]salary allocation-v2'!$E$3:$J$3,0)),0)</f>
        <v>0</v>
      </c>
      <c r="S779" s="15">
        <f>-$K779*IFERROR(INDEX('[1]salary allocation-v2'!$E$6:$J$22,MATCH($H779,'[1]salary allocation-v2'!$D$6:$D$22,0),MATCH(S$3,'[1]salary allocation-v2'!$E$3:$J$3,0)),0)</f>
        <v>2585004.0199999996</v>
      </c>
      <c r="T779" s="15">
        <f>-$K779*IFERROR(INDEX('[1]salary allocation-v2'!$E$6:$J$22,MATCH($H779,'[1]salary allocation-v2'!$D$6:$D$22,0),MATCH(T$3,'[1]salary allocation-v2'!$E$3:$J$3,0)),0)</f>
        <v>2585004.0199999996</v>
      </c>
      <c r="U779" s="15">
        <f>-$K779*IFERROR(INDEX('[1]salary allocation-v2'!$E$6:$J$22,MATCH($H779,'[1]salary allocation-v2'!$D$6:$D$22,0),MATCH(U$3,'[1]salary allocation-v2'!$E$3:$J$3,0)),0)</f>
        <v>2585004.0199999996</v>
      </c>
      <c r="V779" s="15">
        <f>-$K779*IFERROR(INDEX('[1]salary allocation-v2'!$E$6:$J$22,MATCH($H779,'[1]salary allocation-v2'!$D$6:$D$22,0),MATCH(V$3,'[1]salary allocation-v2'!$E$3:$J$3,0)),0)</f>
        <v>0</v>
      </c>
      <c r="W779" s="15">
        <f>-$K779*IFERROR(INDEX('[1]salary allocation-v2'!$E$6:$J$22,MATCH($H779,'[1]salary allocation-v2'!$D$6:$D$22,0),MATCH(W$3,'[1]salary allocation-v2'!$E$3:$J$3,0)),0)</f>
        <v>7450893.9399999995</v>
      </c>
      <c r="X779" s="15">
        <f>-$K779*IFERROR(INDEX('[1]salary allocation-v2'!$E$6:$J$22,MATCH($H779,'[1]salary allocation-v2'!$D$6:$D$22,0),MATCH(X$3,'[1]salary allocation-v2'!$E$3:$J$3,0)),0)</f>
        <v>0</v>
      </c>
      <c r="Y779" s="15">
        <f>-$K779*IFERROR(INDEX('[1]salary allocation-v2'!$E$6:$J$22,MATCH($H779,'[1]salary allocation-v2'!$D$6:$D$22,0),MATCH(Y$3,'[1]salary allocation-v2'!$E$3:$J$3,0)),0)</f>
        <v>0</v>
      </c>
      <c r="Z779" s="15">
        <f>-$K779*IFERROR(INDEX('[1]salary allocation-v2'!$E$6:$J$22,MATCH($H779,'[1]salary allocation-v2'!$D$6:$D$22,0),MATCH(Z$3,'[1]salary allocation-v2'!$E$3:$J$3,0)),0)</f>
        <v>0</v>
      </c>
      <c r="AA779" s="15">
        <f>-$K779*IFERROR(INDEX('[1]salary allocation-v2'!$E$6:$J$22,MATCH($H779,'[1]salary allocation-v2'!$D$6:$D$22,0),MATCH(AA$3,'[1]salary allocation-v2'!$E$3:$J$3,0)),0)</f>
        <v>0</v>
      </c>
      <c r="AB779" s="15">
        <f>-$K779*IFERROR(INDEX('[1]salary allocation-v2'!$E$6:$J$22,MATCH($H779,'[1]salary allocation-v2'!$D$6:$D$22,0),MATCH(AB$3,'[1]salary allocation-v2'!$E$3:$J$3,0)),0)</f>
        <v>0</v>
      </c>
      <c r="AC779" s="18">
        <f>-$K779*IFERROR(INDEX('[1]salary allocation-v2'!$E$6:$J$22,MATCH($H779,'[1]salary allocation-v2'!$D$6:$D$22,0),MATCH(AC$3,'[1]salary allocation-v2'!$E$3:$J$3,0)),0)</f>
        <v>0</v>
      </c>
      <c r="AD779" s="17"/>
      <c r="AE779" s="16"/>
      <c r="AF779" s="15">
        <f>-$K779</f>
        <v>15205906</v>
      </c>
      <c r="AG779" s="15"/>
      <c r="AH779" s="2">
        <f>K779+SUM(O779:AC779)</f>
        <v>0</v>
      </c>
      <c r="AI779" s="2">
        <f>K779+SUM(AF779:AG779)</f>
        <v>0</v>
      </c>
    </row>
    <row r="780" spans="1:35" x14ac:dyDescent="0.2">
      <c r="A780" s="11" t="s">
        <v>3</v>
      </c>
      <c r="B780" s="14">
        <v>45994</v>
      </c>
      <c r="H780" s="11" t="s">
        <v>51</v>
      </c>
      <c r="I780" s="11" t="s">
        <v>95</v>
      </c>
      <c r="K780" s="13">
        <v>-13970133</v>
      </c>
      <c r="L780" s="12">
        <v>122025</v>
      </c>
      <c r="M780" s="11" t="str">
        <f>LEFT(I780,(LEN(LEFT(I780,FIND(";",I780)))-8))</f>
        <v>VNOther</v>
      </c>
      <c r="N780" s="11"/>
      <c r="O780" s="15">
        <f>-$K780*IFERROR(INDEX('[1]salary allocation-v2'!$E$6:$J$22,MATCH($H780,'[1]salary allocation-v2'!$D$6:$D$22,0),MATCH(O$3,'[1]salary allocation-v2'!$E$3:$J$3,0)),0)</f>
        <v>0</v>
      </c>
      <c r="P780" s="15">
        <f>-$K780*IFERROR(INDEX('[1]salary allocation-v2'!$E$6:$J$22,MATCH($H780,'[1]salary allocation-v2'!$D$6:$D$22,0),MATCH(P$3,'[1]salary allocation-v2'!$E$3:$J$3,0)),0)</f>
        <v>0</v>
      </c>
      <c r="Q780" s="15">
        <f>-$K780*IFERROR(INDEX('[1]salary allocation-v2'!$E$6:$J$22,MATCH($H780,'[1]salary allocation-v2'!$D$6:$D$22,0),MATCH(Q$3,'[1]salary allocation-v2'!$E$3:$J$3,0)),0)</f>
        <v>0</v>
      </c>
      <c r="R780" s="15">
        <f>-$K780*IFERROR(INDEX('[1]salary allocation-v2'!$E$6:$J$22,MATCH($H780,'[1]salary allocation-v2'!$D$6:$D$22,0),MATCH(R$3,'[1]salary allocation-v2'!$E$3:$J$3,0)),0)</f>
        <v>0</v>
      </c>
      <c r="S780" s="15">
        <f>-$K780*IFERROR(INDEX('[1]salary allocation-v2'!$E$6:$J$22,MATCH($H780,'[1]salary allocation-v2'!$D$6:$D$22,0),MATCH(S$3,'[1]salary allocation-v2'!$E$3:$J$3,0)),0)</f>
        <v>1397013.3</v>
      </c>
      <c r="T780" s="15">
        <f>-$K780*IFERROR(INDEX('[1]salary allocation-v2'!$E$6:$J$22,MATCH($H780,'[1]salary allocation-v2'!$D$6:$D$22,0),MATCH(T$3,'[1]salary allocation-v2'!$E$3:$J$3,0)),0)</f>
        <v>1397013.3</v>
      </c>
      <c r="U780" s="15">
        <f>-$K780*IFERROR(INDEX('[1]salary allocation-v2'!$E$6:$J$22,MATCH($H780,'[1]salary allocation-v2'!$D$6:$D$22,0),MATCH(U$3,'[1]salary allocation-v2'!$E$3:$J$3,0)),0)</f>
        <v>1397013.3</v>
      </c>
      <c r="V780" s="15">
        <f>-$K780*IFERROR(INDEX('[1]salary allocation-v2'!$E$6:$J$22,MATCH($H780,'[1]salary allocation-v2'!$D$6:$D$22,0),MATCH(V$3,'[1]salary allocation-v2'!$E$3:$J$3,0)),0)</f>
        <v>0</v>
      </c>
      <c r="W780" s="15">
        <f>-$K780*IFERROR(INDEX('[1]salary allocation-v2'!$E$6:$J$22,MATCH($H780,'[1]salary allocation-v2'!$D$6:$D$22,0),MATCH(W$3,'[1]salary allocation-v2'!$E$3:$J$3,0)),0)</f>
        <v>9779093.0999999996</v>
      </c>
      <c r="X780" s="15">
        <f>-$K780*IFERROR(INDEX('[1]salary allocation-v2'!$E$6:$J$22,MATCH($H780,'[1]salary allocation-v2'!$D$6:$D$22,0),MATCH(X$3,'[1]salary allocation-v2'!$E$3:$J$3,0)),0)</f>
        <v>0</v>
      </c>
      <c r="Y780" s="15">
        <f>-$K780*IFERROR(INDEX('[1]salary allocation-v2'!$E$6:$J$22,MATCH($H780,'[1]salary allocation-v2'!$D$6:$D$22,0),MATCH(Y$3,'[1]salary allocation-v2'!$E$3:$J$3,0)),0)</f>
        <v>0</v>
      </c>
      <c r="Z780" s="15">
        <f>-$K780*IFERROR(INDEX('[1]salary allocation-v2'!$E$6:$J$22,MATCH($H780,'[1]salary allocation-v2'!$D$6:$D$22,0),MATCH(Z$3,'[1]salary allocation-v2'!$E$3:$J$3,0)),0)</f>
        <v>0</v>
      </c>
      <c r="AA780" s="15">
        <f>-$K780*IFERROR(INDEX('[1]salary allocation-v2'!$E$6:$J$22,MATCH($H780,'[1]salary allocation-v2'!$D$6:$D$22,0),MATCH(AA$3,'[1]salary allocation-v2'!$E$3:$J$3,0)),0)</f>
        <v>0</v>
      </c>
      <c r="AB780" s="15">
        <f>-$K780*IFERROR(INDEX('[1]salary allocation-v2'!$E$6:$J$22,MATCH($H780,'[1]salary allocation-v2'!$D$6:$D$22,0),MATCH(AB$3,'[1]salary allocation-v2'!$E$3:$J$3,0)),0)</f>
        <v>0</v>
      </c>
      <c r="AC780" s="18">
        <f>-$K780*IFERROR(INDEX('[1]salary allocation-v2'!$E$6:$J$22,MATCH($H780,'[1]salary allocation-v2'!$D$6:$D$22,0),MATCH(AC$3,'[1]salary allocation-v2'!$E$3:$J$3,0)),0)</f>
        <v>0</v>
      </c>
      <c r="AD780" s="17"/>
      <c r="AE780" s="16"/>
      <c r="AF780" s="15">
        <f>-$K780</f>
        <v>13970133</v>
      </c>
      <c r="AG780" s="15"/>
      <c r="AH780" s="2">
        <f>K780+SUM(O780:AC780)</f>
        <v>0</v>
      </c>
      <c r="AI780" s="2">
        <f>K780+SUM(AF780:AG780)</f>
        <v>0</v>
      </c>
    </row>
    <row r="781" spans="1:35" x14ac:dyDescent="0.2">
      <c r="A781" s="11" t="s">
        <v>3</v>
      </c>
      <c r="B781" s="14">
        <v>45994</v>
      </c>
      <c r="H781" s="11" t="s">
        <v>49</v>
      </c>
      <c r="I781" s="11" t="s">
        <v>94</v>
      </c>
      <c r="K781" s="13">
        <v>-8879531</v>
      </c>
      <c r="L781" s="12">
        <v>122025</v>
      </c>
      <c r="M781" s="11" t="str">
        <f>LEFT(I781,(LEN(LEFT(I781,FIND(";",I781)))-8))</f>
        <v>VNMOET</v>
      </c>
      <c r="N781" s="11"/>
      <c r="O781" s="15">
        <f>-$K781*IFERROR(INDEX('[1]salary allocation-v2'!$E$6:$J$22,MATCH($H781,'[1]salary allocation-v2'!$D$6:$D$22,0),MATCH(O$3,'[1]salary allocation-v2'!$E$3:$J$3,0)),0)</f>
        <v>0</v>
      </c>
      <c r="P781" s="15">
        <f>-$K781*IFERROR(INDEX('[1]salary allocation-v2'!$E$6:$J$22,MATCH($H781,'[1]salary allocation-v2'!$D$6:$D$22,0),MATCH(P$3,'[1]salary allocation-v2'!$E$3:$J$3,0)),0)</f>
        <v>0</v>
      </c>
      <c r="Q781" s="15">
        <f>-$K781*IFERROR(INDEX('[1]salary allocation-v2'!$E$6:$J$22,MATCH($H781,'[1]salary allocation-v2'!$D$6:$D$22,0),MATCH(Q$3,'[1]salary allocation-v2'!$E$3:$J$3,0)),0)</f>
        <v>0</v>
      </c>
      <c r="R781" s="15">
        <f>-$K781*IFERROR(INDEX('[1]salary allocation-v2'!$E$6:$J$22,MATCH($H781,'[1]salary allocation-v2'!$D$6:$D$22,0),MATCH(R$3,'[1]salary allocation-v2'!$E$3:$J$3,0)),0)</f>
        <v>0</v>
      </c>
      <c r="S781" s="15">
        <f>-$K781*IFERROR(INDEX('[1]salary allocation-v2'!$E$6:$J$22,MATCH($H781,'[1]salary allocation-v2'!$D$6:$D$22,0),MATCH(S$3,'[1]salary allocation-v2'!$E$3:$J$3,0)),0)</f>
        <v>1775906.2000000002</v>
      </c>
      <c r="T781" s="15">
        <f>-$K781*IFERROR(INDEX('[1]salary allocation-v2'!$E$6:$J$22,MATCH($H781,'[1]salary allocation-v2'!$D$6:$D$22,0),MATCH(T$3,'[1]salary allocation-v2'!$E$3:$J$3,0)),0)</f>
        <v>1775906.2000000002</v>
      </c>
      <c r="U781" s="15">
        <f>-$K781*IFERROR(INDEX('[1]salary allocation-v2'!$E$6:$J$22,MATCH($H781,'[1]salary allocation-v2'!$D$6:$D$22,0),MATCH(U$3,'[1]salary allocation-v2'!$E$3:$J$3,0)),0)</f>
        <v>1775906.2000000002</v>
      </c>
      <c r="V781" s="15">
        <f>-$K781*IFERROR(INDEX('[1]salary allocation-v2'!$E$6:$J$22,MATCH($H781,'[1]salary allocation-v2'!$D$6:$D$22,0),MATCH(V$3,'[1]salary allocation-v2'!$E$3:$J$3,0)),0)</f>
        <v>0</v>
      </c>
      <c r="W781" s="15">
        <f>-$K781*IFERROR(INDEX('[1]salary allocation-v2'!$E$6:$J$22,MATCH($H781,'[1]salary allocation-v2'!$D$6:$D$22,0),MATCH(W$3,'[1]salary allocation-v2'!$E$3:$J$3,0)),0)</f>
        <v>3551812.4000000004</v>
      </c>
      <c r="X781" s="15">
        <f>-$K781*IFERROR(INDEX('[1]salary allocation-v2'!$E$6:$J$22,MATCH($H781,'[1]salary allocation-v2'!$D$6:$D$22,0),MATCH(X$3,'[1]salary allocation-v2'!$E$3:$J$3,0)),0)</f>
        <v>0</v>
      </c>
      <c r="Y781" s="15">
        <f>-$K781*IFERROR(INDEX('[1]salary allocation-v2'!$E$6:$J$22,MATCH($H781,'[1]salary allocation-v2'!$D$6:$D$22,0),MATCH(Y$3,'[1]salary allocation-v2'!$E$3:$J$3,0)),0)</f>
        <v>0</v>
      </c>
      <c r="Z781" s="15">
        <f>-$K781*IFERROR(INDEX('[1]salary allocation-v2'!$E$6:$J$22,MATCH($H781,'[1]salary allocation-v2'!$D$6:$D$22,0),MATCH(Z$3,'[1]salary allocation-v2'!$E$3:$J$3,0)),0)</f>
        <v>0</v>
      </c>
      <c r="AA781" s="15">
        <f>-$K781*IFERROR(INDEX('[1]salary allocation-v2'!$E$6:$J$22,MATCH($H781,'[1]salary allocation-v2'!$D$6:$D$22,0),MATCH(AA$3,'[1]salary allocation-v2'!$E$3:$J$3,0)),0)</f>
        <v>0</v>
      </c>
      <c r="AB781" s="15">
        <f>-$K781*IFERROR(INDEX('[1]salary allocation-v2'!$E$6:$J$22,MATCH($H781,'[1]salary allocation-v2'!$D$6:$D$22,0),MATCH(AB$3,'[1]salary allocation-v2'!$E$3:$J$3,0)),0)</f>
        <v>0</v>
      </c>
      <c r="AC781" s="18">
        <f>-$K781*IFERROR(INDEX('[1]salary allocation-v2'!$E$6:$J$22,MATCH($H781,'[1]salary allocation-v2'!$D$6:$D$22,0),MATCH(AC$3,'[1]salary allocation-v2'!$E$3:$J$3,0)),0)</f>
        <v>0</v>
      </c>
      <c r="AD781" s="17"/>
      <c r="AE781" s="16"/>
      <c r="AF781" s="15"/>
      <c r="AG781" s="15">
        <f>-K781</f>
        <v>8879531</v>
      </c>
      <c r="AH781" s="2">
        <f>K781+SUM(O781:AC781)</f>
        <v>0</v>
      </c>
      <c r="AI781" s="2">
        <f>K781+SUM(AF781:AG781)</f>
        <v>0</v>
      </c>
    </row>
    <row r="782" spans="1:35" x14ac:dyDescent="0.2">
      <c r="A782" s="11" t="s">
        <v>3</v>
      </c>
      <c r="B782" s="14">
        <v>45994</v>
      </c>
      <c r="H782" s="11" t="s">
        <v>47</v>
      </c>
      <c r="I782" s="11" t="s">
        <v>93</v>
      </c>
      <c r="K782" s="13">
        <v>-15316796</v>
      </c>
      <c r="L782" s="12">
        <v>122025</v>
      </c>
      <c r="M782" s="11" t="str">
        <f>LEFT(I782,(LEN(LEFT(I782,FIND(";",I782)))-8))</f>
        <v>VNHBC</v>
      </c>
      <c r="N782" s="11"/>
      <c r="O782" s="15">
        <f>-$K782*IFERROR(INDEX('[1]salary allocation-v2'!$E$6:$J$22,MATCH($H782,'[1]salary allocation-v2'!$D$6:$D$22,0),MATCH(O$3,'[1]salary allocation-v2'!$E$3:$J$3,0)),0)</f>
        <v>0</v>
      </c>
      <c r="P782" s="15">
        <f>-$K782*IFERROR(INDEX('[1]salary allocation-v2'!$E$6:$J$22,MATCH($H782,'[1]salary allocation-v2'!$D$6:$D$22,0),MATCH(P$3,'[1]salary allocation-v2'!$E$3:$J$3,0)),0)</f>
        <v>0</v>
      </c>
      <c r="Q782" s="15">
        <f>-$K782*IFERROR(INDEX('[1]salary allocation-v2'!$E$6:$J$22,MATCH($H782,'[1]salary allocation-v2'!$D$6:$D$22,0),MATCH(Q$3,'[1]salary allocation-v2'!$E$3:$J$3,0)),0)</f>
        <v>0</v>
      </c>
      <c r="R782" s="15">
        <f>-$K782*IFERROR(INDEX('[1]salary allocation-v2'!$E$6:$J$22,MATCH($H782,'[1]salary allocation-v2'!$D$6:$D$22,0),MATCH(R$3,'[1]salary allocation-v2'!$E$3:$J$3,0)),0)</f>
        <v>0</v>
      </c>
      <c r="S782" s="15">
        <f>-$K782*IFERROR(INDEX('[1]salary allocation-v2'!$E$6:$J$22,MATCH($H782,'[1]salary allocation-v2'!$D$6:$D$22,0),MATCH(S$3,'[1]salary allocation-v2'!$E$3:$J$3,0)),0)</f>
        <v>3063359.2</v>
      </c>
      <c r="T782" s="15">
        <f>-$K782*IFERROR(INDEX('[1]salary allocation-v2'!$E$6:$J$22,MATCH($H782,'[1]salary allocation-v2'!$D$6:$D$22,0),MATCH(T$3,'[1]salary allocation-v2'!$E$3:$J$3,0)),0)</f>
        <v>3063359.2</v>
      </c>
      <c r="U782" s="15">
        <f>-$K782*IFERROR(INDEX('[1]salary allocation-v2'!$E$6:$J$22,MATCH($H782,'[1]salary allocation-v2'!$D$6:$D$22,0),MATCH(U$3,'[1]salary allocation-v2'!$E$3:$J$3,0)),0)</f>
        <v>3063359.2</v>
      </c>
      <c r="V782" s="15">
        <f>-$K782*IFERROR(INDEX('[1]salary allocation-v2'!$E$6:$J$22,MATCH($H782,'[1]salary allocation-v2'!$D$6:$D$22,0),MATCH(V$3,'[1]salary allocation-v2'!$E$3:$J$3,0)),0)</f>
        <v>0</v>
      </c>
      <c r="W782" s="15">
        <f>-$K782*IFERROR(INDEX('[1]salary allocation-v2'!$E$6:$J$22,MATCH($H782,'[1]salary allocation-v2'!$D$6:$D$22,0),MATCH(W$3,'[1]salary allocation-v2'!$E$3:$J$3,0)),0)</f>
        <v>6126718.4000000004</v>
      </c>
      <c r="X782" s="15">
        <f>-$K782*IFERROR(INDEX('[1]salary allocation-v2'!$E$6:$J$22,MATCH($H782,'[1]salary allocation-v2'!$D$6:$D$22,0),MATCH(X$3,'[1]salary allocation-v2'!$E$3:$J$3,0)),0)</f>
        <v>0</v>
      </c>
      <c r="Y782" s="15">
        <f>-$K782*IFERROR(INDEX('[1]salary allocation-v2'!$E$6:$J$22,MATCH($H782,'[1]salary allocation-v2'!$D$6:$D$22,0),MATCH(Y$3,'[1]salary allocation-v2'!$E$3:$J$3,0)),0)</f>
        <v>0</v>
      </c>
      <c r="Z782" s="15">
        <f>-$K782*IFERROR(INDEX('[1]salary allocation-v2'!$E$6:$J$22,MATCH($H782,'[1]salary allocation-v2'!$D$6:$D$22,0),MATCH(Z$3,'[1]salary allocation-v2'!$E$3:$J$3,0)),0)</f>
        <v>0</v>
      </c>
      <c r="AA782" s="15">
        <f>-$K782*IFERROR(INDEX('[1]salary allocation-v2'!$E$6:$J$22,MATCH($H782,'[1]salary allocation-v2'!$D$6:$D$22,0),MATCH(AA$3,'[1]salary allocation-v2'!$E$3:$J$3,0)),0)</f>
        <v>0</v>
      </c>
      <c r="AB782" s="15">
        <f>-$K782*IFERROR(INDEX('[1]salary allocation-v2'!$E$6:$J$22,MATCH($H782,'[1]salary allocation-v2'!$D$6:$D$22,0),MATCH(AB$3,'[1]salary allocation-v2'!$E$3:$J$3,0)),0)</f>
        <v>0</v>
      </c>
      <c r="AC782" s="18">
        <f>-$K782*IFERROR(INDEX('[1]salary allocation-v2'!$E$6:$J$22,MATCH($H782,'[1]salary allocation-v2'!$D$6:$D$22,0),MATCH(AC$3,'[1]salary allocation-v2'!$E$3:$J$3,0)),0)</f>
        <v>0</v>
      </c>
      <c r="AD782" s="17"/>
      <c r="AE782" s="16"/>
      <c r="AF782" s="15">
        <f>-$K782</f>
        <v>15316796</v>
      </c>
      <c r="AG782" s="15"/>
      <c r="AH782" s="2">
        <f>K782+SUM(O782:AC782)</f>
        <v>0</v>
      </c>
      <c r="AI782" s="2">
        <f>K782+SUM(AF782:AG782)</f>
        <v>0</v>
      </c>
    </row>
    <row r="783" spans="1:35" x14ac:dyDescent="0.2">
      <c r="A783" s="11" t="s">
        <v>3</v>
      </c>
      <c r="B783" s="14">
        <v>45994</v>
      </c>
      <c r="H783" s="11" t="s">
        <v>45</v>
      </c>
      <c r="I783" s="11" t="s">
        <v>92</v>
      </c>
      <c r="K783" s="13">
        <v>-6400558</v>
      </c>
      <c r="L783" s="12">
        <v>122025</v>
      </c>
      <c r="M783" s="11" t="str">
        <f>LEFT(I783,(LEN(LEFT(I783,FIND(";",I783)))-9))</f>
        <v>VNHBC</v>
      </c>
      <c r="N783" s="11"/>
      <c r="O783" s="15">
        <f>-$K783*IFERROR(INDEX('[1]salary allocation-v2'!$E$6:$J$22,MATCH($H783,'[1]salary allocation-v2'!$D$6:$D$22,0),MATCH(O$3,'[1]salary allocation-v2'!$E$3:$J$3,0)),0)</f>
        <v>0</v>
      </c>
      <c r="P783" s="15">
        <f>-$K783*IFERROR(INDEX('[1]salary allocation-v2'!$E$6:$J$22,MATCH($H783,'[1]salary allocation-v2'!$D$6:$D$22,0),MATCH(P$3,'[1]salary allocation-v2'!$E$3:$J$3,0)),0)</f>
        <v>0</v>
      </c>
      <c r="Q783" s="15">
        <f>-$K783*IFERROR(INDEX('[1]salary allocation-v2'!$E$6:$J$22,MATCH($H783,'[1]salary allocation-v2'!$D$6:$D$22,0),MATCH(Q$3,'[1]salary allocation-v2'!$E$3:$J$3,0)),0)</f>
        <v>0</v>
      </c>
      <c r="R783" s="15">
        <f>-$K783*IFERROR(INDEX('[1]salary allocation-v2'!$E$6:$J$22,MATCH($H783,'[1]salary allocation-v2'!$D$6:$D$22,0),MATCH(R$3,'[1]salary allocation-v2'!$E$3:$J$3,0)),0)</f>
        <v>0</v>
      </c>
      <c r="S783" s="15">
        <f>-$K783*IFERROR(INDEX('[1]salary allocation-v2'!$E$6:$J$22,MATCH($H783,'[1]salary allocation-v2'!$D$6:$D$22,0),MATCH(S$3,'[1]salary allocation-v2'!$E$3:$J$3,0)),0)</f>
        <v>1280111.6000000001</v>
      </c>
      <c r="T783" s="15">
        <f>-$K783*IFERROR(INDEX('[1]salary allocation-v2'!$E$6:$J$22,MATCH($H783,'[1]salary allocation-v2'!$D$6:$D$22,0),MATCH(T$3,'[1]salary allocation-v2'!$E$3:$J$3,0)),0)</f>
        <v>1280111.6000000001</v>
      </c>
      <c r="U783" s="15">
        <f>-$K783*IFERROR(INDEX('[1]salary allocation-v2'!$E$6:$J$22,MATCH($H783,'[1]salary allocation-v2'!$D$6:$D$22,0),MATCH(U$3,'[1]salary allocation-v2'!$E$3:$J$3,0)),0)</f>
        <v>1280111.6000000001</v>
      </c>
      <c r="V783" s="15">
        <f>-$K783*IFERROR(INDEX('[1]salary allocation-v2'!$E$6:$J$22,MATCH($H783,'[1]salary allocation-v2'!$D$6:$D$22,0),MATCH(V$3,'[1]salary allocation-v2'!$E$3:$J$3,0)),0)</f>
        <v>0</v>
      </c>
      <c r="W783" s="15">
        <f>-$K783*IFERROR(INDEX('[1]salary allocation-v2'!$E$6:$J$22,MATCH($H783,'[1]salary allocation-v2'!$D$6:$D$22,0),MATCH(W$3,'[1]salary allocation-v2'!$E$3:$J$3,0)),0)</f>
        <v>2560223.2000000002</v>
      </c>
      <c r="X783" s="15">
        <f>-$K783*IFERROR(INDEX('[1]salary allocation-v2'!$E$6:$J$22,MATCH($H783,'[1]salary allocation-v2'!$D$6:$D$22,0),MATCH(X$3,'[1]salary allocation-v2'!$E$3:$J$3,0)),0)</f>
        <v>0</v>
      </c>
      <c r="Y783" s="15">
        <f>-$K783*IFERROR(INDEX('[1]salary allocation-v2'!$E$6:$J$22,MATCH($H783,'[1]salary allocation-v2'!$D$6:$D$22,0),MATCH(Y$3,'[1]salary allocation-v2'!$E$3:$J$3,0)),0)</f>
        <v>0</v>
      </c>
      <c r="Z783" s="15">
        <f>-$K783*IFERROR(INDEX('[1]salary allocation-v2'!$E$6:$J$22,MATCH($H783,'[1]salary allocation-v2'!$D$6:$D$22,0),MATCH(Z$3,'[1]salary allocation-v2'!$E$3:$J$3,0)),0)</f>
        <v>0</v>
      </c>
      <c r="AA783" s="15">
        <f>-$K783*IFERROR(INDEX('[1]salary allocation-v2'!$E$6:$J$22,MATCH($H783,'[1]salary allocation-v2'!$D$6:$D$22,0),MATCH(AA$3,'[1]salary allocation-v2'!$E$3:$J$3,0)),0)</f>
        <v>0</v>
      </c>
      <c r="AB783" s="15">
        <f>-$K783*IFERROR(INDEX('[1]salary allocation-v2'!$E$6:$J$22,MATCH($H783,'[1]salary allocation-v2'!$D$6:$D$22,0),MATCH(AB$3,'[1]salary allocation-v2'!$E$3:$J$3,0)),0)</f>
        <v>0</v>
      </c>
      <c r="AC783" s="18">
        <f>-$K783*IFERROR(INDEX('[1]salary allocation-v2'!$E$6:$J$22,MATCH($H783,'[1]salary allocation-v2'!$D$6:$D$22,0),MATCH(AC$3,'[1]salary allocation-v2'!$E$3:$J$3,0)),0)</f>
        <v>0</v>
      </c>
      <c r="AD783" s="17"/>
      <c r="AE783" s="16"/>
      <c r="AF783" s="15"/>
      <c r="AG783" s="15">
        <f>-K783</f>
        <v>6400558</v>
      </c>
      <c r="AH783" s="2">
        <f>K783+SUM(O783:AC783)</f>
        <v>0</v>
      </c>
      <c r="AI783" s="2">
        <f>K783+SUM(AF783:AG783)</f>
        <v>0</v>
      </c>
    </row>
    <row r="784" spans="1:35" x14ac:dyDescent="0.2">
      <c r="A784" s="11" t="s">
        <v>3</v>
      </c>
      <c r="B784" s="14">
        <v>45994</v>
      </c>
      <c r="H784" s="11" t="s">
        <v>43</v>
      </c>
      <c r="I784" s="11" t="s">
        <v>91</v>
      </c>
      <c r="K784" s="13">
        <v>-15117814</v>
      </c>
      <c r="L784" s="12">
        <v>122025</v>
      </c>
      <c r="M784" s="11" t="str">
        <f>LEFT(I784,(LEN(LEFT(I784,FIND(";",I784)))-8))</f>
        <v>VNMOET</v>
      </c>
      <c r="N784" s="11"/>
      <c r="O784" s="15">
        <f>-$K784*IFERROR(INDEX('[1]salary allocation-v2'!$E$6:$J$22,MATCH($H784,'[1]salary allocation-v2'!$D$6:$D$22,0),MATCH(O$3,'[1]salary allocation-v2'!$E$3:$J$3,0)),0)</f>
        <v>0</v>
      </c>
      <c r="P784" s="15">
        <f>-$K784*IFERROR(INDEX('[1]salary allocation-v2'!$E$6:$J$22,MATCH($H784,'[1]salary allocation-v2'!$D$6:$D$22,0),MATCH(P$3,'[1]salary allocation-v2'!$E$3:$J$3,0)),0)</f>
        <v>0</v>
      </c>
      <c r="Q784" s="15">
        <f>-$K784*IFERROR(INDEX('[1]salary allocation-v2'!$E$6:$J$22,MATCH($H784,'[1]salary allocation-v2'!$D$6:$D$22,0),MATCH(Q$3,'[1]salary allocation-v2'!$E$3:$J$3,0)),0)</f>
        <v>0</v>
      </c>
      <c r="R784" s="15">
        <f>-$K784*IFERROR(INDEX('[1]salary allocation-v2'!$E$6:$J$22,MATCH($H784,'[1]salary allocation-v2'!$D$6:$D$22,0),MATCH(R$3,'[1]salary allocation-v2'!$E$3:$J$3,0)),0)</f>
        <v>0</v>
      </c>
      <c r="S784" s="15">
        <f>-$K784*IFERROR(INDEX('[1]salary allocation-v2'!$E$6:$J$22,MATCH($H784,'[1]salary allocation-v2'!$D$6:$D$22,0),MATCH(S$3,'[1]salary allocation-v2'!$E$3:$J$3,0)),0)</f>
        <v>3023562.8000000003</v>
      </c>
      <c r="T784" s="15">
        <f>-$K784*IFERROR(INDEX('[1]salary allocation-v2'!$E$6:$J$22,MATCH($H784,'[1]salary allocation-v2'!$D$6:$D$22,0),MATCH(T$3,'[1]salary allocation-v2'!$E$3:$J$3,0)),0)</f>
        <v>3023562.8000000003</v>
      </c>
      <c r="U784" s="15">
        <f>-$K784*IFERROR(INDEX('[1]salary allocation-v2'!$E$6:$J$22,MATCH($H784,'[1]salary allocation-v2'!$D$6:$D$22,0),MATCH(U$3,'[1]salary allocation-v2'!$E$3:$J$3,0)),0)</f>
        <v>3023562.8000000003</v>
      </c>
      <c r="V784" s="15">
        <f>-$K784*IFERROR(INDEX('[1]salary allocation-v2'!$E$6:$J$22,MATCH($H784,'[1]salary allocation-v2'!$D$6:$D$22,0),MATCH(V$3,'[1]salary allocation-v2'!$E$3:$J$3,0)),0)</f>
        <v>0</v>
      </c>
      <c r="W784" s="15">
        <f>-$K784*IFERROR(INDEX('[1]salary allocation-v2'!$E$6:$J$22,MATCH($H784,'[1]salary allocation-v2'!$D$6:$D$22,0),MATCH(W$3,'[1]salary allocation-v2'!$E$3:$J$3,0)),0)</f>
        <v>6047125.6000000006</v>
      </c>
      <c r="X784" s="15">
        <f>-$K784*IFERROR(INDEX('[1]salary allocation-v2'!$E$6:$J$22,MATCH($H784,'[1]salary allocation-v2'!$D$6:$D$22,0),MATCH(X$3,'[1]salary allocation-v2'!$E$3:$J$3,0)),0)</f>
        <v>0</v>
      </c>
      <c r="Y784" s="15">
        <f>-$K784*IFERROR(INDEX('[1]salary allocation-v2'!$E$6:$J$22,MATCH($H784,'[1]salary allocation-v2'!$D$6:$D$22,0),MATCH(Y$3,'[1]salary allocation-v2'!$E$3:$J$3,0)),0)</f>
        <v>0</v>
      </c>
      <c r="Z784" s="15">
        <f>-$K784*IFERROR(INDEX('[1]salary allocation-v2'!$E$6:$J$22,MATCH($H784,'[1]salary allocation-v2'!$D$6:$D$22,0),MATCH(Z$3,'[1]salary allocation-v2'!$E$3:$J$3,0)),0)</f>
        <v>0</v>
      </c>
      <c r="AA784" s="15">
        <f>-$K784*IFERROR(INDEX('[1]salary allocation-v2'!$E$6:$J$22,MATCH($H784,'[1]salary allocation-v2'!$D$6:$D$22,0),MATCH(AA$3,'[1]salary allocation-v2'!$E$3:$J$3,0)),0)</f>
        <v>0</v>
      </c>
      <c r="AB784" s="15">
        <f>-$K784*IFERROR(INDEX('[1]salary allocation-v2'!$E$6:$J$22,MATCH($H784,'[1]salary allocation-v2'!$D$6:$D$22,0),MATCH(AB$3,'[1]salary allocation-v2'!$E$3:$J$3,0)),0)</f>
        <v>0</v>
      </c>
      <c r="AC784" s="18">
        <f>-$K784*IFERROR(INDEX('[1]salary allocation-v2'!$E$6:$J$22,MATCH($H784,'[1]salary allocation-v2'!$D$6:$D$22,0),MATCH(AC$3,'[1]salary allocation-v2'!$E$3:$J$3,0)),0)</f>
        <v>0</v>
      </c>
      <c r="AD784" s="17"/>
      <c r="AE784" s="16"/>
      <c r="AF784" s="15">
        <f>-$K784</f>
        <v>15117814</v>
      </c>
      <c r="AG784" s="15"/>
      <c r="AH784" s="2">
        <f>K784+SUM(O784:AC784)</f>
        <v>0</v>
      </c>
      <c r="AI784" s="2">
        <f>K784+SUM(AF784:AG784)</f>
        <v>0</v>
      </c>
    </row>
    <row r="785" spans="1:35" x14ac:dyDescent="0.2">
      <c r="A785" s="11" t="s">
        <v>3</v>
      </c>
      <c r="B785" s="14">
        <v>45994</v>
      </c>
      <c r="H785" s="11" t="s">
        <v>41</v>
      </c>
      <c r="I785" s="11" t="s">
        <v>90</v>
      </c>
      <c r="K785" s="13">
        <v>-15063924</v>
      </c>
      <c r="L785" s="12">
        <v>122025</v>
      </c>
      <c r="M785" s="11" t="str">
        <f>LEFT(I785,(LEN(LEFT(I785,FIND(";",I785)))-8))</f>
        <v>VNMOET</v>
      </c>
      <c r="N785" s="11"/>
      <c r="O785" s="15">
        <f>-$K785*IFERROR(INDEX('[1]salary allocation-v2'!$E$6:$J$22,MATCH($H785,'[1]salary allocation-v2'!$D$6:$D$22,0),MATCH(O$3,'[1]salary allocation-v2'!$E$3:$J$3,0)),0)</f>
        <v>0</v>
      </c>
      <c r="P785" s="15">
        <f>-$K785*IFERROR(INDEX('[1]salary allocation-v2'!$E$6:$J$22,MATCH($H785,'[1]salary allocation-v2'!$D$6:$D$22,0),MATCH(P$3,'[1]salary allocation-v2'!$E$3:$J$3,0)),0)</f>
        <v>0</v>
      </c>
      <c r="Q785" s="15">
        <f>-$K785*IFERROR(INDEX('[1]salary allocation-v2'!$E$6:$J$22,MATCH($H785,'[1]salary allocation-v2'!$D$6:$D$22,0),MATCH(Q$3,'[1]salary allocation-v2'!$E$3:$J$3,0)),0)</f>
        <v>0</v>
      </c>
      <c r="R785" s="15">
        <f>-$K785*IFERROR(INDEX('[1]salary allocation-v2'!$E$6:$J$22,MATCH($H785,'[1]salary allocation-v2'!$D$6:$D$22,0),MATCH(R$3,'[1]salary allocation-v2'!$E$3:$J$3,0)),0)</f>
        <v>0</v>
      </c>
      <c r="S785" s="15">
        <f>-$K785*IFERROR(INDEX('[1]salary allocation-v2'!$E$6:$J$22,MATCH($H785,'[1]salary allocation-v2'!$D$6:$D$22,0),MATCH(S$3,'[1]salary allocation-v2'!$E$3:$J$3,0)),0)</f>
        <v>0</v>
      </c>
      <c r="T785" s="15">
        <f>-$K785*IFERROR(INDEX('[1]salary allocation-v2'!$E$6:$J$22,MATCH($H785,'[1]salary allocation-v2'!$D$6:$D$22,0),MATCH(T$3,'[1]salary allocation-v2'!$E$3:$J$3,0)),0)</f>
        <v>0</v>
      </c>
      <c r="U785" s="15">
        <f>-$K785*IFERROR(INDEX('[1]salary allocation-v2'!$E$6:$J$22,MATCH($H785,'[1]salary allocation-v2'!$D$6:$D$22,0),MATCH(U$3,'[1]salary allocation-v2'!$E$3:$J$3,0)),0)</f>
        <v>0</v>
      </c>
      <c r="V785" s="15">
        <f>-$K785*IFERROR(INDEX('[1]salary allocation-v2'!$E$6:$J$22,MATCH($H785,'[1]salary allocation-v2'!$D$6:$D$22,0),MATCH(V$3,'[1]salary allocation-v2'!$E$3:$J$3,0)),0)</f>
        <v>0</v>
      </c>
      <c r="W785" s="15">
        <f>-$K785*IFERROR(INDEX('[1]salary allocation-v2'!$E$6:$J$22,MATCH($H785,'[1]salary allocation-v2'!$D$6:$D$22,0),MATCH(W$3,'[1]salary allocation-v2'!$E$3:$J$3,0)),0)</f>
        <v>15063924</v>
      </c>
      <c r="X785" s="15">
        <f>-$K785*IFERROR(INDEX('[1]salary allocation-v2'!$E$6:$J$22,MATCH($H785,'[1]salary allocation-v2'!$D$6:$D$22,0),MATCH(X$3,'[1]salary allocation-v2'!$E$3:$J$3,0)),0)</f>
        <v>0</v>
      </c>
      <c r="Y785" s="15">
        <f>-$K785*IFERROR(INDEX('[1]salary allocation-v2'!$E$6:$J$22,MATCH($H785,'[1]salary allocation-v2'!$D$6:$D$22,0),MATCH(Y$3,'[1]salary allocation-v2'!$E$3:$J$3,0)),0)</f>
        <v>0</v>
      </c>
      <c r="Z785" s="15">
        <f>-$K785*IFERROR(INDEX('[1]salary allocation-v2'!$E$6:$J$22,MATCH($H785,'[1]salary allocation-v2'!$D$6:$D$22,0),MATCH(Z$3,'[1]salary allocation-v2'!$E$3:$J$3,0)),0)</f>
        <v>0</v>
      </c>
      <c r="AA785" s="15">
        <f>-$K785*IFERROR(INDEX('[1]salary allocation-v2'!$E$6:$J$22,MATCH($H785,'[1]salary allocation-v2'!$D$6:$D$22,0),MATCH(AA$3,'[1]salary allocation-v2'!$E$3:$J$3,0)),0)</f>
        <v>0</v>
      </c>
      <c r="AB785" s="15">
        <f>-$K785*IFERROR(INDEX('[1]salary allocation-v2'!$E$6:$J$22,MATCH($H785,'[1]salary allocation-v2'!$D$6:$D$22,0),MATCH(AB$3,'[1]salary allocation-v2'!$E$3:$J$3,0)),0)</f>
        <v>0</v>
      </c>
      <c r="AC785" s="18">
        <f>-$K785*IFERROR(INDEX('[1]salary allocation-v2'!$E$6:$J$22,MATCH($H785,'[1]salary allocation-v2'!$D$6:$D$22,0),MATCH(AC$3,'[1]salary allocation-v2'!$E$3:$J$3,0)),0)</f>
        <v>0</v>
      </c>
      <c r="AD785" s="17"/>
      <c r="AE785" s="16"/>
      <c r="AF785" s="15">
        <f>-$K785</f>
        <v>15063924</v>
      </c>
      <c r="AG785" s="15"/>
      <c r="AH785" s="2">
        <f>K785+SUM(O785:AC785)</f>
        <v>0</v>
      </c>
      <c r="AI785" s="2">
        <f>K785+SUM(AF785:AG785)</f>
        <v>0</v>
      </c>
    </row>
    <row r="786" spans="1:35" x14ac:dyDescent="0.2">
      <c r="A786" s="11" t="s">
        <v>3</v>
      </c>
      <c r="B786" s="14">
        <v>45994</v>
      </c>
      <c r="H786" s="11" t="s">
        <v>39</v>
      </c>
      <c r="I786" s="11" t="s">
        <v>89</v>
      </c>
      <c r="K786" s="13">
        <v>-15117814</v>
      </c>
      <c r="L786" s="12">
        <v>122025</v>
      </c>
      <c r="M786" s="11" t="str">
        <f>LEFT(I786,(LEN(LEFT(I786,FIND(";",I786)))-8))</f>
        <v>VNMOET</v>
      </c>
      <c r="N786" s="11"/>
      <c r="O786" s="15">
        <f>-$K786*IFERROR(INDEX('[1]salary allocation-v2'!$E$6:$J$22,MATCH($H786,'[1]salary allocation-v2'!$D$6:$D$22,0),MATCH(O$3,'[1]salary allocation-v2'!$E$3:$J$3,0)),0)</f>
        <v>0</v>
      </c>
      <c r="P786" s="15">
        <f>-$K786*IFERROR(INDEX('[1]salary allocation-v2'!$E$6:$J$22,MATCH($H786,'[1]salary allocation-v2'!$D$6:$D$22,0),MATCH(P$3,'[1]salary allocation-v2'!$E$3:$J$3,0)),0)</f>
        <v>0</v>
      </c>
      <c r="Q786" s="15">
        <f>-$K786*IFERROR(INDEX('[1]salary allocation-v2'!$E$6:$J$22,MATCH($H786,'[1]salary allocation-v2'!$D$6:$D$22,0),MATCH(Q$3,'[1]salary allocation-v2'!$E$3:$J$3,0)),0)</f>
        <v>0</v>
      </c>
      <c r="R786" s="15">
        <f>-$K786*IFERROR(INDEX('[1]salary allocation-v2'!$E$6:$J$22,MATCH($H786,'[1]salary allocation-v2'!$D$6:$D$22,0),MATCH(R$3,'[1]salary allocation-v2'!$E$3:$J$3,0)),0)</f>
        <v>0</v>
      </c>
      <c r="S786" s="15">
        <f>-$K786*IFERROR(INDEX('[1]salary allocation-v2'!$E$6:$J$22,MATCH($H786,'[1]salary allocation-v2'!$D$6:$D$22,0),MATCH(S$3,'[1]salary allocation-v2'!$E$3:$J$3,0)),0)</f>
        <v>0</v>
      </c>
      <c r="T786" s="15">
        <f>-$K786*IFERROR(INDEX('[1]salary allocation-v2'!$E$6:$J$22,MATCH($H786,'[1]salary allocation-v2'!$D$6:$D$22,0),MATCH(T$3,'[1]salary allocation-v2'!$E$3:$J$3,0)),0)</f>
        <v>0</v>
      </c>
      <c r="U786" s="15">
        <f>-$K786*IFERROR(INDEX('[1]salary allocation-v2'!$E$6:$J$22,MATCH($H786,'[1]salary allocation-v2'!$D$6:$D$22,0),MATCH(U$3,'[1]salary allocation-v2'!$E$3:$J$3,0)),0)</f>
        <v>0</v>
      </c>
      <c r="V786" s="15">
        <f>-$K786*IFERROR(INDEX('[1]salary allocation-v2'!$E$6:$J$22,MATCH($H786,'[1]salary allocation-v2'!$D$6:$D$22,0),MATCH(V$3,'[1]salary allocation-v2'!$E$3:$J$3,0)),0)</f>
        <v>0</v>
      </c>
      <c r="W786" s="15">
        <f>-$K786*IFERROR(INDEX('[1]salary allocation-v2'!$E$6:$J$22,MATCH($H786,'[1]salary allocation-v2'!$D$6:$D$22,0),MATCH(W$3,'[1]salary allocation-v2'!$E$3:$J$3,0)),0)</f>
        <v>15117814</v>
      </c>
      <c r="X786" s="15">
        <f>-$K786*IFERROR(INDEX('[1]salary allocation-v2'!$E$6:$J$22,MATCH($H786,'[1]salary allocation-v2'!$D$6:$D$22,0),MATCH(X$3,'[1]salary allocation-v2'!$E$3:$J$3,0)),0)</f>
        <v>0</v>
      </c>
      <c r="Y786" s="15">
        <f>-$K786*IFERROR(INDEX('[1]salary allocation-v2'!$E$6:$J$22,MATCH($H786,'[1]salary allocation-v2'!$D$6:$D$22,0),MATCH(Y$3,'[1]salary allocation-v2'!$E$3:$J$3,0)),0)</f>
        <v>0</v>
      </c>
      <c r="Z786" s="15">
        <f>-$K786*IFERROR(INDEX('[1]salary allocation-v2'!$E$6:$J$22,MATCH($H786,'[1]salary allocation-v2'!$D$6:$D$22,0),MATCH(Z$3,'[1]salary allocation-v2'!$E$3:$J$3,0)),0)</f>
        <v>0</v>
      </c>
      <c r="AA786" s="15">
        <f>-$K786*IFERROR(INDEX('[1]salary allocation-v2'!$E$6:$J$22,MATCH($H786,'[1]salary allocation-v2'!$D$6:$D$22,0),MATCH(AA$3,'[1]salary allocation-v2'!$E$3:$J$3,0)),0)</f>
        <v>0</v>
      </c>
      <c r="AB786" s="15">
        <f>-$K786*IFERROR(INDEX('[1]salary allocation-v2'!$E$6:$J$22,MATCH($H786,'[1]salary allocation-v2'!$D$6:$D$22,0),MATCH(AB$3,'[1]salary allocation-v2'!$E$3:$J$3,0)),0)</f>
        <v>0</v>
      </c>
      <c r="AC786" s="18">
        <f>-$K786*IFERROR(INDEX('[1]salary allocation-v2'!$E$6:$J$22,MATCH($H786,'[1]salary allocation-v2'!$D$6:$D$22,0),MATCH(AC$3,'[1]salary allocation-v2'!$E$3:$J$3,0)),0)</f>
        <v>0</v>
      </c>
      <c r="AD786" s="17"/>
      <c r="AE786" s="16"/>
      <c r="AF786" s="15">
        <f>-$K786</f>
        <v>15117814</v>
      </c>
      <c r="AG786" s="15"/>
      <c r="AH786" s="2">
        <f>K786+SUM(O786:AC786)</f>
        <v>0</v>
      </c>
      <c r="AI786" s="2">
        <f>K786+SUM(AF786:AG786)</f>
        <v>0</v>
      </c>
    </row>
    <row r="787" spans="1:35" x14ac:dyDescent="0.2">
      <c r="A787" s="11" t="s">
        <v>3</v>
      </c>
      <c r="B787" s="14">
        <v>45994</v>
      </c>
      <c r="H787" s="11" t="s">
        <v>37</v>
      </c>
      <c r="I787" s="11" t="s">
        <v>88</v>
      </c>
      <c r="K787" s="13">
        <v>-14094497</v>
      </c>
      <c r="L787" s="12">
        <v>122025</v>
      </c>
      <c r="M787" s="11" t="str">
        <f>LEFT(I787,(LEN(LEFT(I787,FIND(";",I787)))-8))</f>
        <v>VNOther</v>
      </c>
      <c r="N787" s="11"/>
      <c r="O787" s="15">
        <f>-$K787*IFERROR(INDEX('[1]salary allocation-v2'!$E$6:$J$22,MATCH($H787,'[1]salary allocation-v2'!$D$6:$D$22,0),MATCH(O$3,'[1]salary allocation-v2'!$E$3:$J$3,0)),0)</f>
        <v>0</v>
      </c>
      <c r="P787" s="15">
        <f>-$K787*IFERROR(INDEX('[1]salary allocation-v2'!$E$6:$J$22,MATCH($H787,'[1]salary allocation-v2'!$D$6:$D$22,0),MATCH(P$3,'[1]salary allocation-v2'!$E$3:$J$3,0)),0)</f>
        <v>0</v>
      </c>
      <c r="Q787" s="15">
        <f>-$K787*IFERROR(INDEX('[1]salary allocation-v2'!$E$6:$J$22,MATCH($H787,'[1]salary allocation-v2'!$D$6:$D$22,0),MATCH(Q$3,'[1]salary allocation-v2'!$E$3:$J$3,0)),0)</f>
        <v>0</v>
      </c>
      <c r="R787" s="15">
        <f>-$K787*IFERROR(INDEX('[1]salary allocation-v2'!$E$6:$J$22,MATCH($H787,'[1]salary allocation-v2'!$D$6:$D$22,0),MATCH(R$3,'[1]salary allocation-v2'!$E$3:$J$3,0)),0)</f>
        <v>0</v>
      </c>
      <c r="S787" s="15">
        <f>-$K787*IFERROR(INDEX('[1]salary allocation-v2'!$E$6:$J$22,MATCH($H787,'[1]salary allocation-v2'!$D$6:$D$22,0),MATCH(S$3,'[1]salary allocation-v2'!$E$3:$J$3,0)),0)</f>
        <v>2396064.4899999998</v>
      </c>
      <c r="T787" s="15">
        <f>-$K787*IFERROR(INDEX('[1]salary allocation-v2'!$E$6:$J$22,MATCH($H787,'[1]salary allocation-v2'!$D$6:$D$22,0),MATCH(T$3,'[1]salary allocation-v2'!$E$3:$J$3,0)),0)</f>
        <v>2396064.4899999998</v>
      </c>
      <c r="U787" s="15">
        <f>-$K787*IFERROR(INDEX('[1]salary allocation-v2'!$E$6:$J$22,MATCH($H787,'[1]salary allocation-v2'!$D$6:$D$22,0),MATCH(U$3,'[1]salary allocation-v2'!$E$3:$J$3,0)),0)</f>
        <v>2396064.4899999998</v>
      </c>
      <c r="V787" s="15">
        <f>-$K787*IFERROR(INDEX('[1]salary allocation-v2'!$E$6:$J$22,MATCH($H787,'[1]salary allocation-v2'!$D$6:$D$22,0),MATCH(V$3,'[1]salary allocation-v2'!$E$3:$J$3,0)),0)</f>
        <v>0</v>
      </c>
      <c r="W787" s="15">
        <f>-$K787*IFERROR(INDEX('[1]salary allocation-v2'!$E$6:$J$22,MATCH($H787,'[1]salary allocation-v2'!$D$6:$D$22,0),MATCH(W$3,'[1]salary allocation-v2'!$E$3:$J$3,0)),0)</f>
        <v>6906303.5300000003</v>
      </c>
      <c r="X787" s="15">
        <f>-$K787*IFERROR(INDEX('[1]salary allocation-v2'!$E$6:$J$22,MATCH($H787,'[1]salary allocation-v2'!$D$6:$D$22,0),MATCH(X$3,'[1]salary allocation-v2'!$E$3:$J$3,0)),0)</f>
        <v>0</v>
      </c>
      <c r="Y787" s="15">
        <f>-$K787*IFERROR(INDEX('[1]salary allocation-v2'!$E$6:$J$22,MATCH($H787,'[1]salary allocation-v2'!$D$6:$D$22,0),MATCH(Y$3,'[1]salary allocation-v2'!$E$3:$J$3,0)),0)</f>
        <v>0</v>
      </c>
      <c r="Z787" s="15">
        <f>-$K787*IFERROR(INDEX('[1]salary allocation-v2'!$E$6:$J$22,MATCH($H787,'[1]salary allocation-v2'!$D$6:$D$22,0),MATCH(Z$3,'[1]salary allocation-v2'!$E$3:$J$3,0)),0)</f>
        <v>0</v>
      </c>
      <c r="AA787" s="15">
        <f>-$K787*IFERROR(INDEX('[1]salary allocation-v2'!$E$6:$J$22,MATCH($H787,'[1]salary allocation-v2'!$D$6:$D$22,0),MATCH(AA$3,'[1]salary allocation-v2'!$E$3:$J$3,0)),0)</f>
        <v>0</v>
      </c>
      <c r="AB787" s="15">
        <f>-$K787*IFERROR(INDEX('[1]salary allocation-v2'!$E$6:$J$22,MATCH($H787,'[1]salary allocation-v2'!$D$6:$D$22,0),MATCH(AB$3,'[1]salary allocation-v2'!$E$3:$J$3,0)),0)</f>
        <v>0</v>
      </c>
      <c r="AC787" s="18">
        <f>-$K787*IFERROR(INDEX('[1]salary allocation-v2'!$E$6:$J$22,MATCH($H787,'[1]salary allocation-v2'!$D$6:$D$22,0),MATCH(AC$3,'[1]salary allocation-v2'!$E$3:$J$3,0)),0)</f>
        <v>0</v>
      </c>
      <c r="AD787" s="17"/>
      <c r="AE787" s="16"/>
      <c r="AF787" s="15">
        <f>-K787</f>
        <v>14094497</v>
      </c>
      <c r="AG787" s="15"/>
      <c r="AH787" s="2">
        <f>K787+SUM(O787:AC787)</f>
        <v>0</v>
      </c>
      <c r="AI787" s="2">
        <f>K787+SUM(AF787:AG787)</f>
        <v>0</v>
      </c>
    </row>
    <row r="788" spans="1:35" x14ac:dyDescent="0.2">
      <c r="A788" s="11" t="s">
        <v>3</v>
      </c>
      <c r="B788" s="14">
        <v>45994</v>
      </c>
      <c r="H788" s="11" t="s">
        <v>35</v>
      </c>
      <c r="I788" s="11" t="s">
        <v>87</v>
      </c>
      <c r="K788" s="13">
        <v>-15534950</v>
      </c>
      <c r="L788" s="12">
        <v>122025</v>
      </c>
      <c r="M788" s="11" t="str">
        <f>LEFT(I788,(LEN(LEFT(I788,FIND(";",I788)))-8))</f>
        <v>VNOther</v>
      </c>
      <c r="N788" s="11"/>
      <c r="O788" s="15">
        <f>-$K788*IFERROR(INDEX('[1]salary allocation-v2'!$E$6:$J$22,MATCH($H788,'[1]salary allocation-v2'!$D$6:$D$22,0),MATCH(O$3,'[1]salary allocation-v2'!$E$3:$J$3,0)),0)</f>
        <v>0</v>
      </c>
      <c r="P788" s="15">
        <f>-$K788*IFERROR(INDEX('[1]salary allocation-v2'!$E$6:$J$22,MATCH($H788,'[1]salary allocation-v2'!$D$6:$D$22,0),MATCH(P$3,'[1]salary allocation-v2'!$E$3:$J$3,0)),0)</f>
        <v>0</v>
      </c>
      <c r="Q788" s="15">
        <f>-$K788*IFERROR(INDEX('[1]salary allocation-v2'!$E$6:$J$22,MATCH($H788,'[1]salary allocation-v2'!$D$6:$D$22,0),MATCH(Q$3,'[1]salary allocation-v2'!$E$3:$J$3,0)),0)</f>
        <v>0</v>
      </c>
      <c r="R788" s="15">
        <f>-$K788*IFERROR(INDEX('[1]salary allocation-v2'!$E$6:$J$22,MATCH($H788,'[1]salary allocation-v2'!$D$6:$D$22,0),MATCH(R$3,'[1]salary allocation-v2'!$E$3:$J$3,0)),0)</f>
        <v>0</v>
      </c>
      <c r="S788" s="15">
        <f>-$K788*IFERROR(INDEX('[1]salary allocation-v2'!$E$6:$J$22,MATCH($H788,'[1]salary allocation-v2'!$D$6:$D$22,0),MATCH(S$3,'[1]salary allocation-v2'!$E$3:$J$3,0)),0)</f>
        <v>2640941.4999999995</v>
      </c>
      <c r="T788" s="15">
        <f>-$K788*IFERROR(INDEX('[1]salary allocation-v2'!$E$6:$J$22,MATCH($H788,'[1]salary allocation-v2'!$D$6:$D$22,0),MATCH(T$3,'[1]salary allocation-v2'!$E$3:$J$3,0)),0)</f>
        <v>2640941.4999999995</v>
      </c>
      <c r="U788" s="15">
        <f>-$K788*IFERROR(INDEX('[1]salary allocation-v2'!$E$6:$J$22,MATCH($H788,'[1]salary allocation-v2'!$D$6:$D$22,0),MATCH(U$3,'[1]salary allocation-v2'!$E$3:$J$3,0)),0)</f>
        <v>2640941.4999999995</v>
      </c>
      <c r="V788" s="15">
        <f>-$K788*IFERROR(INDEX('[1]salary allocation-v2'!$E$6:$J$22,MATCH($H788,'[1]salary allocation-v2'!$D$6:$D$22,0),MATCH(V$3,'[1]salary allocation-v2'!$E$3:$J$3,0)),0)</f>
        <v>0</v>
      </c>
      <c r="W788" s="15">
        <f>-$K788*IFERROR(INDEX('[1]salary allocation-v2'!$E$6:$J$22,MATCH($H788,'[1]salary allocation-v2'!$D$6:$D$22,0),MATCH(W$3,'[1]salary allocation-v2'!$E$3:$J$3,0)),0)</f>
        <v>7612125.5</v>
      </c>
      <c r="X788" s="15">
        <f>-$K788*IFERROR(INDEX('[1]salary allocation-v2'!$E$6:$J$22,MATCH($H788,'[1]salary allocation-v2'!$D$6:$D$22,0),MATCH(X$3,'[1]salary allocation-v2'!$E$3:$J$3,0)),0)</f>
        <v>0</v>
      </c>
      <c r="Y788" s="15">
        <f>-$K788*IFERROR(INDEX('[1]salary allocation-v2'!$E$6:$J$22,MATCH($H788,'[1]salary allocation-v2'!$D$6:$D$22,0),MATCH(Y$3,'[1]salary allocation-v2'!$E$3:$J$3,0)),0)</f>
        <v>0</v>
      </c>
      <c r="Z788" s="15">
        <f>-$K788*IFERROR(INDEX('[1]salary allocation-v2'!$E$6:$J$22,MATCH($H788,'[1]salary allocation-v2'!$D$6:$D$22,0),MATCH(Z$3,'[1]salary allocation-v2'!$E$3:$J$3,0)),0)</f>
        <v>0</v>
      </c>
      <c r="AA788" s="15">
        <f>-$K788*IFERROR(INDEX('[1]salary allocation-v2'!$E$6:$J$22,MATCH($H788,'[1]salary allocation-v2'!$D$6:$D$22,0),MATCH(AA$3,'[1]salary allocation-v2'!$E$3:$J$3,0)),0)</f>
        <v>0</v>
      </c>
      <c r="AB788" s="15">
        <f>-$K788*IFERROR(INDEX('[1]salary allocation-v2'!$E$6:$J$22,MATCH($H788,'[1]salary allocation-v2'!$D$6:$D$22,0),MATCH(AB$3,'[1]salary allocation-v2'!$E$3:$J$3,0)),0)</f>
        <v>0</v>
      </c>
      <c r="AC788" s="18">
        <f>-$K788*IFERROR(INDEX('[1]salary allocation-v2'!$E$6:$J$22,MATCH($H788,'[1]salary allocation-v2'!$D$6:$D$22,0),MATCH(AC$3,'[1]salary allocation-v2'!$E$3:$J$3,0)),0)</f>
        <v>0</v>
      </c>
      <c r="AD788" s="17"/>
      <c r="AE788" s="16"/>
      <c r="AF788" s="15">
        <f>-$K788</f>
        <v>15534950</v>
      </c>
      <c r="AG788" s="15"/>
      <c r="AH788" s="2">
        <f>K788+SUM(O788:AC788)</f>
        <v>0</v>
      </c>
      <c r="AI788" s="2">
        <f>K788+SUM(AF788:AG788)</f>
        <v>0</v>
      </c>
    </row>
    <row r="789" spans="1:35" x14ac:dyDescent="0.2">
      <c r="A789" s="11" t="s">
        <v>3</v>
      </c>
      <c r="B789" s="14">
        <v>45994</v>
      </c>
      <c r="H789" s="11" t="s">
        <v>33</v>
      </c>
      <c r="I789" s="11" t="s">
        <v>86</v>
      </c>
      <c r="K789" s="13">
        <v>-3984832</v>
      </c>
      <c r="L789" s="12">
        <v>122025</v>
      </c>
      <c r="M789" s="11" t="str">
        <f>LEFT(I789,(LEN(LEFT(I789,FIND(";",I789)))-8))</f>
        <v>VNDN</v>
      </c>
      <c r="N789" s="11"/>
      <c r="O789" s="4">
        <f>IF($M789=O$3,-$K789,0)</f>
        <v>0</v>
      </c>
      <c r="P789" s="4">
        <f>IF($M789=P$3,-$K789,0)</f>
        <v>0</v>
      </c>
      <c r="Q789" s="4">
        <f>IF($M789=Q$3,-$K789,0)</f>
        <v>0</v>
      </c>
      <c r="R789" s="4">
        <f>IF($M789=R$3,-$K789,0)</f>
        <v>0</v>
      </c>
      <c r="S789" s="4">
        <f>IF($M789=S$3,-$K789,0)</f>
        <v>3984832</v>
      </c>
      <c r="T789" s="4">
        <f>IF($M789=T$3,-$K789,0)</f>
        <v>0</v>
      </c>
      <c r="U789" s="4">
        <f>IF($M789=U$3,-$K789,0)</f>
        <v>0</v>
      </c>
      <c r="V789" s="4">
        <f>IF($M789=V$3,-$K789,0)</f>
        <v>0</v>
      </c>
      <c r="W789" s="4">
        <f>IF($M789=W$3,-$K789,0)</f>
        <v>0</v>
      </c>
      <c r="X789" s="4">
        <f>IF($M789=X$3,-$K789,0)</f>
        <v>0</v>
      </c>
      <c r="Y789" s="4">
        <f>IF($M789=Y$3,-$K789,0)</f>
        <v>0</v>
      </c>
      <c r="Z789" s="4">
        <f>IF($M789=Z$3,-$K789,0)</f>
        <v>0</v>
      </c>
      <c r="AA789" s="4">
        <f>IF($M789=AA$3,-$K789,0)</f>
        <v>0</v>
      </c>
      <c r="AB789" s="4">
        <f>IF($M789=AB$3,-$K789,0)</f>
        <v>0</v>
      </c>
      <c r="AC789" s="10">
        <f>IF($M789=AC$3,-$K789,0)</f>
        <v>0</v>
      </c>
      <c r="AD789" s="9"/>
      <c r="AE789" s="8"/>
      <c r="AF789" s="4"/>
      <c r="AG789" s="4">
        <f>-$K789</f>
        <v>3984832</v>
      </c>
      <c r="AH789" s="2">
        <f>K789+SUM(O789:AC789)</f>
        <v>0</v>
      </c>
      <c r="AI789" s="2">
        <f>K789+SUM(AF789:AG789)</f>
        <v>0</v>
      </c>
    </row>
    <row r="790" spans="1:35" x14ac:dyDescent="0.2">
      <c r="A790" s="11" t="s">
        <v>3</v>
      </c>
      <c r="B790" s="14">
        <v>45994</v>
      </c>
      <c r="H790" s="11" t="s">
        <v>31</v>
      </c>
      <c r="I790" s="11" t="s">
        <v>85</v>
      </c>
      <c r="K790" s="13">
        <v>-5064512</v>
      </c>
      <c r="L790" s="12">
        <v>122025</v>
      </c>
      <c r="M790" s="11" t="str">
        <f>LEFT(I790,(LEN(LEFT(I790,FIND(";",I790)))-8))</f>
        <v>VNDN</v>
      </c>
      <c r="N790" s="11"/>
      <c r="O790" s="4">
        <f>IF($M790=O$3,-$K790,0)</f>
        <v>0</v>
      </c>
      <c r="P790" s="4">
        <f>IF($M790=P$3,-$K790,0)</f>
        <v>0</v>
      </c>
      <c r="Q790" s="4">
        <f>IF($M790=Q$3,-$K790,0)</f>
        <v>0</v>
      </c>
      <c r="R790" s="4">
        <f>IF($M790=R$3,-$K790,0)</f>
        <v>0</v>
      </c>
      <c r="S790" s="4">
        <f>IF($M790=S$3,-$K790,0)</f>
        <v>5064512</v>
      </c>
      <c r="T790" s="4">
        <f>IF($M790=T$3,-$K790,0)</f>
        <v>0</v>
      </c>
      <c r="U790" s="4">
        <f>IF($M790=U$3,-$K790,0)</f>
        <v>0</v>
      </c>
      <c r="V790" s="4">
        <f>IF($M790=V$3,-$K790,0)</f>
        <v>0</v>
      </c>
      <c r="W790" s="4">
        <f>IF($M790=W$3,-$K790,0)</f>
        <v>0</v>
      </c>
      <c r="X790" s="4">
        <f>IF($M790=X$3,-$K790,0)</f>
        <v>0</v>
      </c>
      <c r="Y790" s="4">
        <f>IF($M790=Y$3,-$K790,0)</f>
        <v>0</v>
      </c>
      <c r="Z790" s="4">
        <f>IF($M790=Z$3,-$K790,0)</f>
        <v>0</v>
      </c>
      <c r="AA790" s="4">
        <f>IF($M790=AA$3,-$K790,0)</f>
        <v>0</v>
      </c>
      <c r="AB790" s="4">
        <f>IF($M790=AB$3,-$K790,0)</f>
        <v>0</v>
      </c>
      <c r="AC790" s="10">
        <f>IF($M790=AC$3,-$K790,0)</f>
        <v>0</v>
      </c>
      <c r="AD790" s="9"/>
      <c r="AE790" s="8"/>
      <c r="AF790" s="4"/>
      <c r="AG790" s="4">
        <f>-$K790</f>
        <v>5064512</v>
      </c>
      <c r="AH790" s="2">
        <f>K790+SUM(O790:AC790)</f>
        <v>0</v>
      </c>
      <c r="AI790" s="2">
        <f>K790+SUM(AF790:AG790)</f>
        <v>0</v>
      </c>
    </row>
    <row r="791" spans="1:35" x14ac:dyDescent="0.2">
      <c r="A791" s="11" t="s">
        <v>3</v>
      </c>
      <c r="B791" s="14">
        <v>45994</v>
      </c>
      <c r="H791" s="11" t="s">
        <v>29</v>
      </c>
      <c r="I791" s="11" t="s">
        <v>84</v>
      </c>
      <c r="K791" s="13">
        <v>-6516352</v>
      </c>
      <c r="L791" s="12">
        <v>122025</v>
      </c>
      <c r="M791" s="11" t="str">
        <f>LEFT(I791,(LEN(LEFT(I791,FIND(";",I791)))-8))</f>
        <v>VNDN</v>
      </c>
      <c r="N791" s="11"/>
      <c r="O791" s="4">
        <f>IF($M791=O$3,-$K791,0)</f>
        <v>0</v>
      </c>
      <c r="P791" s="4">
        <f>IF($M791=P$3,-$K791,0)</f>
        <v>0</v>
      </c>
      <c r="Q791" s="4">
        <f>IF($M791=Q$3,-$K791,0)</f>
        <v>0</v>
      </c>
      <c r="R791" s="4">
        <f>IF($M791=R$3,-$K791,0)</f>
        <v>0</v>
      </c>
      <c r="S791" s="4">
        <f>IF($M791=S$3,-$K791,0)</f>
        <v>6516352</v>
      </c>
      <c r="T791" s="4">
        <f>IF($M791=T$3,-$K791,0)</f>
        <v>0</v>
      </c>
      <c r="U791" s="4">
        <f>IF($M791=U$3,-$K791,0)</f>
        <v>0</v>
      </c>
      <c r="V791" s="4">
        <f>IF($M791=V$3,-$K791,0)</f>
        <v>0</v>
      </c>
      <c r="W791" s="4">
        <f>IF($M791=W$3,-$K791,0)</f>
        <v>0</v>
      </c>
      <c r="X791" s="4">
        <f>IF($M791=X$3,-$K791,0)</f>
        <v>0</v>
      </c>
      <c r="Y791" s="4">
        <f>IF($M791=Y$3,-$K791,0)</f>
        <v>0</v>
      </c>
      <c r="Z791" s="4">
        <f>IF($M791=Z$3,-$K791,0)</f>
        <v>0</v>
      </c>
      <c r="AA791" s="4">
        <f>IF($M791=AA$3,-$K791,0)</f>
        <v>0</v>
      </c>
      <c r="AB791" s="4">
        <f>IF($M791=AB$3,-$K791,0)</f>
        <v>0</v>
      </c>
      <c r="AC791" s="10">
        <f>IF($M791=AC$3,-$K791,0)</f>
        <v>0</v>
      </c>
      <c r="AD791" s="9"/>
      <c r="AE791" s="8"/>
      <c r="AF791" s="4"/>
      <c r="AG791" s="4">
        <f>-$K791</f>
        <v>6516352</v>
      </c>
      <c r="AH791" s="2">
        <f>K791+SUM(O791:AC791)</f>
        <v>0</v>
      </c>
      <c r="AI791" s="2">
        <f>K791+SUM(AF791:AG791)</f>
        <v>0</v>
      </c>
    </row>
    <row r="792" spans="1:35" x14ac:dyDescent="0.2">
      <c r="A792" s="11" t="s">
        <v>3</v>
      </c>
      <c r="B792" s="14">
        <v>45994</v>
      </c>
      <c r="H792" s="11" t="s">
        <v>27</v>
      </c>
      <c r="I792" s="11" t="s">
        <v>83</v>
      </c>
      <c r="K792" s="13">
        <v>-4564352</v>
      </c>
      <c r="L792" s="12">
        <v>122025</v>
      </c>
      <c r="M792" s="11" t="str">
        <f>LEFT(I792,(LEN(LEFT(I792,FIND(";",I792)))-8))</f>
        <v>VNDN</v>
      </c>
      <c r="N792" s="11"/>
      <c r="O792" s="4">
        <f>IF($M792=O$3,-$K792,0)</f>
        <v>0</v>
      </c>
      <c r="P792" s="4">
        <f>IF($M792=P$3,-$K792,0)</f>
        <v>0</v>
      </c>
      <c r="Q792" s="4">
        <f>IF($M792=Q$3,-$K792,0)</f>
        <v>0</v>
      </c>
      <c r="R792" s="4">
        <f>IF($M792=R$3,-$K792,0)</f>
        <v>0</v>
      </c>
      <c r="S792" s="4">
        <f>IF($M792=S$3,-$K792,0)</f>
        <v>4564352</v>
      </c>
      <c r="T792" s="4">
        <f>IF($M792=T$3,-$K792,0)</f>
        <v>0</v>
      </c>
      <c r="U792" s="4">
        <f>IF($M792=U$3,-$K792,0)</f>
        <v>0</v>
      </c>
      <c r="V792" s="4">
        <f>IF($M792=V$3,-$K792,0)</f>
        <v>0</v>
      </c>
      <c r="W792" s="4">
        <f>IF($M792=W$3,-$K792,0)</f>
        <v>0</v>
      </c>
      <c r="X792" s="4">
        <f>IF($M792=X$3,-$K792,0)</f>
        <v>0</v>
      </c>
      <c r="Y792" s="4">
        <f>IF($M792=Y$3,-$K792,0)</f>
        <v>0</v>
      </c>
      <c r="Z792" s="4">
        <f>IF($M792=Z$3,-$K792,0)</f>
        <v>0</v>
      </c>
      <c r="AA792" s="4">
        <f>IF($M792=AA$3,-$K792,0)</f>
        <v>0</v>
      </c>
      <c r="AB792" s="4">
        <f>IF($M792=AB$3,-$K792,0)</f>
        <v>0</v>
      </c>
      <c r="AC792" s="10">
        <f>IF($M792=AC$3,-$K792,0)</f>
        <v>0</v>
      </c>
      <c r="AD792" s="9"/>
      <c r="AE792" s="8"/>
      <c r="AF792" s="4"/>
      <c r="AG792" s="4">
        <f>-$K792</f>
        <v>4564352</v>
      </c>
      <c r="AH792" s="2">
        <f>K792+SUM(O792:AC792)</f>
        <v>0</v>
      </c>
      <c r="AI792" s="2">
        <f>K792+SUM(AF792:AG792)</f>
        <v>0</v>
      </c>
    </row>
    <row r="793" spans="1:35" x14ac:dyDescent="0.2">
      <c r="A793" s="11" t="s">
        <v>3</v>
      </c>
      <c r="B793" s="14">
        <v>45994</v>
      </c>
      <c r="H793" s="11" t="s">
        <v>25</v>
      </c>
      <c r="I793" s="11" t="s">
        <v>82</v>
      </c>
      <c r="K793" s="13">
        <v>-5039552</v>
      </c>
      <c r="L793" s="12">
        <v>122025</v>
      </c>
      <c r="M793" s="11" t="str">
        <f>LEFT(I793,(LEN(LEFT(I793,FIND(";",I793)))-8))</f>
        <v>VNQN</v>
      </c>
      <c r="N793" s="11"/>
      <c r="O793" s="4">
        <f>IF($M793=O$3,-$K793,0)</f>
        <v>0</v>
      </c>
      <c r="P793" s="4">
        <f>IF($M793=P$3,-$K793,0)</f>
        <v>0</v>
      </c>
      <c r="Q793" s="4">
        <f>IF($M793=Q$3,-$K793,0)</f>
        <v>0</v>
      </c>
      <c r="R793" s="4">
        <f>IF($M793=R$3,-$K793,0)</f>
        <v>0</v>
      </c>
      <c r="S793" s="4">
        <f>IF($M793=S$3,-$K793,0)</f>
        <v>0</v>
      </c>
      <c r="T793" s="4">
        <f>IF($M793=T$3,-$K793,0)</f>
        <v>5039552</v>
      </c>
      <c r="U793" s="4">
        <f>IF($M793=U$3,-$K793,0)</f>
        <v>0</v>
      </c>
      <c r="V793" s="4">
        <f>IF($M793=V$3,-$K793,0)</f>
        <v>0</v>
      </c>
      <c r="W793" s="4">
        <f>IF($M793=W$3,-$K793,0)</f>
        <v>0</v>
      </c>
      <c r="X793" s="4">
        <f>IF($M793=X$3,-$K793,0)</f>
        <v>0</v>
      </c>
      <c r="Y793" s="4">
        <f>IF($M793=Y$3,-$K793,0)</f>
        <v>0</v>
      </c>
      <c r="Z793" s="4">
        <f>IF($M793=Z$3,-$K793,0)</f>
        <v>0</v>
      </c>
      <c r="AA793" s="4">
        <f>IF($M793=AA$3,-$K793,0)</f>
        <v>0</v>
      </c>
      <c r="AB793" s="4">
        <f>IF($M793=AB$3,-$K793,0)</f>
        <v>0</v>
      </c>
      <c r="AC793" s="10">
        <f>IF($M793=AC$3,-$K793,0)</f>
        <v>0</v>
      </c>
      <c r="AD793" s="9"/>
      <c r="AE793" s="8"/>
      <c r="AF793" s="4"/>
      <c r="AG793" s="4">
        <f>-$K793</f>
        <v>5039552</v>
      </c>
      <c r="AH793" s="2">
        <f>K793+SUM(O793:AC793)</f>
        <v>0</v>
      </c>
      <c r="AI793" s="2">
        <f>K793+SUM(AF793:AG793)</f>
        <v>0</v>
      </c>
    </row>
    <row r="794" spans="1:35" x14ac:dyDescent="0.2">
      <c r="A794" s="11" t="s">
        <v>3</v>
      </c>
      <c r="B794" s="14">
        <v>45994</v>
      </c>
      <c r="H794" s="11" t="s">
        <v>81</v>
      </c>
      <c r="I794" s="11" t="s">
        <v>80</v>
      </c>
      <c r="K794" s="13">
        <v>-4069952</v>
      </c>
      <c r="L794" s="12">
        <v>122025</v>
      </c>
      <c r="M794" s="11" t="str">
        <f>LEFT(I794,(LEN(LEFT(I794,FIND(";",I794)))-8))</f>
        <v>VNQN</v>
      </c>
      <c r="N794" s="11"/>
      <c r="O794" s="4">
        <f>IF($M794=O$3,-$K794,0)</f>
        <v>0</v>
      </c>
      <c r="P794" s="4">
        <f>IF($M794=P$3,-$K794,0)</f>
        <v>0</v>
      </c>
      <c r="Q794" s="4">
        <f>IF($M794=Q$3,-$K794,0)</f>
        <v>0</v>
      </c>
      <c r="R794" s="4">
        <f>IF($M794=R$3,-$K794,0)</f>
        <v>0</v>
      </c>
      <c r="S794" s="4">
        <f>IF($M794=S$3,-$K794,0)</f>
        <v>0</v>
      </c>
      <c r="T794" s="4">
        <f>IF($M794=T$3,-$K794,0)</f>
        <v>4069952</v>
      </c>
      <c r="U794" s="4">
        <f>IF($M794=U$3,-$K794,0)</f>
        <v>0</v>
      </c>
      <c r="V794" s="4">
        <f>IF($M794=V$3,-$K794,0)</f>
        <v>0</v>
      </c>
      <c r="W794" s="4">
        <f>IF($M794=W$3,-$K794,0)</f>
        <v>0</v>
      </c>
      <c r="X794" s="4">
        <f>IF($M794=X$3,-$K794,0)</f>
        <v>0</v>
      </c>
      <c r="Y794" s="4">
        <f>IF($M794=Y$3,-$K794,0)</f>
        <v>0</v>
      </c>
      <c r="Z794" s="4">
        <f>IF($M794=Z$3,-$K794,0)</f>
        <v>0</v>
      </c>
      <c r="AA794" s="4">
        <f>IF($M794=AA$3,-$K794,0)</f>
        <v>0</v>
      </c>
      <c r="AB794" s="4">
        <f>IF($M794=AB$3,-$K794,0)</f>
        <v>0</v>
      </c>
      <c r="AC794" s="10">
        <f>IF($M794=AC$3,-$K794,0)</f>
        <v>0</v>
      </c>
      <c r="AD794" s="9"/>
      <c r="AE794" s="8"/>
      <c r="AF794" s="4"/>
      <c r="AG794" s="4">
        <f>-$K794</f>
        <v>4069952</v>
      </c>
      <c r="AH794" s="2">
        <f>K794+SUM(O794:AC794)</f>
        <v>0</v>
      </c>
      <c r="AI794" s="2">
        <f>K794+SUM(AF794:AG794)</f>
        <v>0</v>
      </c>
    </row>
    <row r="795" spans="1:35" x14ac:dyDescent="0.2">
      <c r="A795" s="11" t="s">
        <v>3</v>
      </c>
      <c r="B795" s="14">
        <v>45994</v>
      </c>
      <c r="H795" s="11" t="s">
        <v>23</v>
      </c>
      <c r="I795" s="11" t="s">
        <v>79</v>
      </c>
      <c r="K795" s="13">
        <v>-4069952</v>
      </c>
      <c r="L795" s="12">
        <v>122025</v>
      </c>
      <c r="M795" s="11" t="str">
        <f>LEFT(I795,(LEN(LEFT(I795,FIND(";",I795)))-8))</f>
        <v>VNHD</v>
      </c>
      <c r="N795" s="11"/>
      <c r="O795" s="4">
        <f>IF($M795=O$3,-$K795,0)</f>
        <v>0</v>
      </c>
      <c r="P795" s="4">
        <f>IF($M795=P$3,-$K795,0)</f>
        <v>0</v>
      </c>
      <c r="Q795" s="4">
        <f>IF($M795=Q$3,-$K795,0)</f>
        <v>0</v>
      </c>
      <c r="R795" s="4">
        <f>IF($M795=R$3,-$K795,0)</f>
        <v>0</v>
      </c>
      <c r="S795" s="4">
        <f>IF($M795=S$3,-$K795,0)</f>
        <v>0</v>
      </c>
      <c r="T795" s="4">
        <f>IF($M795=T$3,-$K795,0)</f>
        <v>0</v>
      </c>
      <c r="U795" s="4">
        <f>IF($M795=U$3,-$K795,0)</f>
        <v>4069952</v>
      </c>
      <c r="V795" s="4">
        <f>IF($M795=V$3,-$K795,0)</f>
        <v>0</v>
      </c>
      <c r="W795" s="4">
        <f>IF($M795=W$3,-$K795,0)</f>
        <v>0</v>
      </c>
      <c r="X795" s="4">
        <f>IF($M795=X$3,-$K795,0)</f>
        <v>0</v>
      </c>
      <c r="Y795" s="4">
        <f>IF($M795=Y$3,-$K795,0)</f>
        <v>0</v>
      </c>
      <c r="Z795" s="4">
        <f>IF($M795=Z$3,-$K795,0)</f>
        <v>0</v>
      </c>
      <c r="AA795" s="4">
        <f>IF($M795=AA$3,-$K795,0)</f>
        <v>0</v>
      </c>
      <c r="AB795" s="4">
        <f>IF($M795=AB$3,-$K795,0)</f>
        <v>0</v>
      </c>
      <c r="AC795" s="10">
        <f>IF($M795=AC$3,-$K795,0)</f>
        <v>0</v>
      </c>
      <c r="AD795" s="9"/>
      <c r="AE795" s="8"/>
      <c r="AF795" s="4"/>
      <c r="AG795" s="4">
        <f>-$K795</f>
        <v>4069952</v>
      </c>
      <c r="AH795" s="2">
        <f>K795+SUM(O795:AC795)</f>
        <v>0</v>
      </c>
      <c r="AI795" s="2">
        <f>K795+SUM(AF795:AG795)</f>
        <v>0</v>
      </c>
    </row>
    <row r="796" spans="1:35" x14ac:dyDescent="0.2">
      <c r="A796" s="11" t="s">
        <v>3</v>
      </c>
      <c r="B796" s="14">
        <v>45994</v>
      </c>
      <c r="H796" s="11" t="s">
        <v>21</v>
      </c>
      <c r="I796" s="11" t="s">
        <v>78</v>
      </c>
      <c r="K796" s="13">
        <v>-4564352</v>
      </c>
      <c r="L796" s="12">
        <v>122025</v>
      </c>
      <c r="M796" s="11" t="str">
        <f>LEFT(I796,(LEN(LEFT(I796,FIND(";",I796)))-8))</f>
        <v>VNHCM</v>
      </c>
      <c r="N796" s="11"/>
      <c r="O796" s="4">
        <f>IF($M796=O$3,-$K796,0)</f>
        <v>0</v>
      </c>
      <c r="P796" s="4">
        <f>IF($M796=P$3,-$K796,0)</f>
        <v>0</v>
      </c>
      <c r="Q796" s="4">
        <f>IF($M796=Q$3,-$K796,0)</f>
        <v>0</v>
      </c>
      <c r="R796" s="4">
        <f>IF($M796=R$3,-$K796,0)</f>
        <v>0</v>
      </c>
      <c r="S796" s="4">
        <f>IF($M796=S$3,-$K796,0)</f>
        <v>0</v>
      </c>
      <c r="T796" s="4">
        <f>IF($M796=T$3,-$K796,0)</f>
        <v>0</v>
      </c>
      <c r="U796" s="4">
        <f>IF($M796=U$3,-$K796,0)</f>
        <v>0</v>
      </c>
      <c r="V796" s="4">
        <f>IF($M796=V$3,-$K796,0)</f>
        <v>0</v>
      </c>
      <c r="W796" s="4">
        <f>IF($M796=W$3,-$K796,0)</f>
        <v>0</v>
      </c>
      <c r="X796" s="4">
        <f>IF($M796=X$3,-$K796,0)</f>
        <v>0</v>
      </c>
      <c r="Y796" s="4">
        <f>IF($M796=Y$3,-$K796,0)</f>
        <v>4564352</v>
      </c>
      <c r="Z796" s="4">
        <f>IF($M796=Z$3,-$K796,0)</f>
        <v>0</v>
      </c>
      <c r="AA796" s="4">
        <f>IF($M796=AA$3,-$K796,0)</f>
        <v>0</v>
      </c>
      <c r="AB796" s="4">
        <f>IF($M796=AB$3,-$K796,0)</f>
        <v>0</v>
      </c>
      <c r="AC796" s="10">
        <f>IF($M796=AC$3,-$K796,0)</f>
        <v>0</v>
      </c>
      <c r="AD796" s="9"/>
      <c r="AE796" s="8"/>
      <c r="AF796" s="4"/>
      <c r="AG796" s="4">
        <f>-$K796</f>
        <v>4564352</v>
      </c>
      <c r="AH796" s="2">
        <f>K796+SUM(O796:AC796)</f>
        <v>0</v>
      </c>
      <c r="AI796" s="2">
        <f>K796+SUM(AF796:AG796)</f>
        <v>0</v>
      </c>
    </row>
    <row r="797" spans="1:35" x14ac:dyDescent="0.2">
      <c r="A797" s="11" t="s">
        <v>3</v>
      </c>
      <c r="B797" s="14">
        <v>45994</v>
      </c>
      <c r="H797" s="11" t="s">
        <v>19</v>
      </c>
      <c r="I797" s="11" t="s">
        <v>77</v>
      </c>
      <c r="K797" s="13">
        <v>-4564352</v>
      </c>
      <c r="L797" s="12">
        <v>122025</v>
      </c>
      <c r="M797" s="11" t="str">
        <f>LEFT(I797,(LEN(LEFT(I797,FIND(";",I797)))-8))</f>
        <v>VNHCM</v>
      </c>
      <c r="N797" s="11"/>
      <c r="O797" s="4">
        <f>IF($M797=O$3,-$K797,0)</f>
        <v>0</v>
      </c>
      <c r="P797" s="4">
        <f>IF($M797=P$3,-$K797,0)</f>
        <v>0</v>
      </c>
      <c r="Q797" s="4">
        <f>IF($M797=Q$3,-$K797,0)</f>
        <v>0</v>
      </c>
      <c r="R797" s="4">
        <f>IF($M797=R$3,-$K797,0)</f>
        <v>0</v>
      </c>
      <c r="S797" s="4">
        <f>IF($M797=S$3,-$K797,0)</f>
        <v>0</v>
      </c>
      <c r="T797" s="4">
        <f>IF($M797=T$3,-$K797,0)</f>
        <v>0</v>
      </c>
      <c r="U797" s="4">
        <f>IF($M797=U$3,-$K797,0)</f>
        <v>0</v>
      </c>
      <c r="V797" s="4">
        <f>IF($M797=V$3,-$K797,0)</f>
        <v>0</v>
      </c>
      <c r="W797" s="4">
        <f>IF($M797=W$3,-$K797,0)</f>
        <v>0</v>
      </c>
      <c r="X797" s="4">
        <f>IF($M797=X$3,-$K797,0)</f>
        <v>0</v>
      </c>
      <c r="Y797" s="4">
        <f>IF($M797=Y$3,-$K797,0)</f>
        <v>4564352</v>
      </c>
      <c r="Z797" s="4">
        <f>IF($M797=Z$3,-$K797,0)</f>
        <v>0</v>
      </c>
      <c r="AA797" s="4">
        <f>IF($M797=AA$3,-$K797,0)</f>
        <v>0</v>
      </c>
      <c r="AB797" s="4">
        <f>IF($M797=AB$3,-$K797,0)</f>
        <v>0</v>
      </c>
      <c r="AC797" s="10">
        <f>IF($M797=AC$3,-$K797,0)</f>
        <v>0</v>
      </c>
      <c r="AD797" s="9"/>
      <c r="AE797" s="8"/>
      <c r="AF797" s="4"/>
      <c r="AG797" s="4">
        <f>-$K797</f>
        <v>4564352</v>
      </c>
      <c r="AH797" s="2">
        <f>K797+SUM(O797:AC797)</f>
        <v>0</v>
      </c>
      <c r="AI797" s="2">
        <f>K797+SUM(AF797:AG797)</f>
        <v>0</v>
      </c>
    </row>
    <row r="798" spans="1:35" x14ac:dyDescent="0.2">
      <c r="A798" s="11" t="s">
        <v>3</v>
      </c>
      <c r="B798" s="14">
        <v>45994</v>
      </c>
      <c r="H798" s="11" t="s">
        <v>76</v>
      </c>
      <c r="I798" s="11" t="s">
        <v>75</v>
      </c>
      <c r="K798" s="13">
        <v>0</v>
      </c>
      <c r="L798" s="12">
        <v>122025</v>
      </c>
      <c r="M798" s="11" t="str">
        <f>LEFT(I798,(LEN(LEFT(I798,FIND(";",I798)))-8))</f>
        <v>VNMOET</v>
      </c>
      <c r="N798" s="11"/>
      <c r="O798" s="4">
        <f>IF($M798=O$3,-$K798,0)</f>
        <v>0</v>
      </c>
      <c r="P798" s="4">
        <f>IF($M798=P$3,-$K798,0)</f>
        <v>0</v>
      </c>
      <c r="Q798" s="4">
        <f>IF($M798=Q$3,-$K798,0)</f>
        <v>0</v>
      </c>
      <c r="R798" s="4">
        <f>IF($M798=R$3,-$K798,0)</f>
        <v>0</v>
      </c>
      <c r="S798" s="4">
        <f>IF($M798=S$3,-$K798,0)</f>
        <v>0</v>
      </c>
      <c r="T798" s="4">
        <f>IF($M798=T$3,-$K798,0)</f>
        <v>0</v>
      </c>
      <c r="U798" s="4">
        <f>IF($M798=U$3,-$K798,0)</f>
        <v>0</v>
      </c>
      <c r="V798" s="4">
        <f>IF($M798=V$3,-$K798,0)</f>
        <v>0</v>
      </c>
      <c r="W798" s="4">
        <f>IF($M798=W$3,-$K798,0)</f>
        <v>0</v>
      </c>
      <c r="X798" s="4">
        <f>IF($M798=X$3,-$K798,0)</f>
        <v>0</v>
      </c>
      <c r="Y798" s="4">
        <f>IF($M798=Y$3,-$K798,0)</f>
        <v>0</v>
      </c>
      <c r="Z798" s="4">
        <f>IF($M798=Z$3,-$K798,0)</f>
        <v>0</v>
      </c>
      <c r="AA798" s="4">
        <f>IF($M798=AA$3,-$K798,0)</f>
        <v>0</v>
      </c>
      <c r="AB798" s="4">
        <f>IF($M798=AB$3,-$K798,0)</f>
        <v>0</v>
      </c>
      <c r="AC798" s="10">
        <f>IF($M798=AC$3,-$K798,0)</f>
        <v>0</v>
      </c>
      <c r="AD798" s="9"/>
      <c r="AE798" s="8"/>
      <c r="AF798" s="4">
        <f>-$K798</f>
        <v>0</v>
      </c>
      <c r="AG798" s="4"/>
      <c r="AH798" s="2">
        <f>K798+SUM(O798:AC798)</f>
        <v>0</v>
      </c>
      <c r="AI798" s="2">
        <f>K798+SUM(AF798:AG798)</f>
        <v>0</v>
      </c>
    </row>
    <row r="799" spans="1:35" x14ac:dyDescent="0.2">
      <c r="A799" s="11" t="s">
        <v>3</v>
      </c>
      <c r="B799" s="14">
        <v>45994</v>
      </c>
      <c r="H799" s="11" t="s">
        <v>17</v>
      </c>
      <c r="I799" s="11" t="s">
        <v>74</v>
      </c>
      <c r="K799" s="13">
        <v>-3604352</v>
      </c>
      <c r="L799" s="12">
        <v>122025</v>
      </c>
      <c r="M799" s="11" t="str">
        <f>LEFT(I799,(LEN(LEFT(I799,FIND(";",I799)))-8))</f>
        <v>VNQN</v>
      </c>
      <c r="N799" s="11"/>
      <c r="O799" s="4">
        <f>IF($M799=O$3,-$K799,0)</f>
        <v>0</v>
      </c>
      <c r="P799" s="4">
        <f>IF($M799=P$3,-$K799,0)</f>
        <v>0</v>
      </c>
      <c r="Q799" s="4">
        <f>IF($M799=Q$3,-$K799,0)</f>
        <v>0</v>
      </c>
      <c r="R799" s="4">
        <f>IF($M799=R$3,-$K799,0)</f>
        <v>0</v>
      </c>
      <c r="S799" s="4">
        <f>IF($M799=S$3,-$K799,0)</f>
        <v>0</v>
      </c>
      <c r="T799" s="4">
        <f>IF($M799=T$3,-$K799,0)</f>
        <v>3604352</v>
      </c>
      <c r="U799" s="4">
        <f>IF($M799=U$3,-$K799,0)</f>
        <v>0</v>
      </c>
      <c r="V799" s="4">
        <f>IF($M799=V$3,-$K799,0)</f>
        <v>0</v>
      </c>
      <c r="W799" s="4">
        <f>IF($M799=W$3,-$K799,0)</f>
        <v>0</v>
      </c>
      <c r="X799" s="4">
        <f>IF($M799=X$3,-$K799,0)</f>
        <v>0</v>
      </c>
      <c r="Y799" s="4">
        <f>IF($M799=Y$3,-$K799,0)</f>
        <v>0</v>
      </c>
      <c r="Z799" s="4">
        <f>IF($M799=Z$3,-$K799,0)</f>
        <v>0</v>
      </c>
      <c r="AA799" s="4">
        <f>IF($M799=AA$3,-$K799,0)</f>
        <v>0</v>
      </c>
      <c r="AB799" s="4">
        <f>IF($M799=AB$3,-$K799,0)</f>
        <v>0</v>
      </c>
      <c r="AC799" s="10">
        <f>IF($M799=AC$3,-$K799,0)</f>
        <v>0</v>
      </c>
      <c r="AD799" s="9"/>
      <c r="AE799" s="8"/>
      <c r="AF799" s="4"/>
      <c r="AG799" s="4">
        <f>-$K799</f>
        <v>3604352</v>
      </c>
      <c r="AH799" s="2">
        <f>K799+SUM(O799:AC799)</f>
        <v>0</v>
      </c>
      <c r="AI799" s="2">
        <f>K799+SUM(AF799:AG799)</f>
        <v>0</v>
      </c>
    </row>
    <row r="800" spans="1:35" x14ac:dyDescent="0.2">
      <c r="A800" s="11" t="s">
        <v>3</v>
      </c>
      <c r="B800" s="14">
        <v>45994</v>
      </c>
      <c r="H800" s="11" t="s">
        <v>73</v>
      </c>
      <c r="I800" s="11" t="s">
        <v>72</v>
      </c>
      <c r="K800" s="13">
        <v>0</v>
      </c>
      <c r="L800" s="12">
        <v>122025</v>
      </c>
      <c r="M800" s="11" t="str">
        <f>LEFT(I800,(LEN(LEFT(I800,FIND(";",I800)))-8))</f>
        <v>VNLA</v>
      </c>
      <c r="N800" s="11"/>
      <c r="O800" s="4">
        <f>IF($M800=O$3,-$K800,0)</f>
        <v>0</v>
      </c>
      <c r="P800" s="4">
        <f>IF($M800=P$3,-$K800,0)</f>
        <v>0</v>
      </c>
      <c r="Q800" s="4">
        <f>IF($M800=Q$3,-$K800,0)</f>
        <v>0</v>
      </c>
      <c r="R800" s="4">
        <f>IF($M800=R$3,-$K800,0)</f>
        <v>0</v>
      </c>
      <c r="S800" s="4">
        <f>IF($M800=S$3,-$K800,0)</f>
        <v>0</v>
      </c>
      <c r="T800" s="4">
        <f>IF($M800=T$3,-$K800,0)</f>
        <v>0</v>
      </c>
      <c r="U800" s="4">
        <f>IF($M800=U$3,-$K800,0)</f>
        <v>0</v>
      </c>
      <c r="V800" s="4">
        <f>IF($M800=V$3,-$K800,0)</f>
        <v>0</v>
      </c>
      <c r="W800" s="4">
        <f>IF($M800=W$3,-$K800,0)</f>
        <v>0</v>
      </c>
      <c r="X800" s="4">
        <f>IF($M800=X$3,-$K800,0)</f>
        <v>0</v>
      </c>
      <c r="Y800" s="4">
        <f>IF($M800=Y$3,-$K800,0)</f>
        <v>0</v>
      </c>
      <c r="Z800" s="4">
        <f>IF($M800=Z$3,-$K800,0)</f>
        <v>0</v>
      </c>
      <c r="AA800" s="4">
        <f>IF($M800=AA$3,-$K800,0)</f>
        <v>0</v>
      </c>
      <c r="AB800" s="4">
        <f>IF($M800=AB$3,-$K800,0)</f>
        <v>0</v>
      </c>
      <c r="AC800" s="10">
        <f>IF($M800=AC$3,-$K800,0)</f>
        <v>0</v>
      </c>
      <c r="AD800" s="9"/>
      <c r="AE800" s="8"/>
      <c r="AF800" s="4"/>
      <c r="AG800" s="4"/>
      <c r="AH800" s="2">
        <f>K800+SUM(O800:AC800)</f>
        <v>0</v>
      </c>
      <c r="AI800" s="2">
        <f>K800+SUM(AF800:AG800)</f>
        <v>0</v>
      </c>
    </row>
    <row r="801" spans="1:35" x14ac:dyDescent="0.2">
      <c r="A801" s="11" t="s">
        <v>3</v>
      </c>
      <c r="B801" s="14">
        <v>45994</v>
      </c>
      <c r="H801" s="11" t="s">
        <v>15</v>
      </c>
      <c r="I801" s="11" t="s">
        <v>71</v>
      </c>
      <c r="K801" s="13">
        <v>-4160000</v>
      </c>
      <c r="L801" s="12">
        <v>122025</v>
      </c>
      <c r="M801" s="11" t="str">
        <f>LEFT(I801,(LEN(LEFT(I801,FIND(";",I801)))-8))</f>
        <v>VNLA</v>
      </c>
      <c r="N801" s="11"/>
      <c r="O801" s="4">
        <f>IF($M801=O$3,-$K801,0)</f>
        <v>0</v>
      </c>
      <c r="P801" s="4">
        <f>IF($M801=P$3,-$K801,0)</f>
        <v>0</v>
      </c>
      <c r="Q801" s="4">
        <f>IF($M801=Q$3,-$K801,0)</f>
        <v>0</v>
      </c>
      <c r="R801" s="4">
        <f>IF($M801=R$3,-$K801,0)</f>
        <v>0</v>
      </c>
      <c r="S801" s="4">
        <f>IF($M801=S$3,-$K801,0)</f>
        <v>0</v>
      </c>
      <c r="T801" s="4">
        <f>IF($M801=T$3,-$K801,0)</f>
        <v>0</v>
      </c>
      <c r="U801" s="4">
        <f>IF($M801=U$3,-$K801,0)</f>
        <v>0</v>
      </c>
      <c r="V801" s="4">
        <f>IF($M801=V$3,-$K801,0)</f>
        <v>0</v>
      </c>
      <c r="W801" s="4">
        <f>IF($M801=W$3,-$K801,0)</f>
        <v>0</v>
      </c>
      <c r="X801" s="4">
        <f>IF($M801=X$3,-$K801,0)</f>
        <v>4160000</v>
      </c>
      <c r="Y801" s="4">
        <f>IF($M801=Y$3,-$K801,0)</f>
        <v>0</v>
      </c>
      <c r="Z801" s="4">
        <f>IF($M801=Z$3,-$K801,0)</f>
        <v>0</v>
      </c>
      <c r="AA801" s="4">
        <f>IF($M801=AA$3,-$K801,0)</f>
        <v>0</v>
      </c>
      <c r="AB801" s="4">
        <f>IF($M801=AB$3,-$K801,0)</f>
        <v>0</v>
      </c>
      <c r="AC801" s="10">
        <f>IF($M801=AC$3,-$K801,0)</f>
        <v>0</v>
      </c>
      <c r="AD801" s="9"/>
      <c r="AE801" s="8"/>
      <c r="AF801" s="4"/>
      <c r="AG801" s="4">
        <f>-$K801</f>
        <v>4160000</v>
      </c>
      <c r="AH801" s="2">
        <f>K801+SUM(O801:AC801)</f>
        <v>0</v>
      </c>
      <c r="AI801" s="2">
        <f>K801+SUM(AF801:AG801)</f>
        <v>0</v>
      </c>
    </row>
    <row r="802" spans="1:35" x14ac:dyDescent="0.2">
      <c r="A802" s="11" t="s">
        <v>3</v>
      </c>
      <c r="B802" s="14">
        <v>45994</v>
      </c>
      <c r="H802" s="11" t="s">
        <v>13</v>
      </c>
      <c r="I802" s="11" t="s">
        <v>70</v>
      </c>
      <c r="K802" s="13">
        <v>-1600000</v>
      </c>
      <c r="L802" s="12">
        <v>122025</v>
      </c>
      <c r="M802" s="11" t="str">
        <f>LEFT(I802,(LEN(LEFT(I802,FIND(";",I802)))-8))</f>
        <v>VNOther</v>
      </c>
      <c r="N802" s="11"/>
      <c r="O802" s="4">
        <f>IF($M802=O$3,-$K802,0)</f>
        <v>0</v>
      </c>
      <c r="P802" s="4">
        <f>IF($M802=P$3,-$K802,0)</f>
        <v>0</v>
      </c>
      <c r="Q802" s="4">
        <f>IF($M802=Q$3,-$K802,0)</f>
        <v>1600000</v>
      </c>
      <c r="R802" s="4">
        <f>IF($M802=R$3,-$K802,0)</f>
        <v>0</v>
      </c>
      <c r="S802" s="4">
        <f>IF($M802=S$3,-$K802,0)</f>
        <v>0</v>
      </c>
      <c r="T802" s="4">
        <f>IF($M802=T$3,-$K802,0)</f>
        <v>0</v>
      </c>
      <c r="U802" s="4">
        <f>IF($M802=U$3,-$K802,0)</f>
        <v>0</v>
      </c>
      <c r="V802" s="4">
        <f>IF($M802=V$3,-$K802,0)</f>
        <v>0</v>
      </c>
      <c r="W802" s="4">
        <f>IF($M802=W$3,-$K802,0)</f>
        <v>0</v>
      </c>
      <c r="X802" s="4">
        <f>IF($M802=X$3,-$K802,0)</f>
        <v>0</v>
      </c>
      <c r="Y802" s="4">
        <f>IF($M802=Y$3,-$K802,0)</f>
        <v>0</v>
      </c>
      <c r="Z802" s="4">
        <f>IF($M802=Z$3,-$K802,0)</f>
        <v>0</v>
      </c>
      <c r="AA802" s="4">
        <f>IF($M802=AA$3,-$K802,0)</f>
        <v>0</v>
      </c>
      <c r="AB802" s="4">
        <f>IF($M802=AB$3,-$K802,0)</f>
        <v>0</v>
      </c>
      <c r="AC802" s="10">
        <f>IF($M802=AC$3,-$K802,0)</f>
        <v>0</v>
      </c>
      <c r="AD802" s="9"/>
      <c r="AE802" s="8"/>
      <c r="AF802" s="4">
        <f>-$K802</f>
        <v>1600000</v>
      </c>
      <c r="AG802" s="4"/>
      <c r="AH802" s="2">
        <f>K802+SUM(O802:AC802)</f>
        <v>0</v>
      </c>
      <c r="AI802" s="2">
        <f>K802+SUM(AF802:AG802)</f>
        <v>0</v>
      </c>
    </row>
    <row r="803" spans="1:35" x14ac:dyDescent="0.2">
      <c r="A803" s="11" t="s">
        <v>3</v>
      </c>
      <c r="B803" s="14">
        <v>45994</v>
      </c>
      <c r="H803" s="11" t="s">
        <v>11</v>
      </c>
      <c r="I803" s="11" t="s">
        <v>69</v>
      </c>
      <c r="K803" s="13">
        <v>-3976000</v>
      </c>
      <c r="L803" s="12">
        <v>122025</v>
      </c>
      <c r="M803" s="11" t="str">
        <f>LEFT(I803,(LEN(LEFT(I803,FIND(";",I803)))-8))</f>
        <v>VNQN</v>
      </c>
      <c r="N803" s="11"/>
      <c r="O803" s="4">
        <f>IF($M803=O$3,-$K803,0)</f>
        <v>0</v>
      </c>
      <c r="P803" s="4">
        <f>IF($M803=P$3,-$K803,0)</f>
        <v>0</v>
      </c>
      <c r="Q803" s="4">
        <f>IF($M803=Q$3,-$K803,0)</f>
        <v>0</v>
      </c>
      <c r="R803" s="4">
        <f>IF($M803=R$3,-$K803,0)</f>
        <v>0</v>
      </c>
      <c r="S803" s="4">
        <f>IF($M803=S$3,-$K803,0)</f>
        <v>0</v>
      </c>
      <c r="T803" s="4">
        <f>IF($M803=T$3,-$K803,0)</f>
        <v>3976000</v>
      </c>
      <c r="U803" s="4">
        <f>IF($M803=U$3,-$K803,0)</f>
        <v>0</v>
      </c>
      <c r="V803" s="4">
        <f>IF($M803=V$3,-$K803,0)</f>
        <v>0</v>
      </c>
      <c r="W803" s="4">
        <f>IF($M803=W$3,-$K803,0)</f>
        <v>0</v>
      </c>
      <c r="X803" s="4">
        <f>IF($M803=X$3,-$K803,0)</f>
        <v>0</v>
      </c>
      <c r="Y803" s="4">
        <f>IF($M803=Y$3,-$K803,0)</f>
        <v>0</v>
      </c>
      <c r="Z803" s="4">
        <f>IF($M803=Z$3,-$K803,0)</f>
        <v>0</v>
      </c>
      <c r="AA803" s="4">
        <f>IF($M803=AA$3,-$K803,0)</f>
        <v>0</v>
      </c>
      <c r="AB803" s="4">
        <f>IF($M803=AB$3,-$K803,0)</f>
        <v>0</v>
      </c>
      <c r="AC803" s="10">
        <f>IF($M803=AC$3,-$K803,0)</f>
        <v>0</v>
      </c>
      <c r="AD803" s="9"/>
      <c r="AE803" s="8"/>
      <c r="AF803" s="4"/>
      <c r="AG803" s="4">
        <f>-$K803</f>
        <v>3976000</v>
      </c>
      <c r="AH803" s="2">
        <f>K803+SUM(O803:AC803)</f>
        <v>0</v>
      </c>
      <c r="AI803" s="2">
        <f>K803+SUM(AF803:AG803)</f>
        <v>0</v>
      </c>
    </row>
    <row r="804" spans="1:35" x14ac:dyDescent="0.2">
      <c r="A804" s="11" t="s">
        <v>3</v>
      </c>
      <c r="B804" s="14">
        <v>45994</v>
      </c>
      <c r="H804" s="11" t="s">
        <v>9</v>
      </c>
      <c r="I804" s="11" t="s">
        <v>68</v>
      </c>
      <c r="K804" s="13">
        <v>-4160000</v>
      </c>
      <c r="L804" s="12">
        <v>122025</v>
      </c>
      <c r="M804" s="11" t="str">
        <f>LEFT(I804,(LEN(LEFT(I804,FIND(";",I804)))-8))</f>
        <v>VNHCM</v>
      </c>
      <c r="N804" s="11"/>
      <c r="O804" s="4">
        <f>IF($M804=O$3,-$K804,0)</f>
        <v>0</v>
      </c>
      <c r="P804" s="4">
        <f>IF($M804=P$3,-$K804,0)</f>
        <v>0</v>
      </c>
      <c r="Q804" s="4">
        <f>IF($M804=Q$3,-$K804,0)</f>
        <v>0</v>
      </c>
      <c r="R804" s="4">
        <f>IF($M804=R$3,-$K804,0)</f>
        <v>0</v>
      </c>
      <c r="S804" s="4">
        <f>IF($M804=S$3,-$K804,0)</f>
        <v>0</v>
      </c>
      <c r="T804" s="4">
        <f>IF($M804=T$3,-$K804,0)</f>
        <v>0</v>
      </c>
      <c r="U804" s="4">
        <f>IF($M804=U$3,-$K804,0)</f>
        <v>0</v>
      </c>
      <c r="V804" s="4">
        <f>IF($M804=V$3,-$K804,0)</f>
        <v>0</v>
      </c>
      <c r="W804" s="4">
        <f>IF($M804=W$3,-$K804,0)</f>
        <v>0</v>
      </c>
      <c r="X804" s="4">
        <f>IF($M804=X$3,-$K804,0)</f>
        <v>0</v>
      </c>
      <c r="Y804" s="4">
        <f>IF($M804=Y$3,-$K804,0)</f>
        <v>4160000</v>
      </c>
      <c r="Z804" s="4">
        <f>IF($M804=Z$3,-$K804,0)</f>
        <v>0</v>
      </c>
      <c r="AA804" s="4">
        <f>IF($M804=AA$3,-$K804,0)</f>
        <v>0</v>
      </c>
      <c r="AB804" s="4">
        <f>IF($M804=AB$3,-$K804,0)</f>
        <v>0</v>
      </c>
      <c r="AC804" s="10">
        <f>IF($M804=AC$3,-$K804,0)</f>
        <v>0</v>
      </c>
      <c r="AD804" s="9"/>
      <c r="AE804" s="8"/>
      <c r="AF804" s="4"/>
      <c r="AG804" s="4">
        <f>-$K804</f>
        <v>4160000</v>
      </c>
      <c r="AH804" s="2">
        <f>K804+SUM(O804:AC804)</f>
        <v>0</v>
      </c>
      <c r="AI804" s="2">
        <f>K804+SUM(AF804:AG804)</f>
        <v>0</v>
      </c>
    </row>
    <row r="805" spans="1:35" x14ac:dyDescent="0.2">
      <c r="A805" s="11" t="s">
        <v>3</v>
      </c>
      <c r="B805" s="14">
        <v>45994</v>
      </c>
      <c r="H805" s="11" t="s">
        <v>7</v>
      </c>
      <c r="I805" s="11" t="s">
        <v>67</v>
      </c>
      <c r="K805" s="13">
        <v>-4160000</v>
      </c>
      <c r="L805" s="12">
        <v>122025</v>
      </c>
      <c r="M805" s="11" t="str">
        <f>LEFT(I805,(LEN(LEFT(I805,FIND(";",I805)))-8))</f>
        <v>VNBN</v>
      </c>
      <c r="N805" s="11"/>
      <c r="O805" s="4">
        <f>IF($M805=O$3,-$K805,0)</f>
        <v>0</v>
      </c>
      <c r="P805" s="4">
        <f>IF($M805=P$3,-$K805,0)</f>
        <v>0</v>
      </c>
      <c r="Q805" s="4">
        <f>IF($M805=Q$3,-$K805,0)</f>
        <v>0</v>
      </c>
      <c r="R805" s="4">
        <f>IF($M805=R$3,-$K805,0)</f>
        <v>0</v>
      </c>
      <c r="S805" s="4">
        <f>IF($M805=S$3,-$K805,0)</f>
        <v>0</v>
      </c>
      <c r="T805" s="4">
        <f>IF($M805=T$3,-$K805,0)</f>
        <v>0</v>
      </c>
      <c r="U805" s="4">
        <f>IF($M805=U$3,-$K805,0)</f>
        <v>0</v>
      </c>
      <c r="V805" s="4">
        <f>IF($M805=V$3,-$K805,0)</f>
        <v>0</v>
      </c>
      <c r="W805" s="4">
        <f>IF($M805=W$3,-$K805,0)</f>
        <v>0</v>
      </c>
      <c r="X805" s="4">
        <f>IF($M805=X$3,-$K805,0)</f>
        <v>0</v>
      </c>
      <c r="Y805" s="4">
        <f>IF($M805=Y$3,-$K805,0)</f>
        <v>0</v>
      </c>
      <c r="Z805" s="4">
        <f>IF($M805=Z$3,-$K805,0)</f>
        <v>0</v>
      </c>
      <c r="AA805" s="4">
        <f>IF($M805=AA$3,-$K805,0)</f>
        <v>4160000</v>
      </c>
      <c r="AB805" s="4">
        <f>IF($M805=AB$3,-$K805,0)</f>
        <v>0</v>
      </c>
      <c r="AC805" s="10">
        <f>IF($M805=AC$3,-$K805,0)</f>
        <v>0</v>
      </c>
      <c r="AD805" s="9"/>
      <c r="AE805" s="8"/>
      <c r="AF805" s="4"/>
      <c r="AG805" s="4">
        <f>-$K805</f>
        <v>4160000</v>
      </c>
      <c r="AH805" s="2">
        <f>K805+SUM(O805:AC805)</f>
        <v>0</v>
      </c>
      <c r="AI805" s="2">
        <f>K805+SUM(AF805:AG805)</f>
        <v>0</v>
      </c>
    </row>
    <row r="806" spans="1:35" x14ac:dyDescent="0.2">
      <c r="A806" s="11" t="s">
        <v>3</v>
      </c>
      <c r="B806" s="14">
        <v>45994</v>
      </c>
      <c r="H806" s="11" t="s">
        <v>5</v>
      </c>
      <c r="I806" s="11" t="s">
        <v>66</v>
      </c>
      <c r="K806" s="13">
        <v>-4160000</v>
      </c>
      <c r="L806" s="12">
        <v>122025</v>
      </c>
      <c r="M806" s="11" t="str">
        <f>LEFT(I806,(LEN(LEFT(I806,FIND(";",I806)))-8))</f>
        <v>VNBN</v>
      </c>
      <c r="N806" s="11"/>
      <c r="O806" s="4">
        <f>IF($M806=O$3,-$K806,0)</f>
        <v>0</v>
      </c>
      <c r="P806" s="4">
        <f>IF($M806=P$3,-$K806,0)</f>
        <v>0</v>
      </c>
      <c r="Q806" s="4">
        <f>IF($M806=Q$3,-$K806,0)</f>
        <v>0</v>
      </c>
      <c r="R806" s="4">
        <f>IF($M806=R$3,-$K806,0)</f>
        <v>0</v>
      </c>
      <c r="S806" s="4">
        <f>IF($M806=S$3,-$K806,0)</f>
        <v>0</v>
      </c>
      <c r="T806" s="4">
        <f>IF($M806=T$3,-$K806,0)</f>
        <v>0</v>
      </c>
      <c r="U806" s="4">
        <f>IF($M806=U$3,-$K806,0)</f>
        <v>0</v>
      </c>
      <c r="V806" s="4">
        <f>IF($M806=V$3,-$K806,0)</f>
        <v>0</v>
      </c>
      <c r="W806" s="4">
        <f>IF($M806=W$3,-$K806,0)</f>
        <v>0</v>
      </c>
      <c r="X806" s="4">
        <f>IF($M806=X$3,-$K806,0)</f>
        <v>0</v>
      </c>
      <c r="Y806" s="4">
        <f>IF($M806=Y$3,-$K806,0)</f>
        <v>0</v>
      </c>
      <c r="Z806" s="4">
        <f>IF($M806=Z$3,-$K806,0)</f>
        <v>0</v>
      </c>
      <c r="AA806" s="4">
        <f>IF($M806=AA$3,-$K806,0)</f>
        <v>4160000</v>
      </c>
      <c r="AB806" s="4">
        <f>IF($M806=AB$3,-$K806,0)</f>
        <v>0</v>
      </c>
      <c r="AC806" s="10">
        <f>IF($M806=AC$3,-$K806,0)</f>
        <v>0</v>
      </c>
      <c r="AD806" s="9"/>
      <c r="AE806" s="8"/>
      <c r="AF806" s="4"/>
      <c r="AG806" s="4">
        <f>-$K806</f>
        <v>4160000</v>
      </c>
      <c r="AH806" s="2">
        <f>K806+SUM(O806:AC806)</f>
        <v>0</v>
      </c>
      <c r="AI806" s="2">
        <f>K806+SUM(AF806:AG806)</f>
        <v>0</v>
      </c>
    </row>
    <row r="807" spans="1:35" x14ac:dyDescent="0.2">
      <c r="A807" s="11" t="s">
        <v>61</v>
      </c>
      <c r="B807" s="14">
        <v>45999</v>
      </c>
      <c r="H807" s="11" t="s">
        <v>65</v>
      </c>
      <c r="I807" s="11" t="s">
        <v>64</v>
      </c>
      <c r="K807" s="13">
        <v>-5703791</v>
      </c>
      <c r="L807" s="12">
        <v>122025</v>
      </c>
      <c r="M807" s="11" t="str">
        <f>LEFT(I807,(LEN(LEFT(I807,FIND(";",I807)))-1))</f>
        <v>VNMOET</v>
      </c>
      <c r="N807" s="11"/>
      <c r="O807" s="4">
        <f>IF($M807=O$3,-$K807,0)</f>
        <v>0</v>
      </c>
      <c r="P807" s="4">
        <f>IF($M807=P$3,-$K807,0)</f>
        <v>0</v>
      </c>
      <c r="Q807" s="4">
        <f>IF($M807=Q$3,-$K807,0)</f>
        <v>0</v>
      </c>
      <c r="R807" s="4">
        <f>IF($M807=R$3,-$K807,0)</f>
        <v>0</v>
      </c>
      <c r="S807" s="4">
        <f>IF($M807=S$3,-$K807,0)</f>
        <v>0</v>
      </c>
      <c r="T807" s="4">
        <f>IF($M807=T$3,-$K807,0)</f>
        <v>0</v>
      </c>
      <c r="U807" s="4">
        <f>IF($M807=U$3,-$K807,0)</f>
        <v>0</v>
      </c>
      <c r="V807" s="4">
        <f>IF($M807=V$3,-$K807,0)</f>
        <v>0</v>
      </c>
      <c r="W807" s="4">
        <f>IF($M807=W$3,-$K807,0)</f>
        <v>5703791</v>
      </c>
      <c r="X807" s="4">
        <f>IF($M807=X$3,-$K807,0)</f>
        <v>0</v>
      </c>
      <c r="Y807" s="4">
        <f>IF($M807=Y$3,-$K807,0)</f>
        <v>0</v>
      </c>
      <c r="Z807" s="4">
        <f>IF($M807=Z$3,-$K807,0)</f>
        <v>0</v>
      </c>
      <c r="AA807" s="4">
        <f>IF($M807=AA$3,-$K807,0)</f>
        <v>0</v>
      </c>
      <c r="AB807" s="4">
        <f>IF($M807=AB$3,-$K807,0)</f>
        <v>0</v>
      </c>
      <c r="AC807" s="10">
        <f>IF($M807=AC$3,-$K807,0)</f>
        <v>0</v>
      </c>
      <c r="AD807" s="9"/>
      <c r="AE807" s="8"/>
      <c r="AF807" s="4"/>
      <c r="AG807" s="4">
        <f>-$K807</f>
        <v>5703791</v>
      </c>
      <c r="AH807" s="2">
        <f>K807+SUM(O807:AC807)</f>
        <v>0</v>
      </c>
      <c r="AI807" s="2">
        <f>K807+SUM(AF807:AG807)</f>
        <v>0</v>
      </c>
    </row>
    <row r="808" spans="1:35" x14ac:dyDescent="0.2">
      <c r="A808" s="11" t="s">
        <v>61</v>
      </c>
      <c r="B808" s="14">
        <v>45999</v>
      </c>
      <c r="H808" s="11" t="s">
        <v>63</v>
      </c>
      <c r="I808" s="11" t="s">
        <v>62</v>
      </c>
      <c r="K808" s="13">
        <v>-960540</v>
      </c>
      <c r="L808" s="12">
        <v>122025</v>
      </c>
      <c r="M808" s="11" t="str">
        <f>LEFT(I808,(LEN(LEFT(I808,FIND(";",I808)))-1))</f>
        <v>VNELC</v>
      </c>
      <c r="N808" s="11"/>
      <c r="O808" s="4">
        <f>IF($M808=O$3,-$K808,0)</f>
        <v>0</v>
      </c>
      <c r="P808" s="4">
        <f>IF($M808=P$3,-$K808,0)</f>
        <v>960540</v>
      </c>
      <c r="Q808" s="4">
        <f>IF($M808=Q$3,-$K808,0)</f>
        <v>0</v>
      </c>
      <c r="R808" s="4">
        <f>IF($M808=R$3,-$K808,0)</f>
        <v>0</v>
      </c>
      <c r="S808" s="4">
        <f>IF($M808=S$3,-$K808,0)</f>
        <v>0</v>
      </c>
      <c r="T808" s="4">
        <f>IF($M808=T$3,-$K808,0)</f>
        <v>0</v>
      </c>
      <c r="U808" s="4">
        <f>IF($M808=U$3,-$K808,0)</f>
        <v>0</v>
      </c>
      <c r="V808" s="4">
        <f>IF($M808=V$3,-$K808,0)</f>
        <v>0</v>
      </c>
      <c r="W808" s="4">
        <f>IF($M808=W$3,-$K808,0)</f>
        <v>0</v>
      </c>
      <c r="X808" s="4">
        <f>IF($M808=X$3,-$K808,0)</f>
        <v>0</v>
      </c>
      <c r="Y808" s="4">
        <f>IF($M808=Y$3,-$K808,0)</f>
        <v>0</v>
      </c>
      <c r="Z808" s="4">
        <f>IF($M808=Z$3,-$K808,0)</f>
        <v>0</v>
      </c>
      <c r="AA808" s="4">
        <f>IF($M808=AA$3,-$K808,0)</f>
        <v>0</v>
      </c>
      <c r="AB808" s="4">
        <f>IF($M808=AB$3,-$K808,0)</f>
        <v>0</v>
      </c>
      <c r="AC808" s="10">
        <f>IF($M808=AC$3,-$K808,0)</f>
        <v>0</v>
      </c>
      <c r="AD808" s="9"/>
      <c r="AE808" s="8"/>
      <c r="AF808" s="4"/>
      <c r="AG808" s="4">
        <f>-$K808</f>
        <v>960540</v>
      </c>
      <c r="AH808" s="2">
        <f>K808+SUM(O808:AC808)</f>
        <v>0</v>
      </c>
      <c r="AI808" s="2">
        <f>K808+SUM(AF808:AG808)</f>
        <v>0</v>
      </c>
    </row>
    <row r="809" spans="1:35" x14ac:dyDescent="0.2">
      <c r="A809" s="11" t="s">
        <v>61</v>
      </c>
      <c r="B809" s="14" t="s">
        <v>60</v>
      </c>
      <c r="H809" s="11" t="s">
        <v>59</v>
      </c>
      <c r="I809" s="11" t="s">
        <v>58</v>
      </c>
      <c r="K809" s="13">
        <v>-6000000</v>
      </c>
      <c r="L809" s="12">
        <v>122025</v>
      </c>
      <c r="M809" s="11" t="str">
        <f>LEFT(I809,(LEN(LEFT(I809,FIND(";",I809)))-1))</f>
        <v>VNMOET</v>
      </c>
      <c r="N809" s="11"/>
      <c r="O809" s="4">
        <f>IF($M809=O$3,-$K809,0)</f>
        <v>0</v>
      </c>
      <c r="P809" s="4">
        <f>IF($M809=P$3,-$K809,0)</f>
        <v>0</v>
      </c>
      <c r="Q809" s="4">
        <f>IF($M809=Q$3,-$K809,0)</f>
        <v>0</v>
      </c>
      <c r="R809" s="4">
        <f>IF($M809=R$3,-$K809,0)</f>
        <v>0</v>
      </c>
      <c r="S809" s="4">
        <f>IF($M809=S$3,-$K809,0)</f>
        <v>0</v>
      </c>
      <c r="T809" s="4">
        <f>IF($M809=T$3,-$K809,0)</f>
        <v>0</v>
      </c>
      <c r="U809" s="4">
        <f>IF($M809=U$3,-$K809,0)</f>
        <v>0</v>
      </c>
      <c r="V809" s="4">
        <f>IF($M809=V$3,-$K809,0)</f>
        <v>0</v>
      </c>
      <c r="W809" s="4">
        <f>IF($M809=W$3,-$K809,0)</f>
        <v>6000000</v>
      </c>
      <c r="X809" s="4">
        <f>IF($M809=X$3,-$K809,0)</f>
        <v>0</v>
      </c>
      <c r="Y809" s="4">
        <f>IF($M809=Y$3,-$K809,0)</f>
        <v>0</v>
      </c>
      <c r="Z809" s="4">
        <f>IF($M809=Z$3,-$K809,0)</f>
        <v>0</v>
      </c>
      <c r="AA809" s="4">
        <f>IF($M809=AA$3,-$K809,0)</f>
        <v>0</v>
      </c>
      <c r="AB809" s="4">
        <f>IF($M809=AB$3,-$K809,0)</f>
        <v>0</v>
      </c>
      <c r="AC809" s="10">
        <f>IF($M809=AC$3,-$K809,0)</f>
        <v>0</v>
      </c>
      <c r="AD809" s="9"/>
      <c r="AE809" s="8"/>
      <c r="AF809" s="4"/>
      <c r="AG809" s="4">
        <f>-$K809</f>
        <v>6000000</v>
      </c>
      <c r="AH809" s="2">
        <f>K809+SUM(O809:AC809)</f>
        <v>0</v>
      </c>
      <c r="AI809" s="2">
        <f>K809+SUM(AF809:AG809)</f>
        <v>0</v>
      </c>
    </row>
    <row r="810" spans="1:35" x14ac:dyDescent="0.2">
      <c r="A810" s="11" t="s">
        <v>3</v>
      </c>
      <c r="B810" s="14">
        <v>46020</v>
      </c>
      <c r="H810" s="11" t="s">
        <v>57</v>
      </c>
      <c r="I810" s="11" t="s">
        <v>56</v>
      </c>
      <c r="K810" s="13">
        <v>-15333896</v>
      </c>
      <c r="L810" s="12">
        <v>122025</v>
      </c>
      <c r="M810" s="11" t="str">
        <f>LEFT(I810,(LEN(LEFT(I810,FIND(";",I810)))-8))</f>
        <v>VNOther</v>
      </c>
      <c r="N810" s="11"/>
      <c r="O810" s="15">
        <f>-$K810*IFERROR(INDEX('[1]salary allocation-v2'!$E$6:$J$22,MATCH($H810,'[1]salary allocation-v2'!$D$6:$D$22,0),MATCH(O$3,'[1]salary allocation-v2'!$E$3:$J$3,0)),0)</f>
        <v>0</v>
      </c>
      <c r="P810" s="15">
        <f>-$K810*IFERROR(INDEX('[1]salary allocation-v2'!$E$6:$J$22,MATCH($H810,'[1]salary allocation-v2'!$D$6:$D$22,0),MATCH(P$3,'[1]salary allocation-v2'!$E$3:$J$3,0)),0)</f>
        <v>7666948</v>
      </c>
      <c r="Q810" s="15">
        <f>-$K810*IFERROR(INDEX('[1]salary allocation-v2'!$E$6:$J$22,MATCH($H810,'[1]salary allocation-v2'!$D$6:$D$22,0),MATCH(Q$3,'[1]salary allocation-v2'!$E$3:$J$3,0)),0)</f>
        <v>0</v>
      </c>
      <c r="R810" s="15">
        <f>-$K810*IFERROR(INDEX('[1]salary allocation-v2'!$E$6:$J$22,MATCH($H810,'[1]salary allocation-v2'!$D$6:$D$22,0),MATCH(R$3,'[1]salary allocation-v2'!$E$3:$J$3,0)),0)</f>
        <v>0</v>
      </c>
      <c r="S810" s="15">
        <f>-$K810*IFERROR(INDEX('[1]salary allocation-v2'!$E$6:$J$22,MATCH($H810,'[1]salary allocation-v2'!$D$6:$D$22,0),MATCH(S$3,'[1]salary allocation-v2'!$E$3:$J$3,0)),0)</f>
        <v>1533389.6</v>
      </c>
      <c r="T810" s="15">
        <f>-$K810*IFERROR(INDEX('[1]salary allocation-v2'!$E$6:$J$22,MATCH($H810,'[1]salary allocation-v2'!$D$6:$D$22,0),MATCH(T$3,'[1]salary allocation-v2'!$E$3:$J$3,0)),0)</f>
        <v>1533389.6</v>
      </c>
      <c r="U810" s="15">
        <f>-$K810*IFERROR(INDEX('[1]salary allocation-v2'!$E$6:$J$22,MATCH($H810,'[1]salary allocation-v2'!$D$6:$D$22,0),MATCH(U$3,'[1]salary allocation-v2'!$E$3:$J$3,0)),0)</f>
        <v>1533389.6</v>
      </c>
      <c r="V810" s="15">
        <f>-$K810*IFERROR(INDEX('[1]salary allocation-v2'!$E$6:$J$22,MATCH($H810,'[1]salary allocation-v2'!$D$6:$D$22,0),MATCH(V$3,'[1]salary allocation-v2'!$E$3:$J$3,0)),0)</f>
        <v>0</v>
      </c>
      <c r="W810" s="15">
        <f>-$K810*IFERROR(INDEX('[1]salary allocation-v2'!$E$6:$J$22,MATCH($H810,'[1]salary allocation-v2'!$D$6:$D$22,0),MATCH(W$3,'[1]salary allocation-v2'!$E$3:$J$3,0)),0)</f>
        <v>3066779.2</v>
      </c>
      <c r="X810" s="15">
        <f>-$K810*IFERROR(INDEX('[1]salary allocation-v2'!$E$6:$J$22,MATCH($H810,'[1]salary allocation-v2'!$D$6:$D$22,0),MATCH(X$3,'[1]salary allocation-v2'!$E$3:$J$3,0)),0)</f>
        <v>0</v>
      </c>
      <c r="Y810" s="15">
        <f>-$K810*IFERROR(INDEX('[1]salary allocation-v2'!$E$6:$J$22,MATCH($H810,'[1]salary allocation-v2'!$D$6:$D$22,0),MATCH(Y$3,'[1]salary allocation-v2'!$E$3:$J$3,0)),0)</f>
        <v>0</v>
      </c>
      <c r="Z810" s="15">
        <f>-$K810*IFERROR(INDEX('[1]salary allocation-v2'!$E$6:$J$22,MATCH($H810,'[1]salary allocation-v2'!$D$6:$D$22,0),MATCH(Z$3,'[1]salary allocation-v2'!$E$3:$J$3,0)),0)</f>
        <v>0</v>
      </c>
      <c r="AA810" s="15">
        <f>-$K810*IFERROR(INDEX('[1]salary allocation-v2'!$E$6:$J$22,MATCH($H810,'[1]salary allocation-v2'!$D$6:$D$22,0),MATCH(AA$3,'[1]salary allocation-v2'!$E$3:$J$3,0)),0)</f>
        <v>0</v>
      </c>
      <c r="AB810" s="15">
        <f>-$K810*IFERROR(INDEX('[1]salary allocation-v2'!$E$6:$J$22,MATCH($H810,'[1]salary allocation-v2'!$D$6:$D$22,0),MATCH(AB$3,'[1]salary allocation-v2'!$E$3:$J$3,0)),0)</f>
        <v>0</v>
      </c>
      <c r="AC810" s="18">
        <f>-$K810*IFERROR(INDEX('[1]salary allocation-v2'!$E$6:$J$22,MATCH($H810,'[1]salary allocation-v2'!$D$6:$D$22,0),MATCH(AC$3,'[1]salary allocation-v2'!$E$3:$J$3,0)),0)</f>
        <v>0</v>
      </c>
      <c r="AD810" s="17"/>
      <c r="AE810" s="16"/>
      <c r="AF810" s="15">
        <f>-$K810</f>
        <v>15333896</v>
      </c>
      <c r="AG810" s="15"/>
      <c r="AH810" s="2">
        <f>K810+SUM(O810:AC810)</f>
        <v>0</v>
      </c>
      <c r="AI810" s="2">
        <f>K810+SUM(AF810:AG810)</f>
        <v>0</v>
      </c>
    </row>
    <row r="811" spans="1:35" x14ac:dyDescent="0.2">
      <c r="A811" s="11" t="s">
        <v>3</v>
      </c>
      <c r="B811" s="14">
        <v>46020</v>
      </c>
      <c r="H811" s="11" t="s">
        <v>55</v>
      </c>
      <c r="I811" s="11" t="s">
        <v>54</v>
      </c>
      <c r="K811" s="13">
        <v>-15483132</v>
      </c>
      <c r="L811" s="12">
        <v>122025</v>
      </c>
      <c r="M811" s="11" t="str">
        <f>LEFT(I811,(LEN(LEFT(I811,FIND(";",I811)))-8))</f>
        <v>VNHBC</v>
      </c>
      <c r="N811" s="11"/>
      <c r="O811" s="15">
        <f>-$K811*IFERROR(INDEX('[1]salary allocation-v2'!$E$6:$J$22,MATCH($H811,'[1]salary allocation-v2'!$D$6:$D$22,0),MATCH(O$3,'[1]salary allocation-v2'!$E$3:$J$3,0)),0)</f>
        <v>0</v>
      </c>
      <c r="P811" s="15">
        <f>-$K811*IFERROR(INDEX('[1]salary allocation-v2'!$E$6:$J$22,MATCH($H811,'[1]salary allocation-v2'!$D$6:$D$22,0),MATCH(P$3,'[1]salary allocation-v2'!$E$3:$J$3,0)),0)</f>
        <v>0</v>
      </c>
      <c r="Q811" s="15">
        <f>-$K811*IFERROR(INDEX('[1]salary allocation-v2'!$E$6:$J$22,MATCH($H811,'[1]salary allocation-v2'!$D$6:$D$22,0),MATCH(Q$3,'[1]salary allocation-v2'!$E$3:$J$3,0)),0)</f>
        <v>0</v>
      </c>
      <c r="R811" s="15">
        <f>-$K811*IFERROR(INDEX('[1]salary allocation-v2'!$E$6:$J$22,MATCH($H811,'[1]salary allocation-v2'!$D$6:$D$22,0),MATCH(R$3,'[1]salary allocation-v2'!$E$3:$J$3,0)),0)</f>
        <v>0</v>
      </c>
      <c r="S811" s="15">
        <f>-$K811*IFERROR(INDEX('[1]salary allocation-v2'!$E$6:$J$22,MATCH($H811,'[1]salary allocation-v2'!$D$6:$D$22,0),MATCH(S$3,'[1]salary allocation-v2'!$E$3:$J$3,0)),0)</f>
        <v>3096626.4000000004</v>
      </c>
      <c r="T811" s="15">
        <f>-$K811*IFERROR(INDEX('[1]salary allocation-v2'!$E$6:$J$22,MATCH($H811,'[1]salary allocation-v2'!$D$6:$D$22,0),MATCH(T$3,'[1]salary allocation-v2'!$E$3:$J$3,0)),0)</f>
        <v>3096626.4000000004</v>
      </c>
      <c r="U811" s="15">
        <f>-$K811*IFERROR(INDEX('[1]salary allocation-v2'!$E$6:$J$22,MATCH($H811,'[1]salary allocation-v2'!$D$6:$D$22,0),MATCH(U$3,'[1]salary allocation-v2'!$E$3:$J$3,0)),0)</f>
        <v>3096626.4000000004</v>
      </c>
      <c r="V811" s="15">
        <f>-$K811*IFERROR(INDEX('[1]salary allocation-v2'!$E$6:$J$22,MATCH($H811,'[1]salary allocation-v2'!$D$6:$D$22,0),MATCH(V$3,'[1]salary allocation-v2'!$E$3:$J$3,0)),0)</f>
        <v>0</v>
      </c>
      <c r="W811" s="15">
        <f>-$K811*IFERROR(INDEX('[1]salary allocation-v2'!$E$6:$J$22,MATCH($H811,'[1]salary allocation-v2'!$D$6:$D$22,0),MATCH(W$3,'[1]salary allocation-v2'!$E$3:$J$3,0)),0)</f>
        <v>6193252.8000000007</v>
      </c>
      <c r="X811" s="15">
        <f>-$K811*IFERROR(INDEX('[1]salary allocation-v2'!$E$6:$J$22,MATCH($H811,'[1]salary allocation-v2'!$D$6:$D$22,0),MATCH(X$3,'[1]salary allocation-v2'!$E$3:$J$3,0)),0)</f>
        <v>0</v>
      </c>
      <c r="Y811" s="15">
        <f>-$K811*IFERROR(INDEX('[1]salary allocation-v2'!$E$6:$J$22,MATCH($H811,'[1]salary allocation-v2'!$D$6:$D$22,0),MATCH(Y$3,'[1]salary allocation-v2'!$E$3:$J$3,0)),0)</f>
        <v>0</v>
      </c>
      <c r="Z811" s="15">
        <f>-$K811*IFERROR(INDEX('[1]salary allocation-v2'!$E$6:$J$22,MATCH($H811,'[1]salary allocation-v2'!$D$6:$D$22,0),MATCH(Z$3,'[1]salary allocation-v2'!$E$3:$J$3,0)),0)</f>
        <v>0</v>
      </c>
      <c r="AA811" s="15">
        <f>-$K811*IFERROR(INDEX('[1]salary allocation-v2'!$E$6:$J$22,MATCH($H811,'[1]salary allocation-v2'!$D$6:$D$22,0),MATCH(AA$3,'[1]salary allocation-v2'!$E$3:$J$3,0)),0)</f>
        <v>0</v>
      </c>
      <c r="AB811" s="15">
        <f>-$K811*IFERROR(INDEX('[1]salary allocation-v2'!$E$6:$J$22,MATCH($H811,'[1]salary allocation-v2'!$D$6:$D$22,0),MATCH(AB$3,'[1]salary allocation-v2'!$E$3:$J$3,0)),0)</f>
        <v>0</v>
      </c>
      <c r="AC811" s="18">
        <f>-$K811*IFERROR(INDEX('[1]salary allocation-v2'!$E$6:$J$22,MATCH($H811,'[1]salary allocation-v2'!$D$6:$D$22,0),MATCH(AC$3,'[1]salary allocation-v2'!$E$3:$J$3,0)),0)</f>
        <v>0</v>
      </c>
      <c r="AD811" s="17"/>
      <c r="AE811" s="16"/>
      <c r="AF811" s="15">
        <f>-$K811</f>
        <v>15483132</v>
      </c>
      <c r="AG811" s="15"/>
      <c r="AH811" s="2">
        <f>K811+SUM(O811:AC811)</f>
        <v>0</v>
      </c>
      <c r="AI811" s="2">
        <f>K811+SUM(AF811:AG811)</f>
        <v>0</v>
      </c>
    </row>
    <row r="812" spans="1:35" x14ac:dyDescent="0.2">
      <c r="A812" s="11" t="s">
        <v>3</v>
      </c>
      <c r="B812" s="14">
        <v>46020</v>
      </c>
      <c r="H812" s="11" t="s">
        <v>53</v>
      </c>
      <c r="I812" s="11" t="s">
        <v>52</v>
      </c>
      <c r="K812" s="13">
        <v>-15205906</v>
      </c>
      <c r="L812" s="12">
        <v>122025</v>
      </c>
      <c r="M812" s="11" t="str">
        <f>LEFT(I812,(LEN(LEFT(I812,FIND(";",I812)))-8))</f>
        <v>VNOther</v>
      </c>
      <c r="N812" s="11"/>
      <c r="O812" s="15">
        <f>-$K812*IFERROR(INDEX('[1]salary allocation-v2'!$E$6:$J$22,MATCH($H812,'[1]salary allocation-v2'!$D$6:$D$22,0),MATCH(O$3,'[1]salary allocation-v2'!$E$3:$J$3,0)),0)</f>
        <v>0</v>
      </c>
      <c r="P812" s="15">
        <f>-$K812*IFERROR(INDEX('[1]salary allocation-v2'!$E$6:$J$22,MATCH($H812,'[1]salary allocation-v2'!$D$6:$D$22,0),MATCH(P$3,'[1]salary allocation-v2'!$E$3:$J$3,0)),0)</f>
        <v>0</v>
      </c>
      <c r="Q812" s="15">
        <f>-$K812*IFERROR(INDEX('[1]salary allocation-v2'!$E$6:$J$22,MATCH($H812,'[1]salary allocation-v2'!$D$6:$D$22,0),MATCH(Q$3,'[1]salary allocation-v2'!$E$3:$J$3,0)),0)</f>
        <v>0</v>
      </c>
      <c r="R812" s="15">
        <f>-$K812*IFERROR(INDEX('[1]salary allocation-v2'!$E$6:$J$22,MATCH($H812,'[1]salary allocation-v2'!$D$6:$D$22,0),MATCH(R$3,'[1]salary allocation-v2'!$E$3:$J$3,0)),0)</f>
        <v>0</v>
      </c>
      <c r="S812" s="15">
        <f>-$K812*IFERROR(INDEX('[1]salary allocation-v2'!$E$6:$J$22,MATCH($H812,'[1]salary allocation-v2'!$D$6:$D$22,0),MATCH(S$3,'[1]salary allocation-v2'!$E$3:$J$3,0)),0)</f>
        <v>2585004.0199999996</v>
      </c>
      <c r="T812" s="15">
        <f>-$K812*IFERROR(INDEX('[1]salary allocation-v2'!$E$6:$J$22,MATCH($H812,'[1]salary allocation-v2'!$D$6:$D$22,0),MATCH(T$3,'[1]salary allocation-v2'!$E$3:$J$3,0)),0)</f>
        <v>2585004.0199999996</v>
      </c>
      <c r="U812" s="15">
        <f>-$K812*IFERROR(INDEX('[1]salary allocation-v2'!$E$6:$J$22,MATCH($H812,'[1]salary allocation-v2'!$D$6:$D$22,0),MATCH(U$3,'[1]salary allocation-v2'!$E$3:$J$3,0)),0)</f>
        <v>2585004.0199999996</v>
      </c>
      <c r="V812" s="15">
        <f>-$K812*IFERROR(INDEX('[1]salary allocation-v2'!$E$6:$J$22,MATCH($H812,'[1]salary allocation-v2'!$D$6:$D$22,0),MATCH(V$3,'[1]salary allocation-v2'!$E$3:$J$3,0)),0)</f>
        <v>0</v>
      </c>
      <c r="W812" s="15">
        <f>-$K812*IFERROR(INDEX('[1]salary allocation-v2'!$E$6:$J$22,MATCH($H812,'[1]salary allocation-v2'!$D$6:$D$22,0),MATCH(W$3,'[1]salary allocation-v2'!$E$3:$J$3,0)),0)</f>
        <v>7450893.9399999995</v>
      </c>
      <c r="X812" s="15">
        <f>-$K812*IFERROR(INDEX('[1]salary allocation-v2'!$E$6:$J$22,MATCH($H812,'[1]salary allocation-v2'!$D$6:$D$22,0),MATCH(X$3,'[1]salary allocation-v2'!$E$3:$J$3,0)),0)</f>
        <v>0</v>
      </c>
      <c r="Y812" s="15">
        <f>-$K812*IFERROR(INDEX('[1]salary allocation-v2'!$E$6:$J$22,MATCH($H812,'[1]salary allocation-v2'!$D$6:$D$22,0),MATCH(Y$3,'[1]salary allocation-v2'!$E$3:$J$3,0)),0)</f>
        <v>0</v>
      </c>
      <c r="Z812" s="15">
        <f>-$K812*IFERROR(INDEX('[1]salary allocation-v2'!$E$6:$J$22,MATCH($H812,'[1]salary allocation-v2'!$D$6:$D$22,0),MATCH(Z$3,'[1]salary allocation-v2'!$E$3:$J$3,0)),0)</f>
        <v>0</v>
      </c>
      <c r="AA812" s="15">
        <f>-$K812*IFERROR(INDEX('[1]salary allocation-v2'!$E$6:$J$22,MATCH($H812,'[1]salary allocation-v2'!$D$6:$D$22,0),MATCH(AA$3,'[1]salary allocation-v2'!$E$3:$J$3,0)),0)</f>
        <v>0</v>
      </c>
      <c r="AB812" s="15">
        <f>-$K812*IFERROR(INDEX('[1]salary allocation-v2'!$E$6:$J$22,MATCH($H812,'[1]salary allocation-v2'!$D$6:$D$22,0),MATCH(AB$3,'[1]salary allocation-v2'!$E$3:$J$3,0)),0)</f>
        <v>0</v>
      </c>
      <c r="AC812" s="18">
        <f>-$K812*IFERROR(INDEX('[1]salary allocation-v2'!$E$6:$J$22,MATCH($H812,'[1]salary allocation-v2'!$D$6:$D$22,0),MATCH(AC$3,'[1]salary allocation-v2'!$E$3:$J$3,0)),0)</f>
        <v>0</v>
      </c>
      <c r="AD812" s="17"/>
      <c r="AE812" s="16"/>
      <c r="AF812" s="15">
        <f>-$K812</f>
        <v>15205906</v>
      </c>
      <c r="AG812" s="15"/>
      <c r="AH812" s="2">
        <f>K812+SUM(O812:AC812)</f>
        <v>0</v>
      </c>
      <c r="AI812" s="2">
        <f>K812+SUM(AF812:AG812)</f>
        <v>0</v>
      </c>
    </row>
    <row r="813" spans="1:35" x14ac:dyDescent="0.2">
      <c r="A813" s="11" t="s">
        <v>3</v>
      </c>
      <c r="B813" s="14">
        <v>46020</v>
      </c>
      <c r="H813" s="11" t="s">
        <v>51</v>
      </c>
      <c r="I813" s="11" t="s">
        <v>50</v>
      </c>
      <c r="K813" s="13">
        <v>-13970133</v>
      </c>
      <c r="L813" s="12">
        <v>122025</v>
      </c>
      <c r="M813" s="11" t="str">
        <f>LEFT(I813,(LEN(LEFT(I813,FIND(";",I813)))-8))</f>
        <v>VNOther</v>
      </c>
      <c r="N813" s="11"/>
      <c r="O813" s="15">
        <f>-$K813*IFERROR(INDEX('[1]salary allocation-v2'!$E$6:$J$22,MATCH($H813,'[1]salary allocation-v2'!$D$6:$D$22,0),MATCH(O$3,'[1]salary allocation-v2'!$E$3:$J$3,0)),0)</f>
        <v>0</v>
      </c>
      <c r="P813" s="15">
        <f>-$K813*IFERROR(INDEX('[1]salary allocation-v2'!$E$6:$J$22,MATCH($H813,'[1]salary allocation-v2'!$D$6:$D$22,0),MATCH(P$3,'[1]salary allocation-v2'!$E$3:$J$3,0)),0)</f>
        <v>0</v>
      </c>
      <c r="Q813" s="15">
        <f>-$K813*IFERROR(INDEX('[1]salary allocation-v2'!$E$6:$J$22,MATCH($H813,'[1]salary allocation-v2'!$D$6:$D$22,0),MATCH(Q$3,'[1]salary allocation-v2'!$E$3:$J$3,0)),0)</f>
        <v>0</v>
      </c>
      <c r="R813" s="15">
        <f>-$K813*IFERROR(INDEX('[1]salary allocation-v2'!$E$6:$J$22,MATCH($H813,'[1]salary allocation-v2'!$D$6:$D$22,0),MATCH(R$3,'[1]salary allocation-v2'!$E$3:$J$3,0)),0)</f>
        <v>0</v>
      </c>
      <c r="S813" s="15">
        <f>-$K813*IFERROR(INDEX('[1]salary allocation-v2'!$E$6:$J$22,MATCH($H813,'[1]salary allocation-v2'!$D$6:$D$22,0),MATCH(S$3,'[1]salary allocation-v2'!$E$3:$J$3,0)),0)</f>
        <v>1397013.3</v>
      </c>
      <c r="T813" s="15">
        <f>-$K813*IFERROR(INDEX('[1]salary allocation-v2'!$E$6:$J$22,MATCH($H813,'[1]salary allocation-v2'!$D$6:$D$22,0),MATCH(T$3,'[1]salary allocation-v2'!$E$3:$J$3,0)),0)</f>
        <v>1397013.3</v>
      </c>
      <c r="U813" s="15">
        <f>-$K813*IFERROR(INDEX('[1]salary allocation-v2'!$E$6:$J$22,MATCH($H813,'[1]salary allocation-v2'!$D$6:$D$22,0),MATCH(U$3,'[1]salary allocation-v2'!$E$3:$J$3,0)),0)</f>
        <v>1397013.3</v>
      </c>
      <c r="V813" s="15">
        <f>-$K813*IFERROR(INDEX('[1]salary allocation-v2'!$E$6:$J$22,MATCH($H813,'[1]salary allocation-v2'!$D$6:$D$22,0),MATCH(V$3,'[1]salary allocation-v2'!$E$3:$J$3,0)),0)</f>
        <v>0</v>
      </c>
      <c r="W813" s="15">
        <f>-$K813*IFERROR(INDEX('[1]salary allocation-v2'!$E$6:$J$22,MATCH($H813,'[1]salary allocation-v2'!$D$6:$D$22,0),MATCH(W$3,'[1]salary allocation-v2'!$E$3:$J$3,0)),0)</f>
        <v>9779093.0999999996</v>
      </c>
      <c r="X813" s="15">
        <f>-$K813*IFERROR(INDEX('[1]salary allocation-v2'!$E$6:$J$22,MATCH($H813,'[1]salary allocation-v2'!$D$6:$D$22,0),MATCH(X$3,'[1]salary allocation-v2'!$E$3:$J$3,0)),0)</f>
        <v>0</v>
      </c>
      <c r="Y813" s="15">
        <f>-$K813*IFERROR(INDEX('[1]salary allocation-v2'!$E$6:$J$22,MATCH($H813,'[1]salary allocation-v2'!$D$6:$D$22,0),MATCH(Y$3,'[1]salary allocation-v2'!$E$3:$J$3,0)),0)</f>
        <v>0</v>
      </c>
      <c r="Z813" s="15">
        <f>-$K813*IFERROR(INDEX('[1]salary allocation-v2'!$E$6:$J$22,MATCH($H813,'[1]salary allocation-v2'!$D$6:$D$22,0),MATCH(Z$3,'[1]salary allocation-v2'!$E$3:$J$3,0)),0)</f>
        <v>0</v>
      </c>
      <c r="AA813" s="15">
        <f>-$K813*IFERROR(INDEX('[1]salary allocation-v2'!$E$6:$J$22,MATCH($H813,'[1]salary allocation-v2'!$D$6:$D$22,0),MATCH(AA$3,'[1]salary allocation-v2'!$E$3:$J$3,0)),0)</f>
        <v>0</v>
      </c>
      <c r="AB813" s="15">
        <f>-$K813*IFERROR(INDEX('[1]salary allocation-v2'!$E$6:$J$22,MATCH($H813,'[1]salary allocation-v2'!$D$6:$D$22,0),MATCH(AB$3,'[1]salary allocation-v2'!$E$3:$J$3,0)),0)</f>
        <v>0</v>
      </c>
      <c r="AC813" s="18">
        <f>-$K813*IFERROR(INDEX('[1]salary allocation-v2'!$E$6:$J$22,MATCH($H813,'[1]salary allocation-v2'!$D$6:$D$22,0),MATCH(AC$3,'[1]salary allocation-v2'!$E$3:$J$3,0)),0)</f>
        <v>0</v>
      </c>
      <c r="AD813" s="17"/>
      <c r="AE813" s="16"/>
      <c r="AF813" s="15">
        <f>-$K813</f>
        <v>13970133</v>
      </c>
      <c r="AG813" s="15"/>
      <c r="AH813" s="2">
        <f>K813+SUM(O813:AC813)</f>
        <v>0</v>
      </c>
      <c r="AI813" s="2">
        <f>K813+SUM(AF813:AG813)</f>
        <v>0</v>
      </c>
    </row>
    <row r="814" spans="1:35" x14ac:dyDescent="0.2">
      <c r="A814" s="11" t="s">
        <v>3</v>
      </c>
      <c r="B814" s="14">
        <v>46020</v>
      </c>
      <c r="H814" s="11" t="s">
        <v>49</v>
      </c>
      <c r="I814" s="11" t="s">
        <v>48</v>
      </c>
      <c r="K814" s="13">
        <v>-8879531</v>
      </c>
      <c r="L814" s="12">
        <v>122025</v>
      </c>
      <c r="M814" s="11" t="str">
        <f>LEFT(I814,(LEN(LEFT(I814,FIND(";",I814)))-8))</f>
        <v>VNMOET</v>
      </c>
      <c r="N814" s="11"/>
      <c r="O814" s="15">
        <f>-$K814*IFERROR(INDEX('[1]salary allocation-v2'!$E$6:$J$22,MATCH($H814,'[1]salary allocation-v2'!$D$6:$D$22,0),MATCH(O$3,'[1]salary allocation-v2'!$E$3:$J$3,0)),0)</f>
        <v>0</v>
      </c>
      <c r="P814" s="15">
        <f>-$K814*IFERROR(INDEX('[1]salary allocation-v2'!$E$6:$J$22,MATCH($H814,'[1]salary allocation-v2'!$D$6:$D$22,0),MATCH(P$3,'[1]salary allocation-v2'!$E$3:$J$3,0)),0)</f>
        <v>0</v>
      </c>
      <c r="Q814" s="15">
        <f>-$K814*IFERROR(INDEX('[1]salary allocation-v2'!$E$6:$J$22,MATCH($H814,'[1]salary allocation-v2'!$D$6:$D$22,0),MATCH(Q$3,'[1]salary allocation-v2'!$E$3:$J$3,0)),0)</f>
        <v>0</v>
      </c>
      <c r="R814" s="15">
        <f>-$K814*IFERROR(INDEX('[1]salary allocation-v2'!$E$6:$J$22,MATCH($H814,'[1]salary allocation-v2'!$D$6:$D$22,0),MATCH(R$3,'[1]salary allocation-v2'!$E$3:$J$3,0)),0)</f>
        <v>0</v>
      </c>
      <c r="S814" s="15">
        <f>-$K814*IFERROR(INDEX('[1]salary allocation-v2'!$E$6:$J$22,MATCH($H814,'[1]salary allocation-v2'!$D$6:$D$22,0),MATCH(S$3,'[1]salary allocation-v2'!$E$3:$J$3,0)),0)</f>
        <v>1775906.2000000002</v>
      </c>
      <c r="T814" s="15">
        <f>-$K814*IFERROR(INDEX('[1]salary allocation-v2'!$E$6:$J$22,MATCH($H814,'[1]salary allocation-v2'!$D$6:$D$22,0),MATCH(T$3,'[1]salary allocation-v2'!$E$3:$J$3,0)),0)</f>
        <v>1775906.2000000002</v>
      </c>
      <c r="U814" s="15">
        <f>-$K814*IFERROR(INDEX('[1]salary allocation-v2'!$E$6:$J$22,MATCH($H814,'[1]salary allocation-v2'!$D$6:$D$22,0),MATCH(U$3,'[1]salary allocation-v2'!$E$3:$J$3,0)),0)</f>
        <v>1775906.2000000002</v>
      </c>
      <c r="V814" s="15">
        <f>-$K814*IFERROR(INDEX('[1]salary allocation-v2'!$E$6:$J$22,MATCH($H814,'[1]salary allocation-v2'!$D$6:$D$22,0),MATCH(V$3,'[1]salary allocation-v2'!$E$3:$J$3,0)),0)</f>
        <v>0</v>
      </c>
      <c r="W814" s="15">
        <f>-$K814*IFERROR(INDEX('[1]salary allocation-v2'!$E$6:$J$22,MATCH($H814,'[1]salary allocation-v2'!$D$6:$D$22,0),MATCH(W$3,'[1]salary allocation-v2'!$E$3:$J$3,0)),0)</f>
        <v>3551812.4000000004</v>
      </c>
      <c r="X814" s="15">
        <f>-$K814*IFERROR(INDEX('[1]salary allocation-v2'!$E$6:$J$22,MATCH($H814,'[1]salary allocation-v2'!$D$6:$D$22,0),MATCH(X$3,'[1]salary allocation-v2'!$E$3:$J$3,0)),0)</f>
        <v>0</v>
      </c>
      <c r="Y814" s="15">
        <f>-$K814*IFERROR(INDEX('[1]salary allocation-v2'!$E$6:$J$22,MATCH($H814,'[1]salary allocation-v2'!$D$6:$D$22,0),MATCH(Y$3,'[1]salary allocation-v2'!$E$3:$J$3,0)),0)</f>
        <v>0</v>
      </c>
      <c r="Z814" s="15">
        <f>-$K814*IFERROR(INDEX('[1]salary allocation-v2'!$E$6:$J$22,MATCH($H814,'[1]salary allocation-v2'!$D$6:$D$22,0),MATCH(Z$3,'[1]salary allocation-v2'!$E$3:$J$3,0)),0)</f>
        <v>0</v>
      </c>
      <c r="AA814" s="15">
        <f>-$K814*IFERROR(INDEX('[1]salary allocation-v2'!$E$6:$J$22,MATCH($H814,'[1]salary allocation-v2'!$D$6:$D$22,0),MATCH(AA$3,'[1]salary allocation-v2'!$E$3:$J$3,0)),0)</f>
        <v>0</v>
      </c>
      <c r="AB814" s="15">
        <f>-$K814*IFERROR(INDEX('[1]salary allocation-v2'!$E$6:$J$22,MATCH($H814,'[1]salary allocation-v2'!$D$6:$D$22,0),MATCH(AB$3,'[1]salary allocation-v2'!$E$3:$J$3,0)),0)</f>
        <v>0</v>
      </c>
      <c r="AC814" s="18">
        <f>-$K814*IFERROR(INDEX('[1]salary allocation-v2'!$E$6:$J$22,MATCH($H814,'[1]salary allocation-v2'!$D$6:$D$22,0),MATCH(AC$3,'[1]salary allocation-v2'!$E$3:$J$3,0)),0)</f>
        <v>0</v>
      </c>
      <c r="AD814" s="17"/>
      <c r="AE814" s="16"/>
      <c r="AF814" s="15">
        <f>-$K814</f>
        <v>8879531</v>
      </c>
      <c r="AG814" s="15"/>
      <c r="AH814" s="2">
        <f>K814+SUM(O814:AC814)</f>
        <v>0</v>
      </c>
      <c r="AI814" s="2">
        <f>K814+SUM(AF814:AG814)</f>
        <v>0</v>
      </c>
    </row>
    <row r="815" spans="1:35" x14ac:dyDescent="0.2">
      <c r="A815" s="11" t="s">
        <v>3</v>
      </c>
      <c r="B815" s="14">
        <v>46020</v>
      </c>
      <c r="H815" s="11" t="s">
        <v>47</v>
      </c>
      <c r="I815" s="11" t="s">
        <v>46</v>
      </c>
      <c r="K815" s="13">
        <v>-15316796</v>
      </c>
      <c r="L815" s="12">
        <v>122025</v>
      </c>
      <c r="M815" s="11" t="str">
        <f>LEFT(I815,(LEN(LEFT(I815,FIND(";",I815)))-8))</f>
        <v>VNHBC</v>
      </c>
      <c r="N815" s="11"/>
      <c r="O815" s="15">
        <f>-$K815*IFERROR(INDEX('[1]salary allocation-v2'!$E$6:$J$22,MATCH($H815,'[1]salary allocation-v2'!$D$6:$D$22,0),MATCH(O$3,'[1]salary allocation-v2'!$E$3:$J$3,0)),0)</f>
        <v>0</v>
      </c>
      <c r="P815" s="15">
        <f>-$K815*IFERROR(INDEX('[1]salary allocation-v2'!$E$6:$J$22,MATCH($H815,'[1]salary allocation-v2'!$D$6:$D$22,0),MATCH(P$3,'[1]salary allocation-v2'!$E$3:$J$3,0)),0)</f>
        <v>0</v>
      </c>
      <c r="Q815" s="15">
        <f>-$K815*IFERROR(INDEX('[1]salary allocation-v2'!$E$6:$J$22,MATCH($H815,'[1]salary allocation-v2'!$D$6:$D$22,0),MATCH(Q$3,'[1]salary allocation-v2'!$E$3:$J$3,0)),0)</f>
        <v>0</v>
      </c>
      <c r="R815" s="15">
        <f>-$K815*IFERROR(INDEX('[1]salary allocation-v2'!$E$6:$J$22,MATCH($H815,'[1]salary allocation-v2'!$D$6:$D$22,0),MATCH(R$3,'[1]salary allocation-v2'!$E$3:$J$3,0)),0)</f>
        <v>0</v>
      </c>
      <c r="S815" s="15">
        <f>-$K815*IFERROR(INDEX('[1]salary allocation-v2'!$E$6:$J$22,MATCH($H815,'[1]salary allocation-v2'!$D$6:$D$22,0),MATCH(S$3,'[1]salary allocation-v2'!$E$3:$J$3,0)),0)</f>
        <v>3063359.2</v>
      </c>
      <c r="T815" s="15">
        <f>-$K815*IFERROR(INDEX('[1]salary allocation-v2'!$E$6:$J$22,MATCH($H815,'[1]salary allocation-v2'!$D$6:$D$22,0),MATCH(T$3,'[1]salary allocation-v2'!$E$3:$J$3,0)),0)</f>
        <v>3063359.2</v>
      </c>
      <c r="U815" s="15">
        <f>-$K815*IFERROR(INDEX('[1]salary allocation-v2'!$E$6:$J$22,MATCH($H815,'[1]salary allocation-v2'!$D$6:$D$22,0),MATCH(U$3,'[1]salary allocation-v2'!$E$3:$J$3,0)),0)</f>
        <v>3063359.2</v>
      </c>
      <c r="V815" s="15">
        <f>-$K815*IFERROR(INDEX('[1]salary allocation-v2'!$E$6:$J$22,MATCH($H815,'[1]salary allocation-v2'!$D$6:$D$22,0),MATCH(V$3,'[1]salary allocation-v2'!$E$3:$J$3,0)),0)</f>
        <v>0</v>
      </c>
      <c r="W815" s="15">
        <f>-$K815*IFERROR(INDEX('[1]salary allocation-v2'!$E$6:$J$22,MATCH($H815,'[1]salary allocation-v2'!$D$6:$D$22,0),MATCH(W$3,'[1]salary allocation-v2'!$E$3:$J$3,0)),0)</f>
        <v>6126718.4000000004</v>
      </c>
      <c r="X815" s="15">
        <f>-$K815*IFERROR(INDEX('[1]salary allocation-v2'!$E$6:$J$22,MATCH($H815,'[1]salary allocation-v2'!$D$6:$D$22,0),MATCH(X$3,'[1]salary allocation-v2'!$E$3:$J$3,0)),0)</f>
        <v>0</v>
      </c>
      <c r="Y815" s="15">
        <f>-$K815*IFERROR(INDEX('[1]salary allocation-v2'!$E$6:$J$22,MATCH($H815,'[1]salary allocation-v2'!$D$6:$D$22,0),MATCH(Y$3,'[1]salary allocation-v2'!$E$3:$J$3,0)),0)</f>
        <v>0</v>
      </c>
      <c r="Z815" s="15">
        <f>-$K815*IFERROR(INDEX('[1]salary allocation-v2'!$E$6:$J$22,MATCH($H815,'[1]salary allocation-v2'!$D$6:$D$22,0),MATCH(Z$3,'[1]salary allocation-v2'!$E$3:$J$3,0)),0)</f>
        <v>0</v>
      </c>
      <c r="AA815" s="15">
        <f>-$K815*IFERROR(INDEX('[1]salary allocation-v2'!$E$6:$J$22,MATCH($H815,'[1]salary allocation-v2'!$D$6:$D$22,0),MATCH(AA$3,'[1]salary allocation-v2'!$E$3:$J$3,0)),0)</f>
        <v>0</v>
      </c>
      <c r="AB815" s="15">
        <f>-$K815*IFERROR(INDEX('[1]salary allocation-v2'!$E$6:$J$22,MATCH($H815,'[1]salary allocation-v2'!$D$6:$D$22,0),MATCH(AB$3,'[1]salary allocation-v2'!$E$3:$J$3,0)),0)</f>
        <v>0</v>
      </c>
      <c r="AC815" s="18">
        <f>-$K815*IFERROR(INDEX('[1]salary allocation-v2'!$E$6:$J$22,MATCH($H815,'[1]salary allocation-v2'!$D$6:$D$22,0),MATCH(AC$3,'[1]salary allocation-v2'!$E$3:$J$3,0)),0)</f>
        <v>0</v>
      </c>
      <c r="AD815" s="17"/>
      <c r="AE815" s="16"/>
      <c r="AF815" s="15">
        <f>-$K815</f>
        <v>15316796</v>
      </c>
      <c r="AG815" s="15"/>
      <c r="AH815" s="2">
        <f>K815+SUM(O815:AC815)</f>
        <v>0</v>
      </c>
      <c r="AI815" s="2">
        <f>K815+SUM(AF815:AG815)</f>
        <v>0</v>
      </c>
    </row>
    <row r="816" spans="1:35" x14ac:dyDescent="0.2">
      <c r="A816" s="11" t="s">
        <v>3</v>
      </c>
      <c r="B816" s="14">
        <v>46020</v>
      </c>
      <c r="H816" s="11" t="s">
        <v>45</v>
      </c>
      <c r="I816" s="11" t="s">
        <v>44</v>
      </c>
      <c r="K816" s="13">
        <v>-6400558</v>
      </c>
      <c r="L816" s="12">
        <v>122025</v>
      </c>
      <c r="M816" s="11" t="str">
        <f>LEFT(I816,(LEN(LEFT(I816,FIND(";",I816)))-9))</f>
        <v>VNMOET</v>
      </c>
      <c r="N816" s="11"/>
      <c r="O816" s="15">
        <f>-$K816*IFERROR(INDEX('[1]salary allocation-v2'!$E$6:$J$22,MATCH($H816,'[1]salary allocation-v2'!$D$6:$D$22,0),MATCH(O$3,'[1]salary allocation-v2'!$E$3:$J$3,0)),0)</f>
        <v>0</v>
      </c>
      <c r="P816" s="15">
        <f>-$K816*IFERROR(INDEX('[1]salary allocation-v2'!$E$6:$J$22,MATCH($H816,'[1]salary allocation-v2'!$D$6:$D$22,0),MATCH(P$3,'[1]salary allocation-v2'!$E$3:$J$3,0)),0)</f>
        <v>0</v>
      </c>
      <c r="Q816" s="15">
        <f>-$K816*IFERROR(INDEX('[1]salary allocation-v2'!$E$6:$J$22,MATCH($H816,'[1]salary allocation-v2'!$D$6:$D$22,0),MATCH(Q$3,'[1]salary allocation-v2'!$E$3:$J$3,0)),0)</f>
        <v>0</v>
      </c>
      <c r="R816" s="15">
        <f>-$K816*IFERROR(INDEX('[1]salary allocation-v2'!$E$6:$J$22,MATCH($H816,'[1]salary allocation-v2'!$D$6:$D$22,0),MATCH(R$3,'[1]salary allocation-v2'!$E$3:$J$3,0)),0)</f>
        <v>0</v>
      </c>
      <c r="S816" s="15">
        <f>-$K816*IFERROR(INDEX('[1]salary allocation-v2'!$E$6:$J$22,MATCH($H816,'[1]salary allocation-v2'!$D$6:$D$22,0),MATCH(S$3,'[1]salary allocation-v2'!$E$3:$J$3,0)),0)</f>
        <v>1280111.6000000001</v>
      </c>
      <c r="T816" s="15">
        <f>-$K816*IFERROR(INDEX('[1]salary allocation-v2'!$E$6:$J$22,MATCH($H816,'[1]salary allocation-v2'!$D$6:$D$22,0),MATCH(T$3,'[1]salary allocation-v2'!$E$3:$J$3,0)),0)</f>
        <v>1280111.6000000001</v>
      </c>
      <c r="U816" s="15">
        <f>-$K816*IFERROR(INDEX('[1]salary allocation-v2'!$E$6:$J$22,MATCH($H816,'[1]salary allocation-v2'!$D$6:$D$22,0),MATCH(U$3,'[1]salary allocation-v2'!$E$3:$J$3,0)),0)</f>
        <v>1280111.6000000001</v>
      </c>
      <c r="V816" s="15">
        <f>-$K816*IFERROR(INDEX('[1]salary allocation-v2'!$E$6:$J$22,MATCH($H816,'[1]salary allocation-v2'!$D$6:$D$22,0),MATCH(V$3,'[1]salary allocation-v2'!$E$3:$J$3,0)),0)</f>
        <v>0</v>
      </c>
      <c r="W816" s="15">
        <f>-$K816*IFERROR(INDEX('[1]salary allocation-v2'!$E$6:$J$22,MATCH($H816,'[1]salary allocation-v2'!$D$6:$D$22,0),MATCH(W$3,'[1]salary allocation-v2'!$E$3:$J$3,0)),0)</f>
        <v>2560223.2000000002</v>
      </c>
      <c r="X816" s="15">
        <f>-$K816*IFERROR(INDEX('[1]salary allocation-v2'!$E$6:$J$22,MATCH($H816,'[1]salary allocation-v2'!$D$6:$D$22,0),MATCH(X$3,'[1]salary allocation-v2'!$E$3:$J$3,0)),0)</f>
        <v>0</v>
      </c>
      <c r="Y816" s="15">
        <f>-$K816*IFERROR(INDEX('[1]salary allocation-v2'!$E$6:$J$22,MATCH($H816,'[1]salary allocation-v2'!$D$6:$D$22,0),MATCH(Y$3,'[1]salary allocation-v2'!$E$3:$J$3,0)),0)</f>
        <v>0</v>
      </c>
      <c r="Z816" s="15">
        <f>-$K816*IFERROR(INDEX('[1]salary allocation-v2'!$E$6:$J$22,MATCH($H816,'[1]salary allocation-v2'!$D$6:$D$22,0),MATCH(Z$3,'[1]salary allocation-v2'!$E$3:$J$3,0)),0)</f>
        <v>0</v>
      </c>
      <c r="AA816" s="15">
        <f>-$K816*IFERROR(INDEX('[1]salary allocation-v2'!$E$6:$J$22,MATCH($H816,'[1]salary allocation-v2'!$D$6:$D$22,0),MATCH(AA$3,'[1]salary allocation-v2'!$E$3:$J$3,0)),0)</f>
        <v>0</v>
      </c>
      <c r="AB816" s="15">
        <f>-$K816*IFERROR(INDEX('[1]salary allocation-v2'!$E$6:$J$22,MATCH($H816,'[1]salary allocation-v2'!$D$6:$D$22,0),MATCH(AB$3,'[1]salary allocation-v2'!$E$3:$J$3,0)),0)</f>
        <v>0</v>
      </c>
      <c r="AC816" s="18">
        <f>-$K816*IFERROR(INDEX('[1]salary allocation-v2'!$E$6:$J$22,MATCH($H816,'[1]salary allocation-v2'!$D$6:$D$22,0),MATCH(AC$3,'[1]salary allocation-v2'!$E$3:$J$3,0)),0)</f>
        <v>0</v>
      </c>
      <c r="AD816" s="17"/>
      <c r="AE816" s="16"/>
      <c r="AF816" s="15">
        <f>-$K816</f>
        <v>6400558</v>
      </c>
      <c r="AG816" s="15"/>
      <c r="AH816" s="2">
        <f>K816+SUM(O816:AC816)</f>
        <v>0</v>
      </c>
      <c r="AI816" s="2">
        <f>K816+SUM(AF816:AG816)</f>
        <v>0</v>
      </c>
    </row>
    <row r="817" spans="1:35" x14ac:dyDescent="0.2">
      <c r="A817" s="11" t="s">
        <v>3</v>
      </c>
      <c r="B817" s="14">
        <v>46020</v>
      </c>
      <c r="H817" s="11" t="s">
        <v>43</v>
      </c>
      <c r="I817" s="11" t="s">
        <v>42</v>
      </c>
      <c r="K817" s="13">
        <v>-15117814</v>
      </c>
      <c r="L817" s="12">
        <v>122025</v>
      </c>
      <c r="M817" s="11" t="str">
        <f>LEFT(I817,(LEN(LEFT(I817,FIND(";",I817)))-8))</f>
        <v>VNMOET</v>
      </c>
      <c r="N817" s="11"/>
      <c r="O817" s="15">
        <f>-$K817*IFERROR(INDEX('[1]salary allocation-v2'!$E$6:$J$22,MATCH($H817,'[1]salary allocation-v2'!$D$6:$D$22,0),MATCH(O$3,'[1]salary allocation-v2'!$E$3:$J$3,0)),0)</f>
        <v>0</v>
      </c>
      <c r="P817" s="15">
        <f>-$K817*IFERROR(INDEX('[1]salary allocation-v2'!$E$6:$J$22,MATCH($H817,'[1]salary allocation-v2'!$D$6:$D$22,0),MATCH(P$3,'[1]salary allocation-v2'!$E$3:$J$3,0)),0)</f>
        <v>0</v>
      </c>
      <c r="Q817" s="15">
        <f>-$K817*IFERROR(INDEX('[1]salary allocation-v2'!$E$6:$J$22,MATCH($H817,'[1]salary allocation-v2'!$D$6:$D$22,0),MATCH(Q$3,'[1]salary allocation-v2'!$E$3:$J$3,0)),0)</f>
        <v>0</v>
      </c>
      <c r="R817" s="15">
        <f>-$K817*IFERROR(INDEX('[1]salary allocation-v2'!$E$6:$J$22,MATCH($H817,'[1]salary allocation-v2'!$D$6:$D$22,0),MATCH(R$3,'[1]salary allocation-v2'!$E$3:$J$3,0)),0)</f>
        <v>0</v>
      </c>
      <c r="S817" s="15">
        <f>-$K817*IFERROR(INDEX('[1]salary allocation-v2'!$E$6:$J$22,MATCH($H817,'[1]salary allocation-v2'!$D$6:$D$22,0),MATCH(S$3,'[1]salary allocation-v2'!$E$3:$J$3,0)),0)</f>
        <v>3023562.8000000003</v>
      </c>
      <c r="T817" s="15">
        <f>-$K817*IFERROR(INDEX('[1]salary allocation-v2'!$E$6:$J$22,MATCH($H817,'[1]salary allocation-v2'!$D$6:$D$22,0),MATCH(T$3,'[1]salary allocation-v2'!$E$3:$J$3,0)),0)</f>
        <v>3023562.8000000003</v>
      </c>
      <c r="U817" s="15">
        <f>-$K817*IFERROR(INDEX('[1]salary allocation-v2'!$E$6:$J$22,MATCH($H817,'[1]salary allocation-v2'!$D$6:$D$22,0),MATCH(U$3,'[1]salary allocation-v2'!$E$3:$J$3,0)),0)</f>
        <v>3023562.8000000003</v>
      </c>
      <c r="V817" s="15">
        <f>-$K817*IFERROR(INDEX('[1]salary allocation-v2'!$E$6:$J$22,MATCH($H817,'[1]salary allocation-v2'!$D$6:$D$22,0),MATCH(V$3,'[1]salary allocation-v2'!$E$3:$J$3,0)),0)</f>
        <v>0</v>
      </c>
      <c r="W817" s="15">
        <f>-$K817*IFERROR(INDEX('[1]salary allocation-v2'!$E$6:$J$22,MATCH($H817,'[1]salary allocation-v2'!$D$6:$D$22,0),MATCH(W$3,'[1]salary allocation-v2'!$E$3:$J$3,0)),0)</f>
        <v>6047125.6000000006</v>
      </c>
      <c r="X817" s="15">
        <f>-$K817*IFERROR(INDEX('[1]salary allocation-v2'!$E$6:$J$22,MATCH($H817,'[1]salary allocation-v2'!$D$6:$D$22,0),MATCH(X$3,'[1]salary allocation-v2'!$E$3:$J$3,0)),0)</f>
        <v>0</v>
      </c>
      <c r="Y817" s="15">
        <f>-$K817*IFERROR(INDEX('[1]salary allocation-v2'!$E$6:$J$22,MATCH($H817,'[1]salary allocation-v2'!$D$6:$D$22,0),MATCH(Y$3,'[1]salary allocation-v2'!$E$3:$J$3,0)),0)</f>
        <v>0</v>
      </c>
      <c r="Z817" s="15">
        <f>-$K817*IFERROR(INDEX('[1]salary allocation-v2'!$E$6:$J$22,MATCH($H817,'[1]salary allocation-v2'!$D$6:$D$22,0),MATCH(Z$3,'[1]salary allocation-v2'!$E$3:$J$3,0)),0)</f>
        <v>0</v>
      </c>
      <c r="AA817" s="15">
        <f>-$K817*IFERROR(INDEX('[1]salary allocation-v2'!$E$6:$J$22,MATCH($H817,'[1]salary allocation-v2'!$D$6:$D$22,0),MATCH(AA$3,'[1]salary allocation-v2'!$E$3:$J$3,0)),0)</f>
        <v>0</v>
      </c>
      <c r="AB817" s="15">
        <f>-$K817*IFERROR(INDEX('[1]salary allocation-v2'!$E$6:$J$22,MATCH($H817,'[1]salary allocation-v2'!$D$6:$D$22,0),MATCH(AB$3,'[1]salary allocation-v2'!$E$3:$J$3,0)),0)</f>
        <v>0</v>
      </c>
      <c r="AC817" s="18">
        <f>-$K817*IFERROR(INDEX('[1]salary allocation-v2'!$E$6:$J$22,MATCH($H817,'[1]salary allocation-v2'!$D$6:$D$22,0),MATCH(AC$3,'[1]salary allocation-v2'!$E$3:$J$3,0)),0)</f>
        <v>0</v>
      </c>
      <c r="AD817" s="17"/>
      <c r="AE817" s="16"/>
      <c r="AF817" s="15">
        <f>-$K817</f>
        <v>15117814</v>
      </c>
      <c r="AG817" s="15"/>
      <c r="AH817" s="2">
        <f>K817+SUM(O817:AC817)</f>
        <v>0</v>
      </c>
      <c r="AI817" s="2">
        <f>K817+SUM(AF817:AG817)</f>
        <v>0</v>
      </c>
    </row>
    <row r="818" spans="1:35" x14ac:dyDescent="0.2">
      <c r="A818" s="11" t="s">
        <v>3</v>
      </c>
      <c r="B818" s="14">
        <v>46020</v>
      </c>
      <c r="H818" s="11" t="s">
        <v>41</v>
      </c>
      <c r="I818" s="11" t="s">
        <v>40</v>
      </c>
      <c r="K818" s="13">
        <v>-15063924</v>
      </c>
      <c r="L818" s="12">
        <v>122025</v>
      </c>
      <c r="M818" s="11" t="str">
        <f>LEFT(I818,(LEN(LEFT(I818,FIND(";",I818)))-8))</f>
        <v>VNMOET</v>
      </c>
      <c r="N818" s="11"/>
      <c r="O818" s="15">
        <f>-$K818*IFERROR(INDEX('[1]salary allocation-v2'!$E$6:$J$22,MATCH($H818,'[1]salary allocation-v2'!$D$6:$D$22,0),MATCH(O$3,'[1]salary allocation-v2'!$E$3:$J$3,0)),0)</f>
        <v>0</v>
      </c>
      <c r="P818" s="15">
        <f>-$K818*IFERROR(INDEX('[1]salary allocation-v2'!$E$6:$J$22,MATCH($H818,'[1]salary allocation-v2'!$D$6:$D$22,0),MATCH(P$3,'[1]salary allocation-v2'!$E$3:$J$3,0)),0)</f>
        <v>0</v>
      </c>
      <c r="Q818" s="15">
        <f>-$K818*IFERROR(INDEX('[1]salary allocation-v2'!$E$6:$J$22,MATCH($H818,'[1]salary allocation-v2'!$D$6:$D$22,0),MATCH(Q$3,'[1]salary allocation-v2'!$E$3:$J$3,0)),0)</f>
        <v>0</v>
      </c>
      <c r="R818" s="15">
        <f>-$K818*IFERROR(INDEX('[1]salary allocation-v2'!$E$6:$J$22,MATCH($H818,'[1]salary allocation-v2'!$D$6:$D$22,0),MATCH(R$3,'[1]salary allocation-v2'!$E$3:$J$3,0)),0)</f>
        <v>0</v>
      </c>
      <c r="S818" s="15">
        <f>-$K818*IFERROR(INDEX('[1]salary allocation-v2'!$E$6:$J$22,MATCH($H818,'[1]salary allocation-v2'!$D$6:$D$22,0),MATCH(S$3,'[1]salary allocation-v2'!$E$3:$J$3,0)),0)</f>
        <v>0</v>
      </c>
      <c r="T818" s="15">
        <f>-$K818*IFERROR(INDEX('[1]salary allocation-v2'!$E$6:$J$22,MATCH($H818,'[1]salary allocation-v2'!$D$6:$D$22,0),MATCH(T$3,'[1]salary allocation-v2'!$E$3:$J$3,0)),0)</f>
        <v>0</v>
      </c>
      <c r="U818" s="15">
        <f>-$K818*IFERROR(INDEX('[1]salary allocation-v2'!$E$6:$J$22,MATCH($H818,'[1]salary allocation-v2'!$D$6:$D$22,0),MATCH(U$3,'[1]salary allocation-v2'!$E$3:$J$3,0)),0)</f>
        <v>0</v>
      </c>
      <c r="V818" s="15">
        <f>-$K818*IFERROR(INDEX('[1]salary allocation-v2'!$E$6:$J$22,MATCH($H818,'[1]salary allocation-v2'!$D$6:$D$22,0),MATCH(V$3,'[1]salary allocation-v2'!$E$3:$J$3,0)),0)</f>
        <v>0</v>
      </c>
      <c r="W818" s="15">
        <f>-$K818*IFERROR(INDEX('[1]salary allocation-v2'!$E$6:$J$22,MATCH($H818,'[1]salary allocation-v2'!$D$6:$D$22,0),MATCH(W$3,'[1]salary allocation-v2'!$E$3:$J$3,0)),0)</f>
        <v>15063924</v>
      </c>
      <c r="X818" s="15">
        <f>-$K818*IFERROR(INDEX('[1]salary allocation-v2'!$E$6:$J$22,MATCH($H818,'[1]salary allocation-v2'!$D$6:$D$22,0),MATCH(X$3,'[1]salary allocation-v2'!$E$3:$J$3,0)),0)</f>
        <v>0</v>
      </c>
      <c r="Y818" s="15">
        <f>-$K818*IFERROR(INDEX('[1]salary allocation-v2'!$E$6:$J$22,MATCH($H818,'[1]salary allocation-v2'!$D$6:$D$22,0),MATCH(Y$3,'[1]salary allocation-v2'!$E$3:$J$3,0)),0)</f>
        <v>0</v>
      </c>
      <c r="Z818" s="15">
        <f>-$K818*IFERROR(INDEX('[1]salary allocation-v2'!$E$6:$J$22,MATCH($H818,'[1]salary allocation-v2'!$D$6:$D$22,0),MATCH(Z$3,'[1]salary allocation-v2'!$E$3:$J$3,0)),0)</f>
        <v>0</v>
      </c>
      <c r="AA818" s="15">
        <f>-$K818*IFERROR(INDEX('[1]salary allocation-v2'!$E$6:$J$22,MATCH($H818,'[1]salary allocation-v2'!$D$6:$D$22,0),MATCH(AA$3,'[1]salary allocation-v2'!$E$3:$J$3,0)),0)</f>
        <v>0</v>
      </c>
      <c r="AB818" s="15">
        <f>-$K818*IFERROR(INDEX('[1]salary allocation-v2'!$E$6:$J$22,MATCH($H818,'[1]salary allocation-v2'!$D$6:$D$22,0),MATCH(AB$3,'[1]salary allocation-v2'!$E$3:$J$3,0)),0)</f>
        <v>0</v>
      </c>
      <c r="AC818" s="18">
        <f>-$K818*IFERROR(INDEX('[1]salary allocation-v2'!$E$6:$J$22,MATCH($H818,'[1]salary allocation-v2'!$D$6:$D$22,0),MATCH(AC$3,'[1]salary allocation-v2'!$E$3:$J$3,0)),0)</f>
        <v>0</v>
      </c>
      <c r="AD818" s="17"/>
      <c r="AE818" s="16"/>
      <c r="AF818" s="15">
        <f>-$K818</f>
        <v>15063924</v>
      </c>
      <c r="AG818" s="15"/>
      <c r="AH818" s="2">
        <f>K818+SUM(O818:AC818)</f>
        <v>0</v>
      </c>
      <c r="AI818" s="2">
        <f>K818+SUM(AF818:AG818)</f>
        <v>0</v>
      </c>
    </row>
    <row r="819" spans="1:35" x14ac:dyDescent="0.2">
      <c r="A819" s="11" t="s">
        <v>3</v>
      </c>
      <c r="B819" s="14">
        <v>46020</v>
      </c>
      <c r="H819" s="11" t="s">
        <v>39</v>
      </c>
      <c r="I819" s="11" t="s">
        <v>38</v>
      </c>
      <c r="K819" s="13">
        <v>-15117814</v>
      </c>
      <c r="L819" s="12">
        <v>122025</v>
      </c>
      <c r="M819" s="11" t="str">
        <f>LEFT(I819,(LEN(LEFT(I819,FIND(";",I819)))-8))</f>
        <v>VNMOET</v>
      </c>
      <c r="N819" s="11"/>
      <c r="O819" s="15">
        <f>-$K819*IFERROR(INDEX('[1]salary allocation-v2'!$E$6:$J$22,MATCH($H819,'[1]salary allocation-v2'!$D$6:$D$22,0),MATCH(O$3,'[1]salary allocation-v2'!$E$3:$J$3,0)),0)</f>
        <v>0</v>
      </c>
      <c r="P819" s="15">
        <f>-$K819*IFERROR(INDEX('[1]salary allocation-v2'!$E$6:$J$22,MATCH($H819,'[1]salary allocation-v2'!$D$6:$D$22,0),MATCH(P$3,'[1]salary allocation-v2'!$E$3:$J$3,0)),0)</f>
        <v>0</v>
      </c>
      <c r="Q819" s="15">
        <f>-$K819*IFERROR(INDEX('[1]salary allocation-v2'!$E$6:$J$22,MATCH($H819,'[1]salary allocation-v2'!$D$6:$D$22,0),MATCH(Q$3,'[1]salary allocation-v2'!$E$3:$J$3,0)),0)</f>
        <v>0</v>
      </c>
      <c r="R819" s="15">
        <f>-$K819*IFERROR(INDEX('[1]salary allocation-v2'!$E$6:$J$22,MATCH($H819,'[1]salary allocation-v2'!$D$6:$D$22,0),MATCH(R$3,'[1]salary allocation-v2'!$E$3:$J$3,0)),0)</f>
        <v>0</v>
      </c>
      <c r="S819" s="15">
        <f>-$K819*IFERROR(INDEX('[1]salary allocation-v2'!$E$6:$J$22,MATCH($H819,'[1]salary allocation-v2'!$D$6:$D$22,0),MATCH(S$3,'[1]salary allocation-v2'!$E$3:$J$3,0)),0)</f>
        <v>0</v>
      </c>
      <c r="T819" s="15">
        <f>-$K819*IFERROR(INDEX('[1]salary allocation-v2'!$E$6:$J$22,MATCH($H819,'[1]salary allocation-v2'!$D$6:$D$22,0),MATCH(T$3,'[1]salary allocation-v2'!$E$3:$J$3,0)),0)</f>
        <v>0</v>
      </c>
      <c r="U819" s="15">
        <f>-$K819*IFERROR(INDEX('[1]salary allocation-v2'!$E$6:$J$22,MATCH($H819,'[1]salary allocation-v2'!$D$6:$D$22,0),MATCH(U$3,'[1]salary allocation-v2'!$E$3:$J$3,0)),0)</f>
        <v>0</v>
      </c>
      <c r="V819" s="15">
        <f>-$K819*IFERROR(INDEX('[1]salary allocation-v2'!$E$6:$J$22,MATCH($H819,'[1]salary allocation-v2'!$D$6:$D$22,0),MATCH(V$3,'[1]salary allocation-v2'!$E$3:$J$3,0)),0)</f>
        <v>0</v>
      </c>
      <c r="W819" s="15">
        <f>-$K819*IFERROR(INDEX('[1]salary allocation-v2'!$E$6:$J$22,MATCH($H819,'[1]salary allocation-v2'!$D$6:$D$22,0),MATCH(W$3,'[1]salary allocation-v2'!$E$3:$J$3,0)),0)</f>
        <v>15117814</v>
      </c>
      <c r="X819" s="15">
        <f>-$K819*IFERROR(INDEX('[1]salary allocation-v2'!$E$6:$J$22,MATCH($H819,'[1]salary allocation-v2'!$D$6:$D$22,0),MATCH(X$3,'[1]salary allocation-v2'!$E$3:$J$3,0)),0)</f>
        <v>0</v>
      </c>
      <c r="Y819" s="15">
        <f>-$K819*IFERROR(INDEX('[1]salary allocation-v2'!$E$6:$J$22,MATCH($H819,'[1]salary allocation-v2'!$D$6:$D$22,0),MATCH(Y$3,'[1]salary allocation-v2'!$E$3:$J$3,0)),0)</f>
        <v>0</v>
      </c>
      <c r="Z819" s="15">
        <f>-$K819*IFERROR(INDEX('[1]salary allocation-v2'!$E$6:$J$22,MATCH($H819,'[1]salary allocation-v2'!$D$6:$D$22,0),MATCH(Z$3,'[1]salary allocation-v2'!$E$3:$J$3,0)),0)</f>
        <v>0</v>
      </c>
      <c r="AA819" s="15">
        <f>-$K819*IFERROR(INDEX('[1]salary allocation-v2'!$E$6:$J$22,MATCH($H819,'[1]salary allocation-v2'!$D$6:$D$22,0),MATCH(AA$3,'[1]salary allocation-v2'!$E$3:$J$3,0)),0)</f>
        <v>0</v>
      </c>
      <c r="AB819" s="15">
        <f>-$K819*IFERROR(INDEX('[1]salary allocation-v2'!$E$6:$J$22,MATCH($H819,'[1]salary allocation-v2'!$D$6:$D$22,0),MATCH(AB$3,'[1]salary allocation-v2'!$E$3:$J$3,0)),0)</f>
        <v>0</v>
      </c>
      <c r="AC819" s="18">
        <f>-$K819*IFERROR(INDEX('[1]salary allocation-v2'!$E$6:$J$22,MATCH($H819,'[1]salary allocation-v2'!$D$6:$D$22,0),MATCH(AC$3,'[1]salary allocation-v2'!$E$3:$J$3,0)),0)</f>
        <v>0</v>
      </c>
      <c r="AD819" s="17"/>
      <c r="AE819" s="16"/>
      <c r="AF819" s="15">
        <f>-$K819</f>
        <v>15117814</v>
      </c>
      <c r="AG819" s="15"/>
      <c r="AH819" s="2">
        <f>K819+SUM(O819:AC819)</f>
        <v>0</v>
      </c>
      <c r="AI819" s="2">
        <f>K819+SUM(AF819:AG819)</f>
        <v>0</v>
      </c>
    </row>
    <row r="820" spans="1:35" x14ac:dyDescent="0.2">
      <c r="A820" s="11" t="s">
        <v>3</v>
      </c>
      <c r="B820" s="14">
        <v>46020</v>
      </c>
      <c r="H820" s="11" t="s">
        <v>37</v>
      </c>
      <c r="I820" s="11" t="s">
        <v>36</v>
      </c>
      <c r="K820" s="13">
        <v>-14094497</v>
      </c>
      <c r="L820" s="12">
        <v>122025</v>
      </c>
      <c r="M820" s="11" t="str">
        <f>LEFT(I820,(LEN(LEFT(I820,FIND(";",I820)))-8))</f>
        <v>VNOther</v>
      </c>
      <c r="N820" s="11"/>
      <c r="O820" s="15">
        <f>-$K820*IFERROR(INDEX('[1]salary allocation-v2'!$E$6:$J$22,MATCH($H820,'[1]salary allocation-v2'!$D$6:$D$22,0),MATCH(O$3,'[1]salary allocation-v2'!$E$3:$J$3,0)),0)</f>
        <v>0</v>
      </c>
      <c r="P820" s="15">
        <f>-$K820*IFERROR(INDEX('[1]salary allocation-v2'!$E$6:$J$22,MATCH($H820,'[1]salary allocation-v2'!$D$6:$D$22,0),MATCH(P$3,'[1]salary allocation-v2'!$E$3:$J$3,0)),0)</f>
        <v>0</v>
      </c>
      <c r="Q820" s="15">
        <f>-$K820*IFERROR(INDEX('[1]salary allocation-v2'!$E$6:$J$22,MATCH($H820,'[1]salary allocation-v2'!$D$6:$D$22,0),MATCH(Q$3,'[1]salary allocation-v2'!$E$3:$J$3,0)),0)</f>
        <v>0</v>
      </c>
      <c r="R820" s="15">
        <f>-$K820*IFERROR(INDEX('[1]salary allocation-v2'!$E$6:$J$22,MATCH($H820,'[1]salary allocation-v2'!$D$6:$D$22,0),MATCH(R$3,'[1]salary allocation-v2'!$E$3:$J$3,0)),0)</f>
        <v>0</v>
      </c>
      <c r="S820" s="15">
        <f>-$K820*IFERROR(INDEX('[1]salary allocation-v2'!$E$6:$J$22,MATCH($H820,'[1]salary allocation-v2'!$D$6:$D$22,0),MATCH(S$3,'[1]salary allocation-v2'!$E$3:$J$3,0)),0)</f>
        <v>2396064.4899999998</v>
      </c>
      <c r="T820" s="15">
        <f>-$K820*IFERROR(INDEX('[1]salary allocation-v2'!$E$6:$J$22,MATCH($H820,'[1]salary allocation-v2'!$D$6:$D$22,0),MATCH(T$3,'[1]salary allocation-v2'!$E$3:$J$3,0)),0)</f>
        <v>2396064.4899999998</v>
      </c>
      <c r="U820" s="15">
        <f>-$K820*IFERROR(INDEX('[1]salary allocation-v2'!$E$6:$J$22,MATCH($H820,'[1]salary allocation-v2'!$D$6:$D$22,0),MATCH(U$3,'[1]salary allocation-v2'!$E$3:$J$3,0)),0)</f>
        <v>2396064.4899999998</v>
      </c>
      <c r="V820" s="15">
        <f>-$K820*IFERROR(INDEX('[1]salary allocation-v2'!$E$6:$J$22,MATCH($H820,'[1]salary allocation-v2'!$D$6:$D$22,0),MATCH(V$3,'[1]salary allocation-v2'!$E$3:$J$3,0)),0)</f>
        <v>0</v>
      </c>
      <c r="W820" s="15">
        <f>-$K820*IFERROR(INDEX('[1]salary allocation-v2'!$E$6:$J$22,MATCH($H820,'[1]salary allocation-v2'!$D$6:$D$22,0),MATCH(W$3,'[1]salary allocation-v2'!$E$3:$J$3,0)),0)</f>
        <v>6906303.5300000003</v>
      </c>
      <c r="X820" s="15">
        <f>-$K820*IFERROR(INDEX('[1]salary allocation-v2'!$E$6:$J$22,MATCH($H820,'[1]salary allocation-v2'!$D$6:$D$22,0),MATCH(X$3,'[1]salary allocation-v2'!$E$3:$J$3,0)),0)</f>
        <v>0</v>
      </c>
      <c r="Y820" s="15">
        <f>-$K820*IFERROR(INDEX('[1]salary allocation-v2'!$E$6:$J$22,MATCH($H820,'[1]salary allocation-v2'!$D$6:$D$22,0),MATCH(Y$3,'[1]salary allocation-v2'!$E$3:$J$3,0)),0)</f>
        <v>0</v>
      </c>
      <c r="Z820" s="15">
        <f>-$K820*IFERROR(INDEX('[1]salary allocation-v2'!$E$6:$J$22,MATCH($H820,'[1]salary allocation-v2'!$D$6:$D$22,0),MATCH(Z$3,'[1]salary allocation-v2'!$E$3:$J$3,0)),0)</f>
        <v>0</v>
      </c>
      <c r="AA820" s="15">
        <f>-$K820*IFERROR(INDEX('[1]salary allocation-v2'!$E$6:$J$22,MATCH($H820,'[1]salary allocation-v2'!$D$6:$D$22,0),MATCH(AA$3,'[1]salary allocation-v2'!$E$3:$J$3,0)),0)</f>
        <v>0</v>
      </c>
      <c r="AB820" s="15">
        <f>-$K820*IFERROR(INDEX('[1]salary allocation-v2'!$E$6:$J$22,MATCH($H820,'[1]salary allocation-v2'!$D$6:$D$22,0),MATCH(AB$3,'[1]salary allocation-v2'!$E$3:$J$3,0)),0)</f>
        <v>0</v>
      </c>
      <c r="AC820" s="18">
        <f>-$K820*IFERROR(INDEX('[1]salary allocation-v2'!$E$6:$J$22,MATCH($H820,'[1]salary allocation-v2'!$D$6:$D$22,0),MATCH(AC$3,'[1]salary allocation-v2'!$E$3:$J$3,0)),0)</f>
        <v>0</v>
      </c>
      <c r="AD820" s="17"/>
      <c r="AE820" s="16"/>
      <c r="AF820" s="15">
        <f>-$K820</f>
        <v>14094497</v>
      </c>
      <c r="AG820" s="15"/>
      <c r="AH820" s="2">
        <f>K820+SUM(O820:AC820)</f>
        <v>0</v>
      </c>
      <c r="AI820" s="2">
        <f>K820+SUM(AF820:AG820)</f>
        <v>0</v>
      </c>
    </row>
    <row r="821" spans="1:35" x14ac:dyDescent="0.2">
      <c r="A821" s="11" t="s">
        <v>3</v>
      </c>
      <c r="B821" s="14">
        <v>46020</v>
      </c>
      <c r="H821" s="11" t="s">
        <v>35</v>
      </c>
      <c r="I821" s="11" t="s">
        <v>34</v>
      </c>
      <c r="K821" s="13">
        <v>-15534950</v>
      </c>
      <c r="L821" s="12">
        <v>122025</v>
      </c>
      <c r="M821" s="11" t="str">
        <f>LEFT(I821,(LEN(LEFT(I821,FIND(";",I821)))-8))</f>
        <v>VNOther</v>
      </c>
      <c r="N821" s="11"/>
      <c r="O821" s="15">
        <f>-$K821*IFERROR(INDEX('[1]salary allocation-v2'!$E$6:$J$22,MATCH($H821,'[1]salary allocation-v2'!$D$6:$D$22,0),MATCH(O$3,'[1]salary allocation-v2'!$E$3:$J$3,0)),0)</f>
        <v>0</v>
      </c>
      <c r="P821" s="15">
        <f>-$K821*IFERROR(INDEX('[1]salary allocation-v2'!$E$6:$J$22,MATCH($H821,'[1]salary allocation-v2'!$D$6:$D$22,0),MATCH(P$3,'[1]salary allocation-v2'!$E$3:$J$3,0)),0)</f>
        <v>0</v>
      </c>
      <c r="Q821" s="15">
        <f>-$K821*IFERROR(INDEX('[1]salary allocation-v2'!$E$6:$J$22,MATCH($H821,'[1]salary allocation-v2'!$D$6:$D$22,0),MATCH(Q$3,'[1]salary allocation-v2'!$E$3:$J$3,0)),0)</f>
        <v>0</v>
      </c>
      <c r="R821" s="15">
        <f>-$K821*IFERROR(INDEX('[1]salary allocation-v2'!$E$6:$J$22,MATCH($H821,'[1]salary allocation-v2'!$D$6:$D$22,0),MATCH(R$3,'[1]salary allocation-v2'!$E$3:$J$3,0)),0)</f>
        <v>0</v>
      </c>
      <c r="S821" s="15">
        <f>-$K821*IFERROR(INDEX('[1]salary allocation-v2'!$E$6:$J$22,MATCH($H821,'[1]salary allocation-v2'!$D$6:$D$22,0),MATCH(S$3,'[1]salary allocation-v2'!$E$3:$J$3,0)),0)</f>
        <v>2640941.4999999995</v>
      </c>
      <c r="T821" s="15">
        <f>-$K821*IFERROR(INDEX('[1]salary allocation-v2'!$E$6:$J$22,MATCH($H821,'[1]salary allocation-v2'!$D$6:$D$22,0),MATCH(T$3,'[1]salary allocation-v2'!$E$3:$J$3,0)),0)</f>
        <v>2640941.4999999995</v>
      </c>
      <c r="U821" s="15">
        <f>-$K821*IFERROR(INDEX('[1]salary allocation-v2'!$E$6:$J$22,MATCH($H821,'[1]salary allocation-v2'!$D$6:$D$22,0),MATCH(U$3,'[1]salary allocation-v2'!$E$3:$J$3,0)),0)</f>
        <v>2640941.4999999995</v>
      </c>
      <c r="V821" s="15">
        <f>-$K821*IFERROR(INDEX('[1]salary allocation-v2'!$E$6:$J$22,MATCH($H821,'[1]salary allocation-v2'!$D$6:$D$22,0),MATCH(V$3,'[1]salary allocation-v2'!$E$3:$J$3,0)),0)</f>
        <v>0</v>
      </c>
      <c r="W821" s="15">
        <f>-$K821*IFERROR(INDEX('[1]salary allocation-v2'!$E$6:$J$22,MATCH($H821,'[1]salary allocation-v2'!$D$6:$D$22,0),MATCH(W$3,'[1]salary allocation-v2'!$E$3:$J$3,0)),0)</f>
        <v>7612125.5</v>
      </c>
      <c r="X821" s="15">
        <f>-$K821*IFERROR(INDEX('[1]salary allocation-v2'!$E$6:$J$22,MATCH($H821,'[1]salary allocation-v2'!$D$6:$D$22,0),MATCH(X$3,'[1]salary allocation-v2'!$E$3:$J$3,0)),0)</f>
        <v>0</v>
      </c>
      <c r="Y821" s="15">
        <f>-$K821*IFERROR(INDEX('[1]salary allocation-v2'!$E$6:$J$22,MATCH($H821,'[1]salary allocation-v2'!$D$6:$D$22,0),MATCH(Y$3,'[1]salary allocation-v2'!$E$3:$J$3,0)),0)</f>
        <v>0</v>
      </c>
      <c r="Z821" s="15">
        <f>-$K821*IFERROR(INDEX('[1]salary allocation-v2'!$E$6:$J$22,MATCH($H821,'[1]salary allocation-v2'!$D$6:$D$22,0),MATCH(Z$3,'[1]salary allocation-v2'!$E$3:$J$3,0)),0)</f>
        <v>0</v>
      </c>
      <c r="AA821" s="15">
        <f>-$K821*IFERROR(INDEX('[1]salary allocation-v2'!$E$6:$J$22,MATCH($H821,'[1]salary allocation-v2'!$D$6:$D$22,0),MATCH(AA$3,'[1]salary allocation-v2'!$E$3:$J$3,0)),0)</f>
        <v>0</v>
      </c>
      <c r="AB821" s="15">
        <f>-$K821*IFERROR(INDEX('[1]salary allocation-v2'!$E$6:$J$22,MATCH($H821,'[1]salary allocation-v2'!$D$6:$D$22,0),MATCH(AB$3,'[1]salary allocation-v2'!$E$3:$J$3,0)),0)</f>
        <v>0</v>
      </c>
      <c r="AC821" s="18">
        <f>-$K821*IFERROR(INDEX('[1]salary allocation-v2'!$E$6:$J$22,MATCH($H821,'[1]salary allocation-v2'!$D$6:$D$22,0),MATCH(AC$3,'[1]salary allocation-v2'!$E$3:$J$3,0)),0)</f>
        <v>0</v>
      </c>
      <c r="AD821" s="17"/>
      <c r="AE821" s="16"/>
      <c r="AF821" s="15">
        <f>-$K821</f>
        <v>15534950</v>
      </c>
      <c r="AG821" s="15"/>
      <c r="AH821" s="2">
        <f>K821+SUM(O821:AC821)</f>
        <v>0</v>
      </c>
      <c r="AI821" s="2">
        <f>K821+SUM(AF821:AG821)</f>
        <v>0</v>
      </c>
    </row>
    <row r="822" spans="1:35" x14ac:dyDescent="0.2">
      <c r="A822" s="11" t="s">
        <v>3</v>
      </c>
      <c r="B822" s="14">
        <v>46020</v>
      </c>
      <c r="H822" s="11" t="s">
        <v>33</v>
      </c>
      <c r="I822" s="11" t="s">
        <v>32</v>
      </c>
      <c r="K822" s="13">
        <v>-3984832</v>
      </c>
      <c r="L822" s="12">
        <v>122025</v>
      </c>
      <c r="M822" s="11" t="str">
        <f>LEFT(I822,(LEN(LEFT(I822,FIND(";",I822)))-8))</f>
        <v>VNDN</v>
      </c>
      <c r="N822" s="11"/>
      <c r="O822" s="4">
        <f>IF($M822=O$3,-$K822,0)</f>
        <v>0</v>
      </c>
      <c r="P822" s="4">
        <f>IF($M822=P$3,-$K822,0)</f>
        <v>0</v>
      </c>
      <c r="Q822" s="4">
        <f>IF($M822=Q$3,-$K822,0)</f>
        <v>0</v>
      </c>
      <c r="R822" s="4">
        <f>IF($M822=R$3,-$K822,0)</f>
        <v>0</v>
      </c>
      <c r="S822" s="4">
        <f>IF($M822=S$3,-$K822,0)</f>
        <v>3984832</v>
      </c>
      <c r="T822" s="4">
        <f>IF($M822=T$3,-$K822,0)</f>
        <v>0</v>
      </c>
      <c r="U822" s="4">
        <f>IF($M822=U$3,-$K822,0)</f>
        <v>0</v>
      </c>
      <c r="V822" s="4">
        <f>IF($M822=V$3,-$K822,0)</f>
        <v>0</v>
      </c>
      <c r="W822" s="4">
        <f>IF($M822=W$3,-$K822,0)</f>
        <v>0</v>
      </c>
      <c r="X822" s="4">
        <f>IF($M822=X$3,-$K822,0)</f>
        <v>0</v>
      </c>
      <c r="Y822" s="4">
        <f>IF($M822=Y$3,-$K822,0)</f>
        <v>0</v>
      </c>
      <c r="Z822" s="4">
        <f>IF($M822=Z$3,-$K822,0)</f>
        <v>0</v>
      </c>
      <c r="AA822" s="4">
        <f>IF($M822=AA$3,-$K822,0)</f>
        <v>0</v>
      </c>
      <c r="AB822" s="4">
        <f>IF($M822=AB$3,-$K822,0)</f>
        <v>0</v>
      </c>
      <c r="AC822" s="10">
        <f>IF($M822=AC$3,-$K822,0)</f>
        <v>0</v>
      </c>
      <c r="AD822" s="9"/>
      <c r="AE822" s="8"/>
      <c r="AF822" s="4"/>
      <c r="AG822" s="4">
        <f>-$K822</f>
        <v>3984832</v>
      </c>
      <c r="AH822" s="2">
        <f>K822+SUM(O822:AC822)</f>
        <v>0</v>
      </c>
      <c r="AI822" s="2">
        <f>K822+SUM(AF822:AG822)</f>
        <v>0</v>
      </c>
    </row>
    <row r="823" spans="1:35" x14ac:dyDescent="0.2">
      <c r="A823" s="11" t="s">
        <v>3</v>
      </c>
      <c r="B823" s="14">
        <v>46020</v>
      </c>
      <c r="H823" s="11" t="s">
        <v>31</v>
      </c>
      <c r="I823" s="11" t="s">
        <v>30</v>
      </c>
      <c r="K823" s="13">
        <v>-5064512</v>
      </c>
      <c r="L823" s="12">
        <v>122025</v>
      </c>
      <c r="M823" s="11" t="str">
        <f>LEFT(I823,(LEN(LEFT(I823,FIND(";",I823)))-8))</f>
        <v>VNDN</v>
      </c>
      <c r="N823" s="11"/>
      <c r="O823" s="4">
        <f>IF($M823=O$3,-$K823,0)</f>
        <v>0</v>
      </c>
      <c r="P823" s="4">
        <f>IF($M823=P$3,-$K823,0)</f>
        <v>0</v>
      </c>
      <c r="Q823" s="4">
        <f>IF($M823=Q$3,-$K823,0)</f>
        <v>0</v>
      </c>
      <c r="R823" s="4">
        <f>IF($M823=R$3,-$K823,0)</f>
        <v>0</v>
      </c>
      <c r="S823" s="4">
        <f>IF($M823=S$3,-$K823,0)</f>
        <v>5064512</v>
      </c>
      <c r="T823" s="4">
        <f>IF($M823=T$3,-$K823,0)</f>
        <v>0</v>
      </c>
      <c r="U823" s="4">
        <f>IF($M823=U$3,-$K823,0)</f>
        <v>0</v>
      </c>
      <c r="V823" s="4">
        <f>IF($M823=V$3,-$K823,0)</f>
        <v>0</v>
      </c>
      <c r="W823" s="4">
        <f>IF($M823=W$3,-$K823,0)</f>
        <v>0</v>
      </c>
      <c r="X823" s="4">
        <f>IF($M823=X$3,-$K823,0)</f>
        <v>0</v>
      </c>
      <c r="Y823" s="4">
        <f>IF($M823=Y$3,-$K823,0)</f>
        <v>0</v>
      </c>
      <c r="Z823" s="4">
        <f>IF($M823=Z$3,-$K823,0)</f>
        <v>0</v>
      </c>
      <c r="AA823" s="4">
        <f>IF($M823=AA$3,-$K823,0)</f>
        <v>0</v>
      </c>
      <c r="AB823" s="4">
        <f>IF($M823=AB$3,-$K823,0)</f>
        <v>0</v>
      </c>
      <c r="AC823" s="10">
        <f>IF($M823=AC$3,-$K823,0)</f>
        <v>0</v>
      </c>
      <c r="AD823" s="9"/>
      <c r="AE823" s="8"/>
      <c r="AF823" s="4"/>
      <c r="AG823" s="4">
        <f>-$K823</f>
        <v>5064512</v>
      </c>
      <c r="AH823" s="2">
        <f>K823+SUM(O823:AC823)</f>
        <v>0</v>
      </c>
      <c r="AI823" s="2">
        <f>K823+SUM(AF823:AG823)</f>
        <v>0</v>
      </c>
    </row>
    <row r="824" spans="1:35" x14ac:dyDescent="0.2">
      <c r="A824" s="11" t="s">
        <v>3</v>
      </c>
      <c r="B824" s="14">
        <v>46020</v>
      </c>
      <c r="H824" s="11" t="s">
        <v>29</v>
      </c>
      <c r="I824" s="11" t="s">
        <v>28</v>
      </c>
      <c r="K824" s="13">
        <v>-6516352</v>
      </c>
      <c r="L824" s="12">
        <v>122025</v>
      </c>
      <c r="M824" s="11" t="str">
        <f>LEFT(I824,(LEN(LEFT(I824,FIND(";",I824)))-8))</f>
        <v>VNDN</v>
      </c>
      <c r="N824" s="11"/>
      <c r="O824" s="4">
        <f>IF($M824=O$3,-$K824,0)</f>
        <v>0</v>
      </c>
      <c r="P824" s="4">
        <f>IF($M824=P$3,-$K824,0)</f>
        <v>0</v>
      </c>
      <c r="Q824" s="4">
        <f>IF($M824=Q$3,-$K824,0)</f>
        <v>0</v>
      </c>
      <c r="R824" s="4">
        <f>IF($M824=R$3,-$K824,0)</f>
        <v>0</v>
      </c>
      <c r="S824" s="4">
        <f>IF($M824=S$3,-$K824,0)</f>
        <v>6516352</v>
      </c>
      <c r="T824" s="4">
        <f>IF($M824=T$3,-$K824,0)</f>
        <v>0</v>
      </c>
      <c r="U824" s="4">
        <f>IF($M824=U$3,-$K824,0)</f>
        <v>0</v>
      </c>
      <c r="V824" s="4">
        <f>IF($M824=V$3,-$K824,0)</f>
        <v>0</v>
      </c>
      <c r="W824" s="4">
        <f>IF($M824=W$3,-$K824,0)</f>
        <v>0</v>
      </c>
      <c r="X824" s="4">
        <f>IF($M824=X$3,-$K824,0)</f>
        <v>0</v>
      </c>
      <c r="Y824" s="4">
        <f>IF($M824=Y$3,-$K824,0)</f>
        <v>0</v>
      </c>
      <c r="Z824" s="4">
        <f>IF($M824=Z$3,-$K824,0)</f>
        <v>0</v>
      </c>
      <c r="AA824" s="4">
        <f>IF($M824=AA$3,-$K824,0)</f>
        <v>0</v>
      </c>
      <c r="AB824" s="4">
        <f>IF($M824=AB$3,-$K824,0)</f>
        <v>0</v>
      </c>
      <c r="AC824" s="10">
        <f>IF($M824=AC$3,-$K824,0)</f>
        <v>0</v>
      </c>
      <c r="AD824" s="9"/>
      <c r="AE824" s="8"/>
      <c r="AF824" s="4"/>
      <c r="AG824" s="4">
        <f>-$K824</f>
        <v>6516352</v>
      </c>
      <c r="AH824" s="2">
        <f>K824+SUM(O824:AC824)</f>
        <v>0</v>
      </c>
      <c r="AI824" s="2">
        <f>K824+SUM(AF824:AG824)</f>
        <v>0</v>
      </c>
    </row>
    <row r="825" spans="1:35" x14ac:dyDescent="0.2">
      <c r="A825" s="11" t="s">
        <v>3</v>
      </c>
      <c r="B825" s="14">
        <v>46020</v>
      </c>
      <c r="H825" s="11" t="s">
        <v>27</v>
      </c>
      <c r="I825" s="11" t="s">
        <v>26</v>
      </c>
      <c r="K825" s="13">
        <v>-4564352</v>
      </c>
      <c r="L825" s="12">
        <v>122025</v>
      </c>
      <c r="M825" s="11" t="str">
        <f>LEFT(I825,(LEN(LEFT(I825,FIND(";",I825)))-8))</f>
        <v>VNDN</v>
      </c>
      <c r="N825" s="11"/>
      <c r="O825" s="4">
        <f>IF($M825=O$3,-$K825,0)</f>
        <v>0</v>
      </c>
      <c r="P825" s="4">
        <f>IF($M825=P$3,-$K825,0)</f>
        <v>0</v>
      </c>
      <c r="Q825" s="4">
        <f>IF($M825=Q$3,-$K825,0)</f>
        <v>0</v>
      </c>
      <c r="R825" s="4">
        <f>IF($M825=R$3,-$K825,0)</f>
        <v>0</v>
      </c>
      <c r="S825" s="4">
        <f>IF($M825=S$3,-$K825,0)</f>
        <v>4564352</v>
      </c>
      <c r="T825" s="4">
        <f>IF($M825=T$3,-$K825,0)</f>
        <v>0</v>
      </c>
      <c r="U825" s="4">
        <f>IF($M825=U$3,-$K825,0)</f>
        <v>0</v>
      </c>
      <c r="V825" s="4">
        <f>IF($M825=V$3,-$K825,0)</f>
        <v>0</v>
      </c>
      <c r="W825" s="4">
        <f>IF($M825=W$3,-$K825,0)</f>
        <v>0</v>
      </c>
      <c r="X825" s="4">
        <f>IF($M825=X$3,-$K825,0)</f>
        <v>0</v>
      </c>
      <c r="Y825" s="4">
        <f>IF($M825=Y$3,-$K825,0)</f>
        <v>0</v>
      </c>
      <c r="Z825" s="4">
        <f>IF($M825=Z$3,-$K825,0)</f>
        <v>0</v>
      </c>
      <c r="AA825" s="4">
        <f>IF($M825=AA$3,-$K825,0)</f>
        <v>0</v>
      </c>
      <c r="AB825" s="4">
        <f>IF($M825=AB$3,-$K825,0)</f>
        <v>0</v>
      </c>
      <c r="AC825" s="10">
        <f>IF($M825=AC$3,-$K825,0)</f>
        <v>0</v>
      </c>
      <c r="AD825" s="9"/>
      <c r="AE825" s="8"/>
      <c r="AF825" s="4"/>
      <c r="AG825" s="4">
        <f>-$K825</f>
        <v>4564352</v>
      </c>
      <c r="AH825" s="2">
        <f>K825+SUM(O825:AC825)</f>
        <v>0</v>
      </c>
      <c r="AI825" s="2">
        <f>K825+SUM(AF825:AG825)</f>
        <v>0</v>
      </c>
    </row>
    <row r="826" spans="1:35" x14ac:dyDescent="0.2">
      <c r="A826" s="11" t="s">
        <v>3</v>
      </c>
      <c r="B826" s="14">
        <v>46020</v>
      </c>
      <c r="H826" s="11" t="s">
        <v>25</v>
      </c>
      <c r="I826" s="11" t="s">
        <v>24</v>
      </c>
      <c r="K826" s="13">
        <v>-5039552</v>
      </c>
      <c r="L826" s="12">
        <v>122025</v>
      </c>
      <c r="M826" s="11" t="str">
        <f>LEFT(I826,(LEN(LEFT(I826,FIND(";",I826)))-8))</f>
        <v>VNQN</v>
      </c>
      <c r="N826" s="11"/>
      <c r="O826" s="4">
        <f>IF($M826=O$3,-$K826,0)</f>
        <v>0</v>
      </c>
      <c r="P826" s="4">
        <f>IF($M826=P$3,-$K826,0)</f>
        <v>0</v>
      </c>
      <c r="Q826" s="4">
        <f>IF($M826=Q$3,-$K826,0)</f>
        <v>0</v>
      </c>
      <c r="R826" s="4">
        <f>IF($M826=R$3,-$K826,0)</f>
        <v>0</v>
      </c>
      <c r="S826" s="4">
        <f>IF($M826=S$3,-$K826,0)</f>
        <v>0</v>
      </c>
      <c r="T826" s="4">
        <f>IF($M826=T$3,-$K826,0)</f>
        <v>5039552</v>
      </c>
      <c r="U826" s="4">
        <f>IF($M826=U$3,-$K826,0)</f>
        <v>0</v>
      </c>
      <c r="V826" s="4">
        <f>IF($M826=V$3,-$K826,0)</f>
        <v>0</v>
      </c>
      <c r="W826" s="4">
        <f>IF($M826=W$3,-$K826,0)</f>
        <v>0</v>
      </c>
      <c r="X826" s="4">
        <f>IF($M826=X$3,-$K826,0)</f>
        <v>0</v>
      </c>
      <c r="Y826" s="4">
        <f>IF($M826=Y$3,-$K826,0)</f>
        <v>0</v>
      </c>
      <c r="Z826" s="4">
        <f>IF($M826=Z$3,-$K826,0)</f>
        <v>0</v>
      </c>
      <c r="AA826" s="4">
        <f>IF($M826=AA$3,-$K826,0)</f>
        <v>0</v>
      </c>
      <c r="AB826" s="4">
        <f>IF($M826=AB$3,-$K826,0)</f>
        <v>0</v>
      </c>
      <c r="AC826" s="10">
        <f>IF($M826=AC$3,-$K826,0)</f>
        <v>0</v>
      </c>
      <c r="AD826" s="9"/>
      <c r="AE826" s="8"/>
      <c r="AF826" s="4"/>
      <c r="AG826" s="4">
        <f>-$K826</f>
        <v>5039552</v>
      </c>
      <c r="AH826" s="2">
        <f>K826+SUM(O826:AC826)</f>
        <v>0</v>
      </c>
      <c r="AI826" s="2">
        <f>K826+SUM(AF826:AG826)</f>
        <v>0</v>
      </c>
    </row>
    <row r="827" spans="1:35" x14ac:dyDescent="0.2">
      <c r="A827" s="11" t="s">
        <v>3</v>
      </c>
      <c r="B827" s="14">
        <v>46020</v>
      </c>
      <c r="H827" s="11" t="s">
        <v>23</v>
      </c>
      <c r="I827" s="11" t="s">
        <v>22</v>
      </c>
      <c r="K827" s="13">
        <v>-4069952</v>
      </c>
      <c r="L827" s="12">
        <v>122025</v>
      </c>
      <c r="M827" s="11" t="str">
        <f>LEFT(I827,(LEN(LEFT(I827,FIND(";",I827)))-8))</f>
        <v>VNHD</v>
      </c>
      <c r="N827" s="11"/>
      <c r="O827" s="4">
        <f>IF($M827=O$3,-$K827,0)</f>
        <v>0</v>
      </c>
      <c r="P827" s="4">
        <f>IF($M827=P$3,-$K827,0)</f>
        <v>0</v>
      </c>
      <c r="Q827" s="4">
        <f>IF($M827=Q$3,-$K827,0)</f>
        <v>0</v>
      </c>
      <c r="R827" s="4">
        <f>IF($M827=R$3,-$K827,0)</f>
        <v>0</v>
      </c>
      <c r="S827" s="4">
        <f>IF($M827=S$3,-$K827,0)</f>
        <v>0</v>
      </c>
      <c r="T827" s="4">
        <f>IF($M827=T$3,-$K827,0)</f>
        <v>0</v>
      </c>
      <c r="U827" s="4">
        <f>IF($M827=U$3,-$K827,0)</f>
        <v>4069952</v>
      </c>
      <c r="V827" s="4">
        <f>IF($M827=V$3,-$K827,0)</f>
        <v>0</v>
      </c>
      <c r="W827" s="4">
        <f>IF($M827=W$3,-$K827,0)</f>
        <v>0</v>
      </c>
      <c r="X827" s="4">
        <f>IF($M827=X$3,-$K827,0)</f>
        <v>0</v>
      </c>
      <c r="Y827" s="4">
        <f>IF($M827=Y$3,-$K827,0)</f>
        <v>0</v>
      </c>
      <c r="Z827" s="4">
        <f>IF($M827=Z$3,-$K827,0)</f>
        <v>0</v>
      </c>
      <c r="AA827" s="4">
        <f>IF($M827=AA$3,-$K827,0)</f>
        <v>0</v>
      </c>
      <c r="AB827" s="4">
        <f>IF($M827=AB$3,-$K827,0)</f>
        <v>0</v>
      </c>
      <c r="AC827" s="10">
        <f>IF($M827=AC$3,-$K827,0)</f>
        <v>0</v>
      </c>
      <c r="AD827" s="9"/>
      <c r="AE827" s="8"/>
      <c r="AF827" s="4"/>
      <c r="AG827" s="4">
        <f>-$K827</f>
        <v>4069952</v>
      </c>
      <c r="AH827" s="2">
        <f>K827+SUM(O827:AC827)</f>
        <v>0</v>
      </c>
      <c r="AI827" s="2">
        <f>K827+SUM(AF827:AG827)</f>
        <v>0</v>
      </c>
    </row>
    <row r="828" spans="1:35" x14ac:dyDescent="0.2">
      <c r="A828" s="11" t="s">
        <v>3</v>
      </c>
      <c r="B828" s="14">
        <v>46020</v>
      </c>
      <c r="H828" s="11" t="s">
        <v>21</v>
      </c>
      <c r="I828" s="11" t="s">
        <v>20</v>
      </c>
      <c r="K828" s="13">
        <v>-4564352</v>
      </c>
      <c r="L828" s="12">
        <v>122025</v>
      </c>
      <c r="M828" s="11" t="str">
        <f>LEFT(I828,(LEN(LEFT(I828,FIND(";",I828)))-8))</f>
        <v>VNHCM</v>
      </c>
      <c r="N828" s="11"/>
      <c r="O828" s="4">
        <f>IF($M828=O$3,-$K828,0)</f>
        <v>0</v>
      </c>
      <c r="P828" s="4">
        <f>IF($M828=P$3,-$K828,0)</f>
        <v>0</v>
      </c>
      <c r="Q828" s="4">
        <f>IF($M828=Q$3,-$K828,0)</f>
        <v>0</v>
      </c>
      <c r="R828" s="4">
        <f>IF($M828=R$3,-$K828,0)</f>
        <v>0</v>
      </c>
      <c r="S828" s="4">
        <f>IF($M828=S$3,-$K828,0)</f>
        <v>0</v>
      </c>
      <c r="T828" s="4">
        <f>IF($M828=T$3,-$K828,0)</f>
        <v>0</v>
      </c>
      <c r="U828" s="4">
        <f>IF($M828=U$3,-$K828,0)</f>
        <v>0</v>
      </c>
      <c r="V828" s="4">
        <f>IF($M828=V$3,-$K828,0)</f>
        <v>0</v>
      </c>
      <c r="W828" s="4">
        <f>IF($M828=W$3,-$K828,0)</f>
        <v>0</v>
      </c>
      <c r="X828" s="4">
        <f>IF($M828=X$3,-$K828,0)</f>
        <v>0</v>
      </c>
      <c r="Y828" s="4">
        <f>IF($M828=Y$3,-$K828,0)</f>
        <v>4564352</v>
      </c>
      <c r="Z828" s="4">
        <f>IF($M828=Z$3,-$K828,0)</f>
        <v>0</v>
      </c>
      <c r="AA828" s="4">
        <f>IF($M828=AA$3,-$K828,0)</f>
        <v>0</v>
      </c>
      <c r="AB828" s="4">
        <f>IF($M828=AB$3,-$K828,0)</f>
        <v>0</v>
      </c>
      <c r="AC828" s="10">
        <f>IF($M828=AC$3,-$K828,0)</f>
        <v>0</v>
      </c>
      <c r="AD828" s="9"/>
      <c r="AE828" s="8"/>
      <c r="AF828" s="4"/>
      <c r="AG828" s="4">
        <f>-$K828</f>
        <v>4564352</v>
      </c>
      <c r="AH828" s="2">
        <f>K828+SUM(O828:AC828)</f>
        <v>0</v>
      </c>
      <c r="AI828" s="2">
        <f>K828+SUM(AF828:AG828)</f>
        <v>0</v>
      </c>
    </row>
    <row r="829" spans="1:35" x14ac:dyDescent="0.2">
      <c r="A829" s="11" t="s">
        <v>3</v>
      </c>
      <c r="B829" s="14">
        <v>46020</v>
      </c>
      <c r="H829" s="11" t="s">
        <v>19</v>
      </c>
      <c r="I829" s="11" t="s">
        <v>18</v>
      </c>
      <c r="K829" s="13">
        <v>-4564352</v>
      </c>
      <c r="L829" s="12">
        <v>122025</v>
      </c>
      <c r="M829" s="11" t="str">
        <f>LEFT(I829,(LEN(LEFT(I829,FIND(";",I829)))-8))</f>
        <v>VNHCM</v>
      </c>
      <c r="N829" s="11"/>
      <c r="O829" s="4">
        <f>IF($M829=O$3,-$K829,0)</f>
        <v>0</v>
      </c>
      <c r="P829" s="4">
        <f>IF($M829=P$3,-$K829,0)</f>
        <v>0</v>
      </c>
      <c r="Q829" s="4">
        <f>IF($M829=Q$3,-$K829,0)</f>
        <v>0</v>
      </c>
      <c r="R829" s="4">
        <f>IF($M829=R$3,-$K829,0)</f>
        <v>0</v>
      </c>
      <c r="S829" s="4">
        <f>IF($M829=S$3,-$K829,0)</f>
        <v>0</v>
      </c>
      <c r="T829" s="4">
        <f>IF($M829=T$3,-$K829,0)</f>
        <v>0</v>
      </c>
      <c r="U829" s="4">
        <f>IF($M829=U$3,-$K829,0)</f>
        <v>0</v>
      </c>
      <c r="V829" s="4">
        <f>IF($M829=V$3,-$K829,0)</f>
        <v>0</v>
      </c>
      <c r="W829" s="4">
        <f>IF($M829=W$3,-$K829,0)</f>
        <v>0</v>
      </c>
      <c r="X829" s="4">
        <f>IF($M829=X$3,-$K829,0)</f>
        <v>0</v>
      </c>
      <c r="Y829" s="4">
        <f>IF($M829=Y$3,-$K829,0)</f>
        <v>4564352</v>
      </c>
      <c r="Z829" s="4">
        <f>IF($M829=Z$3,-$K829,0)</f>
        <v>0</v>
      </c>
      <c r="AA829" s="4">
        <f>IF($M829=AA$3,-$K829,0)</f>
        <v>0</v>
      </c>
      <c r="AB829" s="4">
        <f>IF($M829=AB$3,-$K829,0)</f>
        <v>0</v>
      </c>
      <c r="AC829" s="10">
        <f>IF($M829=AC$3,-$K829,0)</f>
        <v>0</v>
      </c>
      <c r="AD829" s="9"/>
      <c r="AE829" s="8"/>
      <c r="AF829" s="4"/>
      <c r="AG829" s="4">
        <f>-$K829</f>
        <v>4564352</v>
      </c>
      <c r="AH829" s="2">
        <f>K829+SUM(O829:AC829)</f>
        <v>0</v>
      </c>
      <c r="AI829" s="2">
        <f>K829+SUM(AF829:AG829)</f>
        <v>0</v>
      </c>
    </row>
    <row r="830" spans="1:35" x14ac:dyDescent="0.2">
      <c r="A830" s="11" t="s">
        <v>3</v>
      </c>
      <c r="B830" s="14">
        <v>46020</v>
      </c>
      <c r="H830" s="11" t="s">
        <v>17</v>
      </c>
      <c r="I830" s="11" t="s">
        <v>16</v>
      </c>
      <c r="K830" s="13">
        <v>-3604352</v>
      </c>
      <c r="L830" s="12">
        <v>122025</v>
      </c>
      <c r="M830" s="11" t="str">
        <f>LEFT(I830,(LEN(LEFT(I830,FIND(";",I830)))-8))</f>
        <v>VNQN</v>
      </c>
      <c r="N830" s="11"/>
      <c r="O830" s="4">
        <f>IF($M830=O$3,-$K830,0)</f>
        <v>0</v>
      </c>
      <c r="P830" s="4">
        <f>IF($M830=P$3,-$K830,0)</f>
        <v>0</v>
      </c>
      <c r="Q830" s="4">
        <f>IF($M830=Q$3,-$K830,0)</f>
        <v>0</v>
      </c>
      <c r="R830" s="4">
        <f>IF($M830=R$3,-$K830,0)</f>
        <v>0</v>
      </c>
      <c r="S830" s="4">
        <f>IF($M830=S$3,-$K830,0)</f>
        <v>0</v>
      </c>
      <c r="T830" s="4">
        <f>IF($M830=T$3,-$K830,0)</f>
        <v>3604352</v>
      </c>
      <c r="U830" s="4">
        <f>IF($M830=U$3,-$K830,0)</f>
        <v>0</v>
      </c>
      <c r="V830" s="4">
        <f>IF($M830=V$3,-$K830,0)</f>
        <v>0</v>
      </c>
      <c r="W830" s="4">
        <f>IF($M830=W$3,-$K830,0)</f>
        <v>0</v>
      </c>
      <c r="X830" s="4">
        <f>IF($M830=X$3,-$K830,0)</f>
        <v>0</v>
      </c>
      <c r="Y830" s="4">
        <f>IF($M830=Y$3,-$K830,0)</f>
        <v>0</v>
      </c>
      <c r="Z830" s="4">
        <f>IF($M830=Z$3,-$K830,0)</f>
        <v>0</v>
      </c>
      <c r="AA830" s="4">
        <f>IF($M830=AA$3,-$K830,0)</f>
        <v>0</v>
      </c>
      <c r="AB830" s="4">
        <f>IF($M830=AB$3,-$K830,0)</f>
        <v>0</v>
      </c>
      <c r="AC830" s="10">
        <f>IF($M830=AC$3,-$K830,0)</f>
        <v>0</v>
      </c>
      <c r="AD830" s="9"/>
      <c r="AE830" s="8"/>
      <c r="AF830" s="4"/>
      <c r="AG830" s="4">
        <f>-$K830</f>
        <v>3604352</v>
      </c>
      <c r="AH830" s="2">
        <f>K830+SUM(O830:AC830)</f>
        <v>0</v>
      </c>
      <c r="AI830" s="2">
        <f>K830+SUM(AF830:AG830)</f>
        <v>0</v>
      </c>
    </row>
    <row r="831" spans="1:35" x14ac:dyDescent="0.2">
      <c r="A831" s="11" t="s">
        <v>3</v>
      </c>
      <c r="B831" s="14">
        <v>46020</v>
      </c>
      <c r="H831" s="11" t="s">
        <v>15</v>
      </c>
      <c r="I831" s="11" t="s">
        <v>14</v>
      </c>
      <c r="K831" s="13">
        <v>-4160000</v>
      </c>
      <c r="L831" s="12">
        <v>122025</v>
      </c>
      <c r="M831" s="11" t="str">
        <f>LEFT(I831,(LEN(LEFT(I831,FIND(";",I831)))-8))</f>
        <v>VNLA</v>
      </c>
      <c r="N831" s="11"/>
      <c r="O831" s="4">
        <f>IF($M831=O$3,-$K831,0)</f>
        <v>0</v>
      </c>
      <c r="P831" s="4">
        <f>IF($M831=P$3,-$K831,0)</f>
        <v>0</v>
      </c>
      <c r="Q831" s="4">
        <f>IF($M831=Q$3,-$K831,0)</f>
        <v>0</v>
      </c>
      <c r="R831" s="4">
        <f>IF($M831=R$3,-$K831,0)</f>
        <v>0</v>
      </c>
      <c r="S831" s="4">
        <f>IF($M831=S$3,-$K831,0)</f>
        <v>0</v>
      </c>
      <c r="T831" s="4">
        <f>IF($M831=T$3,-$K831,0)</f>
        <v>0</v>
      </c>
      <c r="U831" s="4">
        <f>IF($M831=U$3,-$K831,0)</f>
        <v>0</v>
      </c>
      <c r="V831" s="4">
        <f>IF($M831=V$3,-$K831,0)</f>
        <v>0</v>
      </c>
      <c r="W831" s="4">
        <f>IF($M831=W$3,-$K831,0)</f>
        <v>0</v>
      </c>
      <c r="X831" s="4">
        <f>IF($M831=X$3,-$K831,0)</f>
        <v>4160000</v>
      </c>
      <c r="Y831" s="4">
        <f>IF($M831=Y$3,-$K831,0)</f>
        <v>0</v>
      </c>
      <c r="Z831" s="4">
        <f>IF($M831=Z$3,-$K831,0)</f>
        <v>0</v>
      </c>
      <c r="AA831" s="4">
        <f>IF($M831=AA$3,-$K831,0)</f>
        <v>0</v>
      </c>
      <c r="AB831" s="4">
        <f>IF($M831=AB$3,-$K831,0)</f>
        <v>0</v>
      </c>
      <c r="AC831" s="10">
        <f>IF($M831=AC$3,-$K831,0)</f>
        <v>0</v>
      </c>
      <c r="AD831" s="9"/>
      <c r="AE831" s="8"/>
      <c r="AF831" s="4"/>
      <c r="AG831" s="4">
        <f>-$K831</f>
        <v>4160000</v>
      </c>
      <c r="AH831" s="2">
        <f>K831+SUM(O831:AC831)</f>
        <v>0</v>
      </c>
      <c r="AI831" s="2">
        <f>K831+SUM(AF831:AG831)</f>
        <v>0</v>
      </c>
    </row>
    <row r="832" spans="1:35" x14ac:dyDescent="0.2">
      <c r="A832" s="11" t="s">
        <v>3</v>
      </c>
      <c r="B832" s="14">
        <v>46020</v>
      </c>
      <c r="H832" s="11" t="s">
        <v>13</v>
      </c>
      <c r="I832" s="11" t="s">
        <v>12</v>
      </c>
      <c r="K832" s="13">
        <v>-1600000</v>
      </c>
      <c r="L832" s="12">
        <v>122025</v>
      </c>
      <c r="M832" s="11" t="str">
        <f>LEFT(I832,(LEN(LEFT(I832,FIND(";",I832)))-8))</f>
        <v>VNOther</v>
      </c>
      <c r="N832" s="11"/>
      <c r="O832" s="4">
        <f>IF($M832=O$3,-$K832,0)</f>
        <v>0</v>
      </c>
      <c r="P832" s="4">
        <f>IF($M832=P$3,-$K832,0)</f>
        <v>0</v>
      </c>
      <c r="Q832" s="4">
        <f>IF($M832=Q$3,-$K832,0)</f>
        <v>1600000</v>
      </c>
      <c r="R832" s="4">
        <f>IF($M832=R$3,-$K832,0)</f>
        <v>0</v>
      </c>
      <c r="S832" s="4">
        <f>IF($M832=S$3,-$K832,0)</f>
        <v>0</v>
      </c>
      <c r="T832" s="4">
        <f>IF($M832=T$3,-$K832,0)</f>
        <v>0</v>
      </c>
      <c r="U832" s="4">
        <f>IF($M832=U$3,-$K832,0)</f>
        <v>0</v>
      </c>
      <c r="V832" s="4">
        <f>IF($M832=V$3,-$K832,0)</f>
        <v>0</v>
      </c>
      <c r="W832" s="4">
        <f>IF($M832=W$3,-$K832,0)</f>
        <v>0</v>
      </c>
      <c r="X832" s="4">
        <f>IF($M832=X$3,-$K832,0)</f>
        <v>0</v>
      </c>
      <c r="Y832" s="4">
        <f>IF($M832=Y$3,-$K832,0)</f>
        <v>0</v>
      </c>
      <c r="Z832" s="4">
        <f>IF($M832=Z$3,-$K832,0)</f>
        <v>0</v>
      </c>
      <c r="AA832" s="4">
        <f>IF($M832=AA$3,-$K832,0)</f>
        <v>0</v>
      </c>
      <c r="AB832" s="4">
        <f>IF($M832=AB$3,-$K832,0)</f>
        <v>0</v>
      </c>
      <c r="AC832" s="10">
        <f>IF($M832=AC$3,-$K832,0)</f>
        <v>0</v>
      </c>
      <c r="AD832" s="9"/>
      <c r="AE832" s="8"/>
      <c r="AF832" s="4"/>
      <c r="AG832" s="4">
        <f>-$K832</f>
        <v>1600000</v>
      </c>
      <c r="AH832" s="2">
        <f>K832+SUM(O832:AC832)</f>
        <v>0</v>
      </c>
      <c r="AI832" s="2">
        <f>K832+SUM(AF832:AG832)</f>
        <v>0</v>
      </c>
    </row>
    <row r="833" spans="1:35" x14ac:dyDescent="0.2">
      <c r="A833" s="11" t="s">
        <v>3</v>
      </c>
      <c r="B833" s="14">
        <v>46020</v>
      </c>
      <c r="H833" s="11" t="s">
        <v>11</v>
      </c>
      <c r="I833" s="11" t="s">
        <v>10</v>
      </c>
      <c r="K833" s="13">
        <v>-3976000</v>
      </c>
      <c r="L833" s="12">
        <v>122025</v>
      </c>
      <c r="M833" s="11" t="str">
        <f>LEFT(I833,(LEN(LEFT(I833,FIND(";",I833)))-8))</f>
        <v>VNQN</v>
      </c>
      <c r="N833" s="11"/>
      <c r="O833" s="4">
        <f>IF($M833=O$3,-$K833,0)</f>
        <v>0</v>
      </c>
      <c r="P833" s="4">
        <f>IF($M833=P$3,-$K833,0)</f>
        <v>0</v>
      </c>
      <c r="Q833" s="4">
        <f>IF($M833=Q$3,-$K833,0)</f>
        <v>0</v>
      </c>
      <c r="R833" s="4">
        <f>IF($M833=R$3,-$K833,0)</f>
        <v>0</v>
      </c>
      <c r="S833" s="4">
        <f>IF($M833=S$3,-$K833,0)</f>
        <v>0</v>
      </c>
      <c r="T833" s="4">
        <f>IF($M833=T$3,-$K833,0)</f>
        <v>3976000</v>
      </c>
      <c r="U833" s="4">
        <f>IF($M833=U$3,-$K833,0)</f>
        <v>0</v>
      </c>
      <c r="V833" s="4">
        <f>IF($M833=V$3,-$K833,0)</f>
        <v>0</v>
      </c>
      <c r="W833" s="4">
        <f>IF($M833=W$3,-$K833,0)</f>
        <v>0</v>
      </c>
      <c r="X833" s="4">
        <f>IF($M833=X$3,-$K833,0)</f>
        <v>0</v>
      </c>
      <c r="Y833" s="4">
        <f>IF($M833=Y$3,-$K833,0)</f>
        <v>0</v>
      </c>
      <c r="Z833" s="4">
        <f>IF($M833=Z$3,-$K833,0)</f>
        <v>0</v>
      </c>
      <c r="AA833" s="4">
        <f>IF($M833=AA$3,-$K833,0)</f>
        <v>0</v>
      </c>
      <c r="AB833" s="4">
        <f>IF($M833=AB$3,-$K833,0)</f>
        <v>0</v>
      </c>
      <c r="AC833" s="10">
        <f>IF($M833=AC$3,-$K833,0)</f>
        <v>0</v>
      </c>
      <c r="AD833" s="9"/>
      <c r="AE833" s="8"/>
      <c r="AF833" s="4"/>
      <c r="AG833" s="4">
        <f>-$K833</f>
        <v>3976000</v>
      </c>
      <c r="AH833" s="2">
        <f>K833+SUM(O833:AC833)</f>
        <v>0</v>
      </c>
      <c r="AI833" s="2">
        <f>K833+SUM(AF833:AG833)</f>
        <v>0</v>
      </c>
    </row>
    <row r="834" spans="1:35" x14ac:dyDescent="0.2">
      <c r="A834" s="11" t="s">
        <v>3</v>
      </c>
      <c r="B834" s="14">
        <v>46020</v>
      </c>
      <c r="H834" s="11" t="s">
        <v>9</v>
      </c>
      <c r="I834" s="11" t="s">
        <v>8</v>
      </c>
      <c r="K834" s="13">
        <v>-4160000</v>
      </c>
      <c r="L834" s="12">
        <v>122025</v>
      </c>
      <c r="M834" s="11" t="str">
        <f>LEFT(I834,(LEN(LEFT(I834,FIND(";",I834)))-8))</f>
        <v>VNHCM</v>
      </c>
      <c r="N834" s="11"/>
      <c r="O834" s="4">
        <f>IF($M834=O$3,-$K834,0)</f>
        <v>0</v>
      </c>
      <c r="P834" s="4">
        <f>IF($M834=P$3,-$K834,0)</f>
        <v>0</v>
      </c>
      <c r="Q834" s="4">
        <f>IF($M834=Q$3,-$K834,0)</f>
        <v>0</v>
      </c>
      <c r="R834" s="4">
        <f>IF($M834=R$3,-$K834,0)</f>
        <v>0</v>
      </c>
      <c r="S834" s="4">
        <f>IF($M834=S$3,-$K834,0)</f>
        <v>0</v>
      </c>
      <c r="T834" s="4">
        <f>IF($M834=T$3,-$K834,0)</f>
        <v>0</v>
      </c>
      <c r="U834" s="4">
        <f>IF($M834=U$3,-$K834,0)</f>
        <v>0</v>
      </c>
      <c r="V834" s="4">
        <f>IF($M834=V$3,-$K834,0)</f>
        <v>0</v>
      </c>
      <c r="W834" s="4">
        <f>IF($M834=W$3,-$K834,0)</f>
        <v>0</v>
      </c>
      <c r="X834" s="4">
        <f>IF($M834=X$3,-$K834,0)</f>
        <v>0</v>
      </c>
      <c r="Y834" s="4">
        <f>IF($M834=Y$3,-$K834,0)</f>
        <v>4160000</v>
      </c>
      <c r="Z834" s="4">
        <f>IF($M834=Z$3,-$K834,0)</f>
        <v>0</v>
      </c>
      <c r="AA834" s="4">
        <f>IF($M834=AA$3,-$K834,0)</f>
        <v>0</v>
      </c>
      <c r="AB834" s="4">
        <f>IF($M834=AB$3,-$K834,0)</f>
        <v>0</v>
      </c>
      <c r="AC834" s="10">
        <f>IF($M834=AC$3,-$K834,0)</f>
        <v>0</v>
      </c>
      <c r="AD834" s="9"/>
      <c r="AE834" s="8"/>
      <c r="AF834" s="4"/>
      <c r="AG834" s="4">
        <f>-$K834</f>
        <v>4160000</v>
      </c>
      <c r="AH834" s="2">
        <f>K834+SUM(O834:AC834)</f>
        <v>0</v>
      </c>
      <c r="AI834" s="2">
        <f>K834+SUM(AF834:AG834)</f>
        <v>0</v>
      </c>
    </row>
    <row r="835" spans="1:35" x14ac:dyDescent="0.2">
      <c r="A835" s="11" t="s">
        <v>3</v>
      </c>
      <c r="B835" s="14">
        <v>46020</v>
      </c>
      <c r="H835" s="11" t="s">
        <v>7</v>
      </c>
      <c r="I835" s="11" t="s">
        <v>6</v>
      </c>
      <c r="K835" s="13">
        <v>-4160000</v>
      </c>
      <c r="L835" s="12">
        <v>122025</v>
      </c>
      <c r="M835" s="11" t="str">
        <f>LEFT(I835,(LEN(LEFT(I835,FIND(";",I835)))-8))</f>
        <v>VNBN</v>
      </c>
      <c r="N835" s="11"/>
      <c r="O835" s="4">
        <f>IF($M835=O$3,-$K835,0)</f>
        <v>0</v>
      </c>
      <c r="P835" s="4">
        <f>IF($M835=P$3,-$K835,0)</f>
        <v>0</v>
      </c>
      <c r="Q835" s="4">
        <f>IF($M835=Q$3,-$K835,0)</f>
        <v>0</v>
      </c>
      <c r="R835" s="4">
        <f>IF($M835=R$3,-$K835,0)</f>
        <v>0</v>
      </c>
      <c r="S835" s="4">
        <f>IF($M835=S$3,-$K835,0)</f>
        <v>0</v>
      </c>
      <c r="T835" s="4">
        <f>IF($M835=T$3,-$K835,0)</f>
        <v>0</v>
      </c>
      <c r="U835" s="4">
        <f>IF($M835=U$3,-$K835,0)</f>
        <v>0</v>
      </c>
      <c r="V835" s="4">
        <f>IF($M835=V$3,-$K835,0)</f>
        <v>0</v>
      </c>
      <c r="W835" s="4">
        <f>IF($M835=W$3,-$K835,0)</f>
        <v>0</v>
      </c>
      <c r="X835" s="4">
        <f>IF($M835=X$3,-$K835,0)</f>
        <v>0</v>
      </c>
      <c r="Y835" s="4">
        <f>IF($M835=Y$3,-$K835,0)</f>
        <v>0</v>
      </c>
      <c r="Z835" s="4">
        <f>IF($M835=Z$3,-$K835,0)</f>
        <v>0</v>
      </c>
      <c r="AA835" s="4">
        <f>IF($M835=AA$3,-$K835,0)</f>
        <v>4160000</v>
      </c>
      <c r="AB835" s="4">
        <f>IF($M835=AB$3,-$K835,0)</f>
        <v>0</v>
      </c>
      <c r="AC835" s="10">
        <f>IF($M835=AC$3,-$K835,0)</f>
        <v>0</v>
      </c>
      <c r="AD835" s="9"/>
      <c r="AE835" s="8"/>
      <c r="AF835" s="4"/>
      <c r="AG835" s="4">
        <f>-$K835</f>
        <v>4160000</v>
      </c>
      <c r="AH835" s="2">
        <f>K835+SUM(O835:AC835)</f>
        <v>0</v>
      </c>
      <c r="AI835" s="2">
        <f>K835+SUM(AF835:AG835)</f>
        <v>0</v>
      </c>
    </row>
    <row r="836" spans="1:35" x14ac:dyDescent="0.2">
      <c r="A836" s="11" t="s">
        <v>3</v>
      </c>
      <c r="B836" s="14">
        <v>46020</v>
      </c>
      <c r="H836" s="11" t="s">
        <v>5</v>
      </c>
      <c r="I836" s="11" t="s">
        <v>4</v>
      </c>
      <c r="K836" s="13">
        <v>-4160000</v>
      </c>
      <c r="L836" s="12">
        <v>122025</v>
      </c>
      <c r="M836" s="11" t="str">
        <f>LEFT(I836,(LEN(LEFT(I836,FIND(";",I836)))-8))</f>
        <v>VNBN</v>
      </c>
      <c r="N836" s="11"/>
      <c r="O836" s="4">
        <f>IF($M836=O$3,-$K836,0)</f>
        <v>0</v>
      </c>
      <c r="P836" s="4">
        <f>IF($M836=P$3,-$K836,0)</f>
        <v>0</v>
      </c>
      <c r="Q836" s="4">
        <f>IF($M836=Q$3,-$K836,0)</f>
        <v>0</v>
      </c>
      <c r="R836" s="4">
        <f>IF($M836=R$3,-$K836,0)</f>
        <v>0</v>
      </c>
      <c r="S836" s="4">
        <f>IF($M836=S$3,-$K836,0)</f>
        <v>0</v>
      </c>
      <c r="T836" s="4">
        <f>IF($M836=T$3,-$K836,0)</f>
        <v>0</v>
      </c>
      <c r="U836" s="4">
        <f>IF($M836=U$3,-$K836,0)</f>
        <v>0</v>
      </c>
      <c r="V836" s="4">
        <f>IF($M836=V$3,-$K836,0)</f>
        <v>0</v>
      </c>
      <c r="W836" s="4">
        <f>IF($M836=W$3,-$K836,0)</f>
        <v>0</v>
      </c>
      <c r="X836" s="4">
        <f>IF($M836=X$3,-$K836,0)</f>
        <v>0</v>
      </c>
      <c r="Y836" s="4">
        <f>IF($M836=Y$3,-$K836,0)</f>
        <v>0</v>
      </c>
      <c r="Z836" s="4">
        <f>IF($M836=Z$3,-$K836,0)</f>
        <v>0</v>
      </c>
      <c r="AA836" s="4">
        <f>IF($M836=AA$3,-$K836,0)</f>
        <v>4160000</v>
      </c>
      <c r="AB836" s="4">
        <f>IF($M836=AB$3,-$K836,0)</f>
        <v>0</v>
      </c>
      <c r="AC836" s="10">
        <f>IF($M836=AC$3,-$K836,0)</f>
        <v>0</v>
      </c>
      <c r="AD836" s="9"/>
      <c r="AE836" s="8"/>
      <c r="AF836" s="4"/>
      <c r="AG836" s="4">
        <f>-$K836</f>
        <v>4160000</v>
      </c>
      <c r="AH836" s="2">
        <f>K836+SUM(O836:AC836)</f>
        <v>0</v>
      </c>
      <c r="AI836" s="2">
        <f>K836+SUM(AF836:AG836)</f>
        <v>0</v>
      </c>
    </row>
    <row r="837" spans="1:35" x14ac:dyDescent="0.2">
      <c r="A837" s="11" t="s">
        <v>3</v>
      </c>
      <c r="B837" s="14">
        <v>46020</v>
      </c>
      <c r="H837" s="11" t="s">
        <v>2</v>
      </c>
      <c r="I837" s="11" t="s">
        <v>1</v>
      </c>
      <c r="K837" s="13">
        <v>-5389074</v>
      </c>
      <c r="L837" s="12">
        <v>122025</v>
      </c>
      <c r="M837" s="11" t="str">
        <f>LEFT(I837,(LEN(LEFT(I837,FIND(";",I837)))-9))</f>
        <v>VNHBC</v>
      </c>
      <c r="N837" s="11"/>
      <c r="O837" s="4">
        <f>IF($M837=O$3,-$K837,0)</f>
        <v>0</v>
      </c>
      <c r="P837" s="4">
        <f>IF($M837=P$3,-$K837,0)</f>
        <v>0</v>
      </c>
      <c r="Q837" s="4">
        <f>IF($M837=Q$3,-$K837,0)</f>
        <v>0</v>
      </c>
      <c r="R837" s="4">
        <f>IF($M837=R$3,-$K837,0)</f>
        <v>5389074</v>
      </c>
      <c r="S837" s="4">
        <f>IF($M837=S$3,-$K837,0)</f>
        <v>0</v>
      </c>
      <c r="T837" s="4">
        <f>IF($M837=T$3,-$K837,0)</f>
        <v>0</v>
      </c>
      <c r="U837" s="4">
        <f>IF($M837=U$3,-$K837,0)</f>
        <v>0</v>
      </c>
      <c r="V837" s="4">
        <f>IF($M837=V$3,-$K837,0)</f>
        <v>0</v>
      </c>
      <c r="W837" s="4">
        <f>IF($M837=W$3,-$K837,0)</f>
        <v>0</v>
      </c>
      <c r="X837" s="4">
        <f>IF($M837=X$3,-$K837,0)</f>
        <v>0</v>
      </c>
      <c r="Y837" s="4">
        <f>IF($M837=Y$3,-$K837,0)</f>
        <v>0</v>
      </c>
      <c r="Z837" s="4">
        <f>IF($M837=Z$3,-$K837,0)</f>
        <v>0</v>
      </c>
      <c r="AA837" s="4">
        <f>IF($M837=AA$3,-$K837,0)</f>
        <v>0</v>
      </c>
      <c r="AB837" s="4">
        <f>IF($M837=AB$3,-$K837,0)</f>
        <v>0</v>
      </c>
      <c r="AC837" s="10">
        <f>IF($M837=AC$3,-$K837,0)</f>
        <v>0</v>
      </c>
      <c r="AD837" s="9"/>
      <c r="AE837" s="8"/>
      <c r="AF837" s="4"/>
      <c r="AG837" s="4">
        <f>-$K837</f>
        <v>5389074</v>
      </c>
      <c r="AH837" s="2">
        <f>K837+SUM(O837:AC837)</f>
        <v>0</v>
      </c>
      <c r="AI837" s="2">
        <f>K837+SUM(AF837:AG837)</f>
        <v>0</v>
      </c>
    </row>
    <row r="838" spans="1:35" x14ac:dyDescent="0.2">
      <c r="A838" s="11"/>
      <c r="B838" s="14"/>
      <c r="H838" s="11"/>
      <c r="I838" s="11"/>
      <c r="K838" s="13"/>
      <c r="L838" s="12"/>
      <c r="M838" s="11"/>
      <c r="N838" s="11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10"/>
      <c r="AD838" s="9"/>
      <c r="AE838" s="8"/>
      <c r="AF838" s="4"/>
      <c r="AG838" s="4"/>
      <c r="AH838" s="2"/>
      <c r="AI838" s="2"/>
    </row>
    <row r="839" spans="1:35" x14ac:dyDescent="0.2">
      <c r="O839" s="4">
        <f>IF($M839=O$3,-$K839,0)</f>
        <v>0</v>
      </c>
      <c r="P839" s="4">
        <f>IF($M839=P$3,-$K839,0)</f>
        <v>0</v>
      </c>
      <c r="Q839" s="4">
        <f>IF($M839=Q$3,-$K839,0)</f>
        <v>0</v>
      </c>
      <c r="R839" s="4">
        <f>IF($M839=R$3,-$K839,0)</f>
        <v>0</v>
      </c>
      <c r="S839" s="4">
        <f>IF($M839=S$3,-$K839,0)</f>
        <v>0</v>
      </c>
      <c r="T839" s="4">
        <f>IF($M839=T$3,-$K839,0)</f>
        <v>0</v>
      </c>
      <c r="U839" s="4">
        <f>IF($M839=U$3,-$K839,0)</f>
        <v>0</v>
      </c>
      <c r="V839" s="4">
        <f>IF($M839=V$3,-$K839,0)</f>
        <v>0</v>
      </c>
      <c r="W839" s="4">
        <f>IF($M839=W$3,-$K839,0)</f>
        <v>0</v>
      </c>
      <c r="X839" s="4">
        <f>IF($M839=X$3,-$K839,0)</f>
        <v>0</v>
      </c>
      <c r="Y839" s="4">
        <f>IF($M839=Y$3,-$K839,0)</f>
        <v>0</v>
      </c>
      <c r="Z839" s="4">
        <f>IF($M839=Z$3,-$K839,0)</f>
        <v>0</v>
      </c>
      <c r="AA839" s="4">
        <f>IF($M839=AA$3,-$K839,0)</f>
        <v>0</v>
      </c>
      <c r="AB839" s="4">
        <f>IF($M839=AB$3,-$K839,0)</f>
        <v>0</v>
      </c>
      <c r="AC839" s="10">
        <f>IF($M839=AC$3,-$K839,0)</f>
        <v>0</v>
      </c>
      <c r="AD839" s="9"/>
      <c r="AE839" s="8"/>
      <c r="AF839" s="4"/>
      <c r="AG839" s="4"/>
    </row>
    <row r="840" spans="1:35" s="5" customFormat="1" x14ac:dyDescent="0.2">
      <c r="A840" s="5" t="s">
        <v>0</v>
      </c>
      <c r="K840" s="6"/>
      <c r="L840" s="7"/>
      <c r="M840" s="6"/>
      <c r="N840" s="6"/>
    </row>
    <row r="841" spans="1:35" x14ac:dyDescent="0.2"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2">
        <f>K841+SUM(O841:AC841)</f>
        <v>0</v>
      </c>
    </row>
    <row r="842" spans="1:35" x14ac:dyDescent="0.2"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8" spans="1:35" x14ac:dyDescent="0.2">
      <c r="I848" s="2"/>
    </row>
    <row r="849" spans="9:9" x14ac:dyDescent="0.2">
      <c r="I849" s="2"/>
    </row>
    <row r="850" spans="9:9" x14ac:dyDescent="0.2">
      <c r="I850" s="2"/>
    </row>
    <row r="851" spans="9:9" x14ac:dyDescent="0.2">
      <c r="I851" s="2"/>
    </row>
    <row r="852" spans="9:9" x14ac:dyDescent="0.2">
      <c r="I852" s="2"/>
    </row>
    <row r="853" spans="9:9" x14ac:dyDescent="0.2">
      <c r="I853" s="2"/>
    </row>
    <row r="854" spans="9:9" x14ac:dyDescent="0.2">
      <c r="I854" s="2"/>
    </row>
    <row r="855" spans="9:9" x14ac:dyDescent="0.2">
      <c r="I855" s="2"/>
    </row>
    <row r="856" spans="9:9" x14ac:dyDescent="0.2">
      <c r="I856" s="2"/>
    </row>
    <row r="857" spans="9:9" x14ac:dyDescent="0.2">
      <c r="I857" s="2"/>
    </row>
    <row r="858" spans="9:9" x14ac:dyDescent="0.2">
      <c r="I858" s="2"/>
    </row>
    <row r="859" spans="9:9" x14ac:dyDescent="0.2">
      <c r="I859" s="2"/>
    </row>
  </sheetData>
  <autoFilter ref="A4:AI840" xr:uid="{CFE03B3B-C62C-4129-BB4A-082CF9BDF896}"/>
  <pageMargins left="0.19" right="0.28000000000000003" top="0.39" bottom="0.47" header="0.19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PIT+SI payment</vt:lpstr>
      <vt:lpstr>'PIT+SI payment'!Print_Area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2026-01-14T14:31:35Z</dcterms:created>
  <dcterms:modified xsi:type="dcterms:W3CDTF">2026-01-14T14:31:44Z</dcterms:modified>
</cp:coreProperties>
</file>