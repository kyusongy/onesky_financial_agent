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BB3ABA38-61CB-784E-B0C1-ED83C073080D}" xr6:coauthVersionLast="47" xr6:coauthVersionMax="47" xr10:uidLastSave="{00000000-0000-0000-0000-000000000000}"/>
  <bookViews>
    <workbookView xWindow="780" yWindow="1000" windowWidth="27640" windowHeight="15520" xr2:uid="{3938CE88-0DA1-4E47-9C7C-BE8AC0AB2163}"/>
  </bookViews>
  <sheets>
    <sheet name="Transaction list" sheetId="1" r:id="rId1"/>
  </sheets>
  <externalReferences>
    <externalReference r:id="rId2"/>
  </externalReferences>
  <definedNames>
    <definedName name="_xlnm._FilterDatabase" localSheetId="0" hidden="1">'Transaction list'!$A$5:$I$1517</definedName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22" i="1"/>
  <c r="I1516" i="1"/>
  <c r="I1517" i="1" s="1"/>
</calcChain>
</file>

<file path=xl/sharedStrings.xml><?xml version="1.0" encoding="utf-8"?>
<sst xmlns="http://schemas.openxmlformats.org/spreadsheetml/2006/main" count="8140" uniqueCount="946">
  <si>
    <t xml:space="preserve"> Tuesday, January 13, 2026 07:58 AM GMTZ</t>
  </si>
  <si>
    <t>Total for 00VN Bank VN with sub-accounts</t>
  </si>
  <si>
    <t>Total for 30 Vietnam (VND)</t>
  </si>
  <si>
    <t>1250VN Prepaid expenses VN:1252VN Prepaid Expenses VN- Estimated settlement</t>
  </si>
  <si>
    <t>VNQN7100102;Bonus - Pham Thi Nhi Ca-Dec/25- VND81672848</t>
  </si>
  <si>
    <t>Pham Thi Nhi Ca</t>
  </si>
  <si>
    <t>Yes</t>
  </si>
  <si>
    <t/>
  </si>
  <si>
    <t>Cheque</t>
  </si>
  <si>
    <t>12/31/2025</t>
  </si>
  <si>
    <t>50100 Com. and ben. for staff:50101 Compensation for staff:71132VN Home Daycare Trainers VN (Group</t>
  </si>
  <si>
    <t>00VN Bank VN:30 Vietnam (VND)</t>
  </si>
  <si>
    <t>VNQN7100102;Bonus - Nguyen Thi Thuy Na-Dec/25- VND81590901</t>
  </si>
  <si>
    <t>Nguyen Thi Thuy Na</t>
  </si>
  <si>
    <t>VNQN7100102;Bonus - Truong Thi Diem Phuong-Dec/25- VND74740016</t>
  </si>
  <si>
    <t>Truong Thi Diem Phuong</t>
  </si>
  <si>
    <t>VNQN7100102;Bonus - Ho Thi Mong Thu-Dec/25- VND82437355</t>
  </si>
  <si>
    <t>Ho Thi Mong Thu</t>
  </si>
  <si>
    <t>VNDN7100102;Bonus - Nguyen Thi Tram Anh-Dec/25- VND77464681</t>
  </si>
  <si>
    <t>Nguyen Thi Tram Anh</t>
  </si>
  <si>
    <t>VNDN7100102;Bonus - Pham Thi Huyen-Dec/25- VND77482829</t>
  </si>
  <si>
    <t>Pham Thi Huyen</t>
  </si>
  <si>
    <t>VNDN7100102;Bonus - Mai Thi Kim Hang-Dec/25- VND78760962</t>
  </si>
  <si>
    <t>Mai Thi Kim Hang</t>
  </si>
  <si>
    <t>VNDN7100102;Bonus - Vo Thi Quynh Thi-Dec/25- VND79176824</t>
  </si>
  <si>
    <t>Vo Thi Quynh Thi</t>
  </si>
  <si>
    <t>1500VN Accounts Payable - VN</t>
  </si>
  <si>
    <t>VNOther7300105;Photocopier Rental cost Dec, 2025; VND1296000</t>
  </si>
  <si>
    <t>Dai Tien Thanh Company</t>
  </si>
  <si>
    <t>50400 Office expenses:73205VN Prgm Office Supplies VN</t>
  </si>
  <si>
    <t>VNOther7300105;Photocopier Rental cost from Nov 13 to Dec 12, 2025; VND1296000</t>
  </si>
  <si>
    <t>VNBN7200111;Orientation TOT training: airticket for MS Chi to BN observe TOT training on 22/12 - 31/12/25; VND13283000</t>
  </si>
  <si>
    <t>Tran Thi Que Chi</t>
  </si>
  <si>
    <t>50700 Travel Expenses:72105VN Site Visits &amp; Evaluation VN</t>
  </si>
  <si>
    <t>VNBN7200111;Orientation TOT training: airticket for MS Chi to BN observe on 22/12 - 31/12/25; VND3664000</t>
  </si>
  <si>
    <t>Cong ty TNHH MTV Hop Nhat Thanh</t>
  </si>
  <si>
    <t>VNOther7300105;Repair electrical system + air conditioner; VND3537000</t>
  </si>
  <si>
    <t>Cong ty TNHH MTV A-X</t>
  </si>
  <si>
    <t>1310VN Equipment VN</t>
  </si>
  <si>
    <t>VNOther7300105;New office set up - Purchasing wall-mounted storage cabinet; VND4536000</t>
  </si>
  <si>
    <t>Cong ty TNHH My Thuat Hoang Gia Thang</t>
  </si>
  <si>
    <t>VNOther7300510;Hien phone cost in DEC 2025; VND1026200</t>
  </si>
  <si>
    <t>Tap doan Cong nghiep - Vien thong Quan Doi</t>
  </si>
  <si>
    <t>50400 Office expenses:73208VN Prgm Tele &amp; Fax VN</t>
  </si>
  <si>
    <t>VNOther7300105;Payment for electricity from Dec 1-Dec 31, 2025; VND1610734</t>
  </si>
  <si>
    <t>Cong ty Dien luc Da Nang - Chi nhanh Tong cong ty Dien Luc Mien Trung</t>
  </si>
  <si>
    <t>50600 Occupancy:73203VN Rent &amp; Utilities VN</t>
  </si>
  <si>
    <t>VNOther7300101;New year card 2026 and catalogue 2026; VND10249600</t>
  </si>
  <si>
    <t>Trung Khoa company</t>
  </si>
  <si>
    <t>VNOther7300510;Rep office: Express delivery fee in Dec 25 ; VND3299019</t>
  </si>
  <si>
    <t>Tong Cong ty CP Buu Chinh Viettel</t>
  </si>
  <si>
    <t>VNOther7300101;revert entry - Welcoming MOFA during their investigation to OS from  Sept 30-28, 2024; VND13695000</t>
  </si>
  <si>
    <t>Nguyen Hong Kim</t>
  </si>
  <si>
    <t>VNOther7300101; revert entry - Welcoming MOFA during their investigation to OS from  Sept 30-28, 2024; VND13695000</t>
  </si>
  <si>
    <t>VNOther7300101;Welcoming MOFA during their investigation to OS from  Sept 30-28, 2024; VND13695000</t>
  </si>
  <si>
    <t>1250VN Prepaid expenses VN</t>
  </si>
  <si>
    <t>Advance settlement training cost + project cost in 2025</t>
  </si>
  <si>
    <t>Van phong So Giao Duc va Dao Tao TpHCM</t>
  </si>
  <si>
    <t>51500 Training programs and materials:73102VN Equip &amp; Supp for HBC training</t>
  </si>
  <si>
    <t>VNHCMG7300106;Management fee - Nov + Dec 25; VND33000000</t>
  </si>
  <si>
    <t>VNHCMG7300112;Innitial TOT Training (5 days) - Supplies; VND96258240</t>
  </si>
  <si>
    <t>51500 Training programs and materials:72102VN HBC Training VN</t>
  </si>
  <si>
    <t>VNHCMG7200112;Innitial TOT Training (5 days) - Travel cost; VND96258240</t>
  </si>
  <si>
    <t>VNHCMG7200212;Meeting to implement project launching in HCM in Nov 25 - Travel cost; VND18750000</t>
  </si>
  <si>
    <t>So Giao Duc va Dao Tao Bac Ninh</t>
  </si>
  <si>
    <t>VNBNG7300106;Management fee - Nov + Dec 25; VND6000000</t>
  </si>
  <si>
    <t>VNBNG7300112;Innitial TOT Training (5 days) - Supplies; VND26500000</t>
  </si>
  <si>
    <t>VNBNG7200112;Innitial TOT Training (5 days) - Travel cost; VND89700000</t>
  </si>
  <si>
    <t>VNBNG7300212;Meeting to implement project launching in BN in Dec 25 - Supplies cost; VND15996962</t>
  </si>
  <si>
    <t>VNBNG7200212;Meeting to implement project launching in BN in Dec 25 - Travel cost; VND40500000</t>
  </si>
  <si>
    <t>So Giao Duc va Dao Tao tinh Tay Ninh</t>
  </si>
  <si>
    <t>VNTNG7300106;Management fee - Nov + Dec 25; VND20000000</t>
  </si>
  <si>
    <t>VNTNG7300104;Training for ICC trainees - Supplies; VND7596000</t>
  </si>
  <si>
    <t>VNTNG7200104;Training for ICC trainees - Travel cost; VND14416940</t>
  </si>
  <si>
    <t>VNTNG7300112;Innitial TOT Training (5 days) - Supplies; VND10785000</t>
  </si>
  <si>
    <t>VNTNG7200112;Innitial TOT Training (5 days) - Travel cost; VND104481000</t>
  </si>
  <si>
    <t>VNTNG7200212;Quarterly preparation and planning meetings with DOET 4/25 - Travel cost; VND7997648</t>
  </si>
  <si>
    <t>VNTNG7300212;Meeting to implement project launching in TN in Nov 25 - Supplies cost; VND8201000</t>
  </si>
  <si>
    <t>VNTNG7200212;Meeting to implement project launching in TN in Nov 25 - Travel cost; VND32890600</t>
  </si>
  <si>
    <t>VNQN7200106; Management fee Oct 25- revert accrual VND22800000</t>
  </si>
  <si>
    <t>Quang Nam DOET</t>
  </si>
  <si>
    <t>VNQN27300104; ICC training cost Oct 25: Supplies, snack.. session 10th - PD6 - revert accrual VND14080000</t>
  </si>
  <si>
    <t>VNQN27200104; Travel cost for trainees Oct 25 - PD6 - revert accrual VND22900000</t>
  </si>
  <si>
    <t>revert Accrual for training session Feb 25 Quang Nam ICC, PD3 VND17320390</t>
  </si>
  <si>
    <t>revert Accrual for training session Oct 25 Quang Nam ICC, PD6 VND41980000</t>
  </si>
  <si>
    <t>VNQN7300104; ICC training cost : Supplies for trainees in Jun  session 19th-20th 25 - revert  accrual VND 10920000</t>
  </si>
  <si>
    <t>VNQN7200104; Travel cost for trainees in Jun'25 session 19th-20th C13 - revert accrual VND 10500000</t>
  </si>
  <si>
    <t>revert Accrual training cost Jun 25 session 19th-20th  Quang Nam,C15 VND21420000</t>
  </si>
  <si>
    <t>revert Accrual training cost Oct 25, C15, Quang Nam - VND21420000</t>
  </si>
  <si>
    <t>VNHD27300106  - management fee Jul - Nov 25 53900000</t>
  </si>
  <si>
    <t>Hai Duong DOET</t>
  </si>
  <si>
    <t>VNHD27300104; Supplies training cost for trainees Jul - Nov 25 - PD4 - accrual VND37434188</t>
  </si>
  <si>
    <t>VNHD27200104; Travel cost for trainees Jul - Nov 25 -  PD4 - accrual VND21800000</t>
  </si>
  <si>
    <t>Accrual for training session Jul - Nov 25 - session PD4 Hai Duong ICC,  VND113134188</t>
  </si>
  <si>
    <t>Accrual for training session Jun 25 - PD4 Hai Duong ICC,</t>
  </si>
  <si>
    <t>VNQN27300104; Advance settlement for PD6-Tam Ky 3-Anh Dao Kindergarten-Supplies cost - Session 1 to 4</t>
  </si>
  <si>
    <t>PD6 - Truong Mam non 24/3</t>
  </si>
  <si>
    <t>Expense</t>
  </si>
  <si>
    <t>VNQN27200104; Advance settlement for PD6-Tam Ky 2-24/3Kindergarten- Travel cost - Session 1 to 4</t>
  </si>
  <si>
    <t>Advance settlement for PD6- Tam Ky2 - 24/3 Kindergarten - Session 1 to 4</t>
  </si>
  <si>
    <t>PD6 - Truong Mau Giao Anh Dao (Tam Ky 3)</t>
  </si>
  <si>
    <t>VNQN27200104; Advance settlement for PD6-Tam Ky 3-Anh Dao Kindergarten- Travel cost - Session 1 to 4</t>
  </si>
  <si>
    <t>Advance settlement for PD6- Tam Ky3-Anh Dao Kindergarten - Session 1 to 4</t>
  </si>
  <si>
    <t>VNHDTOT7300104; Supplies training cost for trainees Jul - Nov 25  TOT1 - accrual VND31475000</t>
  </si>
  <si>
    <t>VNHDTOT7200104; Travel cost for trainees Jul - Nov 25 TOT1 - accrual VND10800000</t>
  </si>
  <si>
    <t>Accrual for training session Jul - Nov 25 TOT1 Hai Duong ICC,  VND 42275000</t>
  </si>
  <si>
    <t>Accrual for training session Jul - Nov 25 TOT1 Hai Duong ICC,  VND42275000</t>
  </si>
  <si>
    <t>VNQN27300104; Advance settlement for PD6-Phu Ninh 3-Hoa Sen Kindergarten-Supplies cost - Session 1 to 4</t>
  </si>
  <si>
    <t>PD6 - Truong Mau giao Hoa Sen</t>
  </si>
  <si>
    <t>VNQN27200104; Advance settlement for PD6-Phu Ninh 3-Hoa Sen Kindergarten- Travel cost - Session 1 to 4</t>
  </si>
  <si>
    <t>Advance settlement for PD6- Phu Ninh 3-Hoa Sen Kindergarten - Session 1 to 4</t>
  </si>
  <si>
    <t>VNQN27300104; Advance settlement for PD6-Phu Ninh 1 - Anh Duong Kindergarten-Supplies cost - Session 1 to 4</t>
  </si>
  <si>
    <t>PD6 - Truong Mau Giao Anh Duong</t>
  </si>
  <si>
    <t>VNQN27200104; Advance settlement for PD6-Phu Ninh 1- Anh Duong Kindergarten- Travel cost - Session 1 to 4</t>
  </si>
  <si>
    <t>Advance settlement for PD6- Phu Ninh 1-Anh Duong Kindergarten - Session 1 to 4</t>
  </si>
  <si>
    <t>VNQN27300104; Advance settlement for PD6-Phu Ninh 1-Anh Dao Kindergarten-Supplies cost - Session 1 to 4</t>
  </si>
  <si>
    <t>PD6 - Truong Mau Giao Anh Dao (Phu Ninh 1)</t>
  </si>
  <si>
    <t>VNQN27200104; Advance settlement for PD6-Phu Ninh 1-Anh Dao Kindergarten- Travel cost - Session 1 to 4</t>
  </si>
  <si>
    <t>Advance settlement for PD6- Phu Ninh 1-Anh Dao Kindergarten - Session 1 to 4</t>
  </si>
  <si>
    <t>VNQN27300104; Advance settlement for PD6-Tam Ky1- Son Ca Kindergarten-Supplies cost - Session 1 to 4</t>
  </si>
  <si>
    <t>PD6 - Truong Mau giao Son Ca</t>
  </si>
  <si>
    <t>VNQN27200104; Advance settlement for PD6-Tam Ky1-Son Ca Kindergarten- Travel cost - Session 1 to 4</t>
  </si>
  <si>
    <t>Advance settlement for PD6- Tam Ky 1- Son Ca Kindergarten - Session 1 to 4</t>
  </si>
  <si>
    <t>VNHD27300106  - management fee Jul - Oct 25 32000000</t>
  </si>
  <si>
    <t>VNHD27300104; Supplies training cost for trainees Jul - Oct 25 - PD4 - Revert accrual VND29000000</t>
  </si>
  <si>
    <t>VNHD27200104; Travel cost for trainees Jul - Oct 25 -  PD4 - Revert accrual VND25000000</t>
  </si>
  <si>
    <t>Revert Accrual for training session Jul - Oct 25 - session PD4 Hai Duong ICC,  VND86000000</t>
  </si>
  <si>
    <t>Revert Accrual for training session Jul - Oct 25 - PD4 Hai Duong ICC,</t>
  </si>
  <si>
    <t>VNHDTOT7300104; Management fee Jul - Oct 25 -  TOT1 - Revert accrual</t>
  </si>
  <si>
    <t>VNHDTOT7300104; Supplies training cost for trainees Jul - Oct 25 -  TOT1 - Revert accrual</t>
  </si>
  <si>
    <t>VNHDTOT7200104; Travel cost for trainees Jul - Oct 25 - TOT1 - Revert accrual</t>
  </si>
  <si>
    <t>Revert Accrual for training session Jul-Oct 25  TOT1 Hai Duong ICC,</t>
  </si>
  <si>
    <t>Revert Accrual for training session Jul - Oct 25 TOT1 Hai Duong ICC,</t>
  </si>
  <si>
    <t>VNQNTOT7300104; Advance settlement TOT2 - Session 1to session 4 - Supplies cost</t>
  </si>
  <si>
    <t>TOT2 - Truong Mau giao Son Ca</t>
  </si>
  <si>
    <t>VNQNTOT7200104; Advance settlement TOT2 - Session 1 to session 4- Travel cost</t>
  </si>
  <si>
    <t>Advance settlement TOT2 - Session 1 to session 4</t>
  </si>
  <si>
    <t>VNHDTOT7300104; Management fee Jun 25 -  TOT1 - Revert accrual</t>
  </si>
  <si>
    <t>VNHDTOT7300104; Supplies training cost for trainees Jun 25 -  TOT1 - Revert accrual</t>
  </si>
  <si>
    <t>VNHDTOT7200104; Travel cost for trainees Jun 25 - TOT1 - Revert accrual</t>
  </si>
  <si>
    <t>Revert Accrual for training session Jun 25  TOT1 Hai Duong ICC,</t>
  </si>
  <si>
    <t>Revert Accrual for training session Jun 25 TOT1 Hai Duong ICC,</t>
  </si>
  <si>
    <t>VNHD27300106  - management fee Jun 25 - revert accrual  49000000</t>
  </si>
  <si>
    <t>VNHD27300104; Supplies training cost for trainees Jun 25 - PD4 - Revert accrual VND28788082</t>
  </si>
  <si>
    <t>VNHD27200104; Travel cost for trainees Jun 25 -  PD4 - Revert accrual VND7550000</t>
  </si>
  <si>
    <t>Revert Accrual for training session Jun 25 - session PD4 Hai Duong ICC,  VND85338082</t>
  </si>
  <si>
    <t>Revert Accrual for training session Jun 25 - PD4 Hai Duong ICC,</t>
  </si>
  <si>
    <t>VNHD27300106  - management fee May 25 - Revert accrual</t>
  </si>
  <si>
    <t>VNHD27300104; Supplies training cost for trainees May 25 - session 5&amp;6  PD4 - Revert accrual VND5800000</t>
  </si>
  <si>
    <t>VNHD27200104; Travel cost for trainees May 25 - session 5&amp;6 PD4 - Revert accrual VND5000000</t>
  </si>
  <si>
    <t>Revert Accrual for training session May 25 - session 5&amp;6 PD4 Hai Duong ICC,  VND10800000</t>
  </si>
  <si>
    <t>Revert Accrual for training session May 25 - session 5&amp;6 - PD4 Hai Duong ICC,</t>
  </si>
  <si>
    <t>VNHDTOT7300104; Management fee  May 25 session 5&amp;6 -  TOT1 - Revert accrual</t>
  </si>
  <si>
    <t>VNHDTOT7300104; Supplies training cost for trainees May 25 session 5&amp;6 -  TOT1 - Revert accrual</t>
  </si>
  <si>
    <t>VNHDTOT7200104; Travel cost for trainees May 25 session 5&amp;6 - TOT1 - Revert accrual</t>
  </si>
  <si>
    <t>Revert Accrual for training session May 25 session 5&amp;6 TOT1 Hai Duong ICC,</t>
  </si>
  <si>
    <t>Revert Accrual for training session May 25 session 5-6th TOT1 Hai Duong ICC,</t>
  </si>
  <si>
    <t>VNHDTOT7300104; Management fee  Mar 25  TOT1 - Revert accrual VND11177182</t>
  </si>
  <si>
    <t>VNHDTOT7300104; Supplies training cost for trainees Mar 25  TOT1 - Revert accrual VND11177182</t>
  </si>
  <si>
    <t>VNHDTOT7200104; Travel cost for trainees Mar 25 TOT1 - Revert accrual VND234000</t>
  </si>
  <si>
    <t>Revert Accrual for training session Mar 25 TOT1 Hai Duong ICC,  VND13517182</t>
  </si>
  <si>
    <t>Revert Accrual for training session Mar 25 TOT1 Hai Duong ICC,  VND15017182</t>
  </si>
  <si>
    <t>VNHD27300104; Supplies cost for trainees 4day orientation - TOT1 - Revert accrual VND37710000</t>
  </si>
  <si>
    <t>VNHD27200104; Travel cost for trainees 4day orientation - TOT1 - Revert accrual VND34515000</t>
  </si>
  <si>
    <t>Revert Accrual for training session 4 day orientation Hai Duong ICC, TOT1 VND72225000</t>
  </si>
  <si>
    <t>VNHD27300104; Supplies training cost for trainees Jan, Mar 25  PD4 - Revert accrual VND5800000</t>
  </si>
  <si>
    <t>VNHD27200104; Travel cost for trainees Jan, Mar 25 PD4 - Revert accrual VND5000000</t>
  </si>
  <si>
    <t>Revert Accrual for training session Jan, Mar 25 PD4 Hai Duong ICC,  VND10800000</t>
  </si>
  <si>
    <t>Revert Accrual for training session Jan, Mar 25 PD4 Hai Duong ICC,  VND21600000</t>
  </si>
  <si>
    <t>VNHD27300104; Supplies training cost for trainees Feb 25  PD4 - Revert accrual VND4640000</t>
  </si>
  <si>
    <t>VNHD27200104; Travel cost for trainees Feb 25 PD4 - Revert accrual VND4000000</t>
  </si>
  <si>
    <t>Revert Accrual for training session Feb 25 PD4 Hai Duong ICC,  VND8640000</t>
  </si>
  <si>
    <t>VNHDTOT27200104; Travel cost for trainees 1day orientation - TOT1 - revert accrual VND11700000</t>
  </si>
  <si>
    <t>revert Accrual for training session 1 day orientation Hai Duong ICC, TOT1 VND11700000</t>
  </si>
  <si>
    <t>Revert Accrual for training session 1 day orientation Hai Duong ICC, TOT1 VND11700000</t>
  </si>
  <si>
    <t>VNQN7300104; Advance settlement for CH15- Que Son 1- Que Xuan 2 Kindergarten-Supplies cost - Session 1 to 5, Web</t>
  </si>
  <si>
    <t>C15 - Truong Mau giao Que Xuan 2</t>
  </si>
  <si>
    <t>VNQN7200104; Advance settlement for CH15-Que Son 1-Que Xuan 2  Kindergarten- Travel cost - Session 1 to 5, Web</t>
  </si>
  <si>
    <t>Advance settlement for CH15- Que Son 1- Que Xuân 2 Kindergarten - Session 1 to 5, Web</t>
  </si>
  <si>
    <t>VNQN7300104; Advance settlement for CH15- Que Son 3-Dong Phu Kindergarten-Supplies cost - Session 1 to 5, Web</t>
  </si>
  <si>
    <t>C15 - Truong Mau giao Dong Phu</t>
  </si>
  <si>
    <t>VNQN7200104; Advance settlement for CH15-Que Son 3 - Dong Phu- Kindergarten- Travel cost - Session 1 to 5, Web</t>
  </si>
  <si>
    <t>Advance settlement for CH15- Que Son 3- Dong Phu Kindergarten - Session 1 to 5, Web</t>
  </si>
  <si>
    <t>VNQN7300104; Advance settlement for CH15- Que Son 2-Huong An Kindergarten-Supplies cost</t>
  </si>
  <si>
    <t>C15 - Truong mau giao Huong An</t>
  </si>
  <si>
    <t>VNQN7200104; Advance settlement for CH15-Que Son 2 - Huong An- Kindergarten- Travel cost</t>
  </si>
  <si>
    <t>Advance settlement for CH15- Que Son 2- Huong An Kindergarten</t>
  </si>
  <si>
    <t>VNQN7300104; Advance settlement for CH15- Thang Binh 3- Binh Phuc Kindergarten-Supplies cost-Session 1 to 5, Web, learning and teaching discussion</t>
  </si>
  <si>
    <t>C15 - Truong mau giao Binh Phuc</t>
  </si>
  <si>
    <t>VNQN7200104; Advance settlement for CH15-Thang Binh 3- Binh Phuc Kindergarten- Travel cost-Session 1 to 5, Web, learning and teaching discussion</t>
  </si>
  <si>
    <t>Advance settlement for CH15- Thang Binh 3 - Binh Phuc Kindergarten - Session 1 to 5, Web, learning and teaching discussion</t>
  </si>
  <si>
    <t>VNQN7300104; Advance settlement for CH15- Thang Binh 2- Binh Trung Kindergarten-Supplies cost- Session 1 to 5, Web, learning-teaching discussion</t>
  </si>
  <si>
    <t>C15 - Truong Mau giao Binh Trung</t>
  </si>
  <si>
    <t>VNQN7200104; Advance settlement for CH15-Thang Binh 2- Binh Trung Kindergarten- Travel cost  Session 1 to 5, Web, learning-teaching discussion</t>
  </si>
  <si>
    <t>Advance settlement for CH15- Thang Binh 2 - Binh Trung Kindergarten - Session 1 to 5, Web, learning-teaching discussion</t>
  </si>
  <si>
    <t>VNQNTOT7300104; Advance settlement TOT2 - Session 1 and session 2 - Supplies cost</t>
  </si>
  <si>
    <t>TOT2 - Truong Mau giao Ha Lam</t>
  </si>
  <si>
    <t>VNQNTOT7200104; Advance settlement TOT2 - Session 1 and session 2 - Travel cost</t>
  </si>
  <si>
    <t>Advance settlement TOT2 - Session 1 and session 2</t>
  </si>
  <si>
    <t>VNQN7300104; Advance settlement for CH15 - from session No.1 to No. 5, Web and learning - teaching discussion - Supplies cost</t>
  </si>
  <si>
    <t>C15 - Truong Mau giao Ha Lam</t>
  </si>
  <si>
    <t>VNQN7200104; Advance settlement for CH15 - from session No.1 to No. 5, Web and learning - teaching discussion - Travel cost</t>
  </si>
  <si>
    <t>Advance settlement for CH15 - from session No.1 to No. 5, Web and learning - teaching discussion</t>
  </si>
  <si>
    <t>10% PIT withhold receivables from MOET staff</t>
  </si>
  <si>
    <t>Nguyen Minh Huyen</t>
  </si>
  <si>
    <t>1230VN Other Receivable VN</t>
  </si>
  <si>
    <t>VNMOETG7200212; Advance settlement Taxi, meals for MOET delegations to attend project launching event + initial training in HCM in Aug 25 ; VND17285878</t>
  </si>
  <si>
    <t>VNMOETG7200107; Accrual taxi, meal for MOET team to HCM for initial training ; VND9360000</t>
  </si>
  <si>
    <t>VNMOETG7200212; Taxi, meals for MOET delegations to attend project launching event in HCM in Aug 25 ; VND 103384122</t>
  </si>
  <si>
    <t>VNMOETG7200212; Advance settlement Taxi, meals for MOET delegations to attend project launching event in HCM in Aug 25 ; VND 130030000</t>
  </si>
  <si>
    <t>VNMOETG7200212; Advance settlement Taxi, meals for MOET delegations to attend project launching event in HCM and initial training in Aug 25 ; VND 112744122</t>
  </si>
  <si>
    <t>;Advance settlement Ms Hien in US trip to attend NAFCC conference from 23 Jul to 3 Aug 2025</t>
  </si>
  <si>
    <t>Hien Thi Hien Vo</t>
  </si>
  <si>
    <t>VNOther7200201;Advance settlement Ms Hien in US trip to attend NAFCC conference from 23 Jul to 3 Aug 2025</t>
  </si>
  <si>
    <t>Advance settlement Ms Hien in US trip to attend NAFCC conference from 23 Jul to 3 Aug 2025, USD 2500 @25980</t>
  </si>
  <si>
    <t>VNOther7200201;Advance settlement Ms Hien in US trip to attend NAFCC conference from 23 Jul to 3 Aug 2025; VND34949424</t>
  </si>
  <si>
    <t>VNHBC71001030;SI, HI, UI  - Nguyen Thi Minh Ngoc-Dec/25- VND-5389074</t>
  </si>
  <si>
    <t>Nguyen Thi Minh Ngoc</t>
  </si>
  <si>
    <t>50100 Com. and ben. for staff:50103 Other ben. for staff:71219VN Benefits - Ops VN</t>
  </si>
  <si>
    <t>VNHBC71001030;SI, HI, UI (ER) - Nguyen Thi Minh Ngoc-Dec/25- VND3620784</t>
  </si>
  <si>
    <t>;SI, HI, UI (EE) - Nguyen Thi Minh Ngoc-Dec/25- VND1768290</t>
  </si>
  <si>
    <t>50400 Office expenses:73209VN Prgm Bank Fee VN</t>
  </si>
  <si>
    <t>VNELC7300507; Bankfee</t>
  </si>
  <si>
    <t>VNHBC71001030;PIT (EE) - Nguyen Thi Minh Ngoc-Dec/25- VND0</t>
  </si>
  <si>
    <t>;SI, HI, UI (EE) - Nguyen Thi Minh Ngoc-Dec/25- VND-1768290</t>
  </si>
  <si>
    <t>50100 Com. and ben. for staff:50101 Compensation for staff:71122VN VN Blended Learning Mgr (Thao)</t>
  </si>
  <si>
    <t>VNHBC71001030;Allowance - Nguyen Thi Minh Ngoc-Dec/25- VND0</t>
  </si>
  <si>
    <t>VNHBC71001030;Salary - Nguyen Thi Minh Ngoc-Dec/25- VND9636674</t>
  </si>
  <si>
    <t>VNBN7100102;SI, HI, UI  - Nguyen Thi Huong-Dec/25- VND-4160000</t>
  </si>
  <si>
    <t>Nguyen Thi Huong</t>
  </si>
  <si>
    <t>50100 Com. and ben. for staff:50103 Other ben. for staff:71139VN Tax &amp; Benefit Trainer VN</t>
  </si>
  <si>
    <t>VNBN7100102;SI, HI, UI (ER) - Nguyen Thi Huong-Dec/25- VND2795000</t>
  </si>
  <si>
    <t>;SI, HI, UI (EE) - Nguyen Thi Huong-Dec/25- VND1365000</t>
  </si>
  <si>
    <t>VNBN7100102;PIT (EE) - Nguyen Thi Huong-Dec/25- VND-354273</t>
  </si>
  <si>
    <t>;SI, HI, UI (EE) - Nguyen Thi Huong-Dec/25- VND-1365000</t>
  </si>
  <si>
    <t>VNBN7200102;Travel, hardship,meal allow. - Nguyen Thi Huong-Dec/25- VND0</t>
  </si>
  <si>
    <t>VNBN7100102;Fixed Allowance - Nguyen Thi Huong-Dec/25- VND2790000</t>
  </si>
  <si>
    <t>VNBN7100102;Salary - Nguyen Thi Huong-Dec/25- VND13000000</t>
  </si>
  <si>
    <t>VNBN7100102;SI, HI, UI  - Nguyen Dang Hai Sam-Dec/25- VND-4160000</t>
  </si>
  <si>
    <t>Nguyen Dang Hai Sam</t>
  </si>
  <si>
    <t>VNBN7100102;SI, HI, UI (ER) - Nguyen Dang Hai Sam-Dec/25- VND2795000</t>
  </si>
  <si>
    <t>;SI, HI, UI (EE) - Nguyen Dang Hai Sam-Dec/25- VND1365000</t>
  </si>
  <si>
    <t>VNBN7100102;PIT (EE) - Nguyen Dang Hai Sam-Dec/25- VND-2224907</t>
  </si>
  <si>
    <t>;SI, HI, UI (EE) - Nguyen Dang Hai Sam-Dec/25- VND-1365000</t>
  </si>
  <si>
    <t>VNBN7200102;Travel, hardship,meal allow. - Nguyen Dang Hai Sam-Dec/25- VND0</t>
  </si>
  <si>
    <t>VNBN7100102;Fixed Allowance - Nguyen Dang Hai Sam-Dec/25- VND2790000</t>
  </si>
  <si>
    <t>VNBN7100102;Salary - Nguyen Dang Hai Sam-Dec/25- VND16763283</t>
  </si>
  <si>
    <t>VNHCM7100102;SI, HI, UI  - Mai Thi Mong Tuyen-Dec/25- VND-4160000</t>
  </si>
  <si>
    <t>Mai Thi Mong Tuyen</t>
  </si>
  <si>
    <t>VNHCM7100102;SI, HI, UI (ER) - Mai Thi Mong Tuyen-Dec/25- VND2795000</t>
  </si>
  <si>
    <t>;SI, HI, UI (EE) - Mai Thi Mong Tuyen-Dec/25- VND1365000</t>
  </si>
  <si>
    <t>VNHCM7100102;PIT (EE) - Mai Thi Mong Tuyen-Dec/25- VND-2224907</t>
  </si>
  <si>
    <t>;SI, HI, UI (EE) - Mai Thi Mong Tuyen-Dec/25- VND-1365000</t>
  </si>
  <si>
    <t>VNHCM7100102;Travel, hardship,meal allow. - Mai Thi Mong Tuyen-Dec/25- VND0</t>
  </si>
  <si>
    <t>VNHCM7100102;Fixed Allowance - Mai Thi Mong Tuyen-Dec/25- VND2790000</t>
  </si>
  <si>
    <t>VNHCM7100102;Salary - Mai Thi Mong Tuyen-Dec/25- VND16763283</t>
  </si>
  <si>
    <t>VNQN7100102;SI, HI, UI  - Pham Thi Nhi Ca-Dec/25- VND-3976000</t>
  </si>
  <si>
    <t>VNQN7100102;SI, HI, UI (ER) - Pham Thi Nhi Ca-Dec/25- VND2671375</t>
  </si>
  <si>
    <t>;SI, HI, UI (EE) - Pham Thi Nhi Ca-Dec/25- VND1304625</t>
  </si>
  <si>
    <t>VNQN7100102;PIT (EE) - Pham Thi Nhi Ca-Dec/25- VND-3384354</t>
  </si>
  <si>
    <t>;SI, HI, UI (EE) - Pham Thi Nhi Ca-Dec/25- VND-1304625</t>
  </si>
  <si>
    <t>VNQN7100102;Travel, hardship,meal allow. - Pham Thi Nhi Ca-Dec/25- VND1830000</t>
  </si>
  <si>
    <t>VNQN7100102;Fixed Allowance - Pham Thi Nhi Ca-Dec/25- VND2790000</t>
  </si>
  <si>
    <t>VNQN7100102;Salary - Pham Thi Nhi Ca-Dec/25- VND20996117</t>
  </si>
  <si>
    <t>VNOther7100202;SI, HI, UI  - Nguyen Thi Hai-Dec/25- VND-1600000</t>
  </si>
  <si>
    <t>Nguyen Thi Hai</t>
  </si>
  <si>
    <t>VNOther7100202;0%SI, HI, UI (ER) - Nguyen Thi Hai-Dec/25- VND1075000</t>
  </si>
  <si>
    <t>;SI, HI, UI (EE) - Nguyen Thi Hai-Dec/25- VND525000</t>
  </si>
  <si>
    <t>VNOther7100202;PIT (EE) - Nguyen Thi Hai-Dec/25- VND0</t>
  </si>
  <si>
    <t>;0%SI, HI, UI (EE) - Nguyen Thi Hai-Dec/25- VND-525000</t>
  </si>
  <si>
    <t>50100 Com. and ben. for staff:50101 Compensation for staff:71204VN Admin Manager (Kim)</t>
  </si>
  <si>
    <t>VNOther7100202;0%Allowance - Nguyen Thi Hai-Dec/25- VND0</t>
  </si>
  <si>
    <t>VNOther7100202;0% Salary - Nguyen Thi Hai-Dec/25- VND5000000</t>
  </si>
  <si>
    <t>VNOther7100202;0% Salary - Nguyen Thi Hai-Dec/25- VND-4475000</t>
  </si>
  <si>
    <t>VNLA7100102;SI, HI, UI  - Nguyen Thi Thuy Van-Dec/25- VND-4160000</t>
  </si>
  <si>
    <t>Nguyen Thi Thuy Van</t>
  </si>
  <si>
    <t>VNLA7100102;SI, HI, UI (ER) - Nguyen Thi Thuy Van-Dec/25- VND2795000</t>
  </si>
  <si>
    <t>;SI, HI, UI (EE) - Nguyen Thi Thuy Van-Dec/25- VND1365000</t>
  </si>
  <si>
    <t>VNLA7100102;PIT (EE) - Nguyen Thi Thuy Van-Dec/25- VND-2524917</t>
  </si>
  <si>
    <t>;SI, HI, UI (EE) - Nguyen Thi Thuy Van-Dec/25- VND-1365000</t>
  </si>
  <si>
    <t>VNLA7200102;Travel, hardship,meal allow. - Nguyen Thi Thuy Van-Dec/25- VND0</t>
  </si>
  <si>
    <t>VNLA7100102;Fixed Allowance - Nguyen Thi Thuy Van-Dec/25- VND2790000</t>
  </si>
  <si>
    <t>VNLA7100102;Salary - Nguyen Thi Thuy Van-Dec/25- VND18263333</t>
  </si>
  <si>
    <t>VNQN7100102;SI, HI, UI  - Nguyen Thi Thuy Na-Dec/25- VND-3604352</t>
  </si>
  <si>
    <t>VNQN7100102;SI, HI, UI (ER) - Nguyen Thi Thuy Na-Dec/25- VND2421674</t>
  </si>
  <si>
    <t>;SI, HI, UI (EE) - Nguyen Thi Thuy Na-Dec/25- VND1182678</t>
  </si>
  <si>
    <t>VNQN7100102;PIT (EE) - Nguyen Thi Thuy Na-Dec/25- VND-4153483</t>
  </si>
  <si>
    <t>;SI, HI, UI (EE) - Nguyen Thi Thuy Na-Dec/25- VND-1182678</t>
  </si>
  <si>
    <t>VNQN7100102;Travel, hardship,meal allow. - Nguyen Thi Thuy Na-Dec/25- VND1510000</t>
  </si>
  <si>
    <t>VNQN7100102;Fixed Allowance - Nguyen Thi Thuy Na-Dec/25- VND2790000</t>
  </si>
  <si>
    <t>VNQN7100102;Salary - Nguyen Thi Thuy Na-Dec/25- VND25211900</t>
  </si>
  <si>
    <t>VNMOET7100206;SI, HI, UI  - Le Thi Thu Hanh-Dec/25- VND0</t>
  </si>
  <si>
    <t>Le Thi Thu Hanh</t>
  </si>
  <si>
    <t>;0%SI, HI, UI (EE) - Le Thi Thu Hanh-Dec/25- VND0</t>
  </si>
  <si>
    <t>VNMOET7100206;PIT (EE) - Le Thi Thu Hanh-Dec/25- VND-31082008</t>
  </si>
  <si>
    <t>50100 Com. and ben. for staff:50101 Compensation for staff:71201VN Global Associate Director of Digital Transformation and Innovation VN</t>
  </si>
  <si>
    <t>VNMOET7100206;Fixed Allowance - Le Thi Thu Hanh-Dec/25- VND10371270</t>
  </si>
  <si>
    <t>VNMOET7100206;0% Salary - Le Thi Thu Hanh-Dec/25- VND78690000</t>
  </si>
  <si>
    <t>VNMOET7100206;0% Salary - Le Thi Thu Hanh-Dec/25- VND-57979262</t>
  </si>
  <si>
    <t>Dang Thanh Canh</t>
  </si>
  <si>
    <t>VNOther7100213; PIT - Dang Thanh Canh Dec/25 VND-810507</t>
  </si>
  <si>
    <t>50100 Com. and ben. for staff:50101 Compensation for staff:71302VN Part time IT Coordinator</t>
  </si>
  <si>
    <t>VNOther7100213; Salary - Dang Thanh Canh Dec/25 VND8105070</t>
  </si>
  <si>
    <t>VNHCM7100102;SI, HI, UI  - Mai Anh Thu-Dec/25- VND-4564352</t>
  </si>
  <si>
    <t>Mai Anh Thu</t>
  </si>
  <si>
    <t>VNHCM7100102;SI, HI, UI (ER) - Mai Anh Thu-Dec/25- VND3066674</t>
  </si>
  <si>
    <t>;SI, HI, UI (EE) - Mai Anh Thu-Dec/25- VND1497678</t>
  </si>
  <si>
    <t>VNHCM7100102;PIT (EE) - Mai Anh Thu-Dec/25- VND-5323057</t>
  </si>
  <si>
    <t>;SI, HI, UI (EE) - Mai Anh Thu-Dec/25- VND-1497678</t>
  </si>
  <si>
    <t>VNHCM7100102;Travel, hardship,meal allow. - Mai Anh Thu-Dec/25- VND0</t>
  </si>
  <si>
    <t>VNHCM7100102;Fixed Allowance - Mai Anh Thu-Dec/25- VND2790000</t>
  </si>
  <si>
    <t>VNHCM7100102;Salary - Mai Anh Thu-Dec/25- VND30777169</t>
  </si>
  <si>
    <t>VNHCM7100102;SI, HI, UI  - Nguyen Thi Nhung-Dec/25- VND-4564352</t>
  </si>
  <si>
    <t>Nguyen Thi Nhung</t>
  </si>
  <si>
    <t>VNHCM7100102;SI, HI, UI (ER) - Nguyen Thi Nhung-Dec/25- VND3066674</t>
  </si>
  <si>
    <t>;SI, HI, UI (EE) - Nguyen Thi Nhung-Dec/25- VND1497678</t>
  </si>
  <si>
    <t>VNHCM7100102;PIT (EE) - Nguyen Thi Nhung-Dec/25- VND-5458065</t>
  </si>
  <si>
    <t>;SI, HI, UI (EE) - Nguyen Thi Nhung-Dec/25- VND-1497678</t>
  </si>
  <si>
    <t>VNHCM7200102;Travel, hardship,meal allow. - Nguyen Thi Nhung-Dec/25- VND0</t>
  </si>
  <si>
    <t>VNHCM7100102;Fixed Allowance - Nguyen Thi Nhung-Dec/25- VND2790000</t>
  </si>
  <si>
    <t>VNHCM7100102;Salary - Nguyen Thi Nhung-Dec/25- VND31317200</t>
  </si>
  <si>
    <t>VNHD7100102;SI, HI, UI  - Vu Thi Thu Thuy-Dec/25- VND-4069952</t>
  </si>
  <si>
    <t>Vu Thi Thu Thuy</t>
  </si>
  <si>
    <t>VNHD7100102;SI, HI, UI (ER) - Vu Thi Thu Thuy-Dec/25- VND2734499</t>
  </si>
  <si>
    <t>;SI, HI, UI (EE) - Vu Thi Thu Thuy-Dec/25- VND1335453</t>
  </si>
  <si>
    <t>VNHD7100102;PIT (EE) - Vu Thi Thu Thuy-Dec/25- VND-3952979</t>
  </si>
  <si>
    <t>;SI, HI, UI (EE) - Vu Thi Thu Thuy-Dec/25- VND-1335453</t>
  </si>
  <si>
    <t>VNHD7200102;Travel, hardship,meal allow. - Vu Thi Thu Thuy-Dec/25- VND3390000</t>
  </si>
  <si>
    <t>VNHD7100102;Fixed Allowance - Vu Thi Thu Thuy-Dec/25- VND2790000</t>
  </si>
  <si>
    <t>VNHD7100102;Salary - Vu Thi Thu Thuy-Dec/25- VND28227200</t>
  </si>
  <si>
    <t>VNQN7100102;SI, HI, UI  - Truong Thi Diem Phuong-Dec/25- VND0</t>
  </si>
  <si>
    <t>VNQN7100102;SI, HI, UI (ER) - Truong Thi Diem Phuong-Dec/25- VND0</t>
  </si>
  <si>
    <t>;SI, HI, UI (EE) - Truong Thi Diem Phuong-Dec/25- VND0</t>
  </si>
  <si>
    <t>VNQN7100102;PIT (EE) - Truong Thi Diem Phuong-Dec/25- VND-2247233</t>
  </si>
  <si>
    <t>VNQN7200102;Travel, hardship,meal allow. - Truong Thi Diem Phuong-Dec/25- VND350000</t>
  </si>
  <si>
    <t>VNQN7100102;Fixed Allowance - Truong Thi Diem Phuong-Dec/25- VND1141364</t>
  </si>
  <si>
    <t>VNQN7100102;Salary - Truong Thi Diem Phuong-Dec/25- VND19664834</t>
  </si>
  <si>
    <t>VNQN7100102;SI, HI, UI  - Ho Thi Mong Thu-Dec/25- VND-5039552</t>
  </si>
  <si>
    <t>VNQN7100102;SI, HI, UI (ER) - Ho Thi Mong Thu-Dec/25- VND3385949</t>
  </si>
  <si>
    <t>;SI, HI, UI (EE) - Ho Thi Mong Thu-Dec/25- VND1653603</t>
  </si>
  <si>
    <t>VNQN7100102;PIT (EE) - Ho Thi Mong Thu-Dec/25- VND-4245474</t>
  </si>
  <si>
    <t>;SI, HI, UI (EE) - Ho Thi Mong Thu-Dec/25- VND-1653603</t>
  </si>
  <si>
    <t>VNQN7200102;Travel, hardship,meal allow. - Ho Thi Mong Thu-Dec/25- VND1100000</t>
  </si>
  <si>
    <t>VNQN7100102;Fixed Allowance - Ho Thi Mong Thu-Dec/25- VND2790000</t>
  </si>
  <si>
    <t>VNQN7100102;Salary - Ho Thi Mong Thu-Dec/25- VND24693475</t>
  </si>
  <si>
    <t>VNDN7100102;SI, HI, UI  - Nguyen Thi Tram Anh-Dec/25- VND-4564352</t>
  </si>
  <si>
    <t>VNDN7100102;SI, HI, UI (ER) - Nguyen Thi Tram Anh-Dec/25- VND3066674</t>
  </si>
  <si>
    <t>;SI, HI, UI (EE) - Nguyen Thi Tram Anh-Dec/25- VND1497678</t>
  </si>
  <si>
    <t>VNDN7100102;PIT (EE) - Nguyen Thi Tram Anh-Dec/25- VND-3793089</t>
  </si>
  <si>
    <t>;SI, HI, UI (EE) - Nguyen Thi Tram Anh-Dec/25- VND-1497678</t>
  </si>
  <si>
    <t>VNDN7200102;Travel, hardship,meal allow. - Nguyen Thi Tram Anh-Dec/25- VND440000</t>
  </si>
  <si>
    <t>VNDN7100102;Fixed Allowance - Nguyen Thi Tram Anh-Dec/25- VND2790000</t>
  </si>
  <si>
    <t>VNDN7100102;Salary - Nguyen Thi Tram Anh-Dec/25- VND31317200</t>
  </si>
  <si>
    <t>VNDN7100102;SI, HI, UI  - Vo Thi Quynh Thi-Dec/25- VND-6516352</t>
  </si>
  <si>
    <t>VNDN7100102;SI, HI, UI (ER) - Vo Thi Quynh Thi-Dec/25- VND4378174</t>
  </si>
  <si>
    <t>;SI, HI, UI (EE) - Vo Thi Quynh Thi-Dec/25- VND2138178</t>
  </si>
  <si>
    <t>VNDN7100102;PIT (EE) - Vo Thi Quynh Thi-Dec/25- VND-7781840</t>
  </si>
  <si>
    <t>;SI, HI, UI (EE) - Vo Thi Quynh Thi-Dec/25- VND-2138178</t>
  </si>
  <si>
    <t>VNDN7200102;Travel, hardship,meal allow. - Vo Thi Quynh Thi-Dec/25- VND440000</t>
  </si>
  <si>
    <t>VNDN7100102;Fixed Allowance - Vo Thi Quynh Thi-Dec/25- VND2790000</t>
  </si>
  <si>
    <t>VNDN7100102;Salary - Vo Thi Quynh Thi-Dec/25- VND43517200</t>
  </si>
  <si>
    <t>VNDN7100102;SI, HI, UI  - Pham Thi Huyen-Dec/25- VND-5064512</t>
  </si>
  <si>
    <t>VNDN7100102;SI, HI, UI (ER) - Pham Thi Huyen-Dec/25- VND3402719</t>
  </si>
  <si>
    <t>;SI, HI, UI (EE) - Pham Thi Huyen-Dec/25- VND1661793</t>
  </si>
  <si>
    <t>VNDN7100102;PIT (EE) - Pham Thi Huyen-Dec/25- VND-4683243</t>
  </si>
  <si>
    <t>;SI, HI, UI (EE) - Pham Thi Huyen-Dec/25- VND-1661793</t>
  </si>
  <si>
    <t>VNDN7200102;Travel, hardship,meal allow. - Pham Thi Huyen-Dec/25- VND540000</t>
  </si>
  <si>
    <t>VNDN7100102;Fixed Allowance - Pham Thi Huyen-Dec/25- VND2790000</t>
  </si>
  <si>
    <t>VNDN7100102;Salary - Pham Thi Huyen-Dec/25- VND34443200</t>
  </si>
  <si>
    <t>VNDN7100102;SI, HI, UI  - Mai Thi Kim Hang-Dec/25- VND-3984832</t>
  </si>
  <si>
    <t>VNDN7100102;SI, HI, UI (ER) - Mai Thi Kim Hang-Dec/25- VND2677309</t>
  </si>
  <si>
    <t>;SI, HI, UI (EE) - Mai Thi Kim Hang-Dec/25- VND1307523</t>
  </si>
  <si>
    <t>VNDN7100102;PIT (EE) - Mai Thi Kim Hang-Dec/25- VND-3634551</t>
  </si>
  <si>
    <t>;SI, HI, UI (EE) - Mai Thi Kim Hang-Dec/25- VND-1307523</t>
  </si>
  <si>
    <t>VNDN7200102;Travel, hardship,meal allow. - Mai Thi Kim Hang-Dec/25- VND360000</t>
  </si>
  <si>
    <t>VNDN7100102;Fixed Allowance - Mai Thi Kim Hang-Dec/25- VND2790000</t>
  </si>
  <si>
    <t>VNDN7100102;Salary - Mai Thi Kim Hang-Dec/25- VND27695200</t>
  </si>
  <si>
    <t>VNOther7100402;SI, HI, UI  - Phan Thi Thao Nguyen-Dec/25- VND-15534950</t>
  </si>
  <si>
    <t>Phan Thi Thao Nguyen</t>
  </si>
  <si>
    <t>50100 Com. and ben. for staff:50103 Other ben. for staff:71409VN Benefits Prgm Finance VN</t>
  </si>
  <si>
    <t>VNOther7100402;50%SI, HI, UI (ER) - Phan Thi Thao Nguyen-Dec/25- VND5170738</t>
  </si>
  <si>
    <t>;SI, HI, UI (EE) - Phan Thi Thao Nguyen-Dec/25- VND5193475</t>
  </si>
  <si>
    <t>VNOther7100402;PIT (EE) - Phan Thi Thao Nguyen-Dec/25- VND-23150459</t>
  </si>
  <si>
    <t>;50%SI, HI, UI (EE) - Phan Thi Thao Nguyen-Dec/25- VND-2596738</t>
  </si>
  <si>
    <t>50100 Com. and ben. for staff:50101 Compensation for staff:71401VN Finance Manager (Thuy)</t>
  </si>
  <si>
    <t>VNOther7100402;50%Allowance - Phan Thi Thao Nguyen-Dec/25- VND0</t>
  </si>
  <si>
    <t>VNOther7100402;50% Salary - Phan Thi Thao Nguyen-Dec/25- VND37836775</t>
  </si>
  <si>
    <t>VNOther7100402;0% Salary - Phan Thi Thao Nguyen-Dec/25- VND-47329616</t>
  </si>
  <si>
    <t>VNOther7100207;SI, HI, UI  - Nguyen Thi Thanh Thanh -Dec/25- VND-14094497</t>
  </si>
  <si>
    <t>Nguyen Thi Thanh Thanh</t>
  </si>
  <si>
    <t>VNOther7100207;50%SI, HI, UI (ER) - Nguyen Thi Thanh Thanh -Dec/25- VND4734870</t>
  </si>
  <si>
    <t>;SI, HI, UI (EE) - Nguyen Thi Thanh Thanh -Dec/25- VND4624757</t>
  </si>
  <si>
    <t>VNOther7100207;PIT (EE) - Nguyen Thi Thanh Thanh -Dec/25- VND-10694997</t>
  </si>
  <si>
    <t>;50%SI, HI, UI (EE) - Nguyen Thi Thanh Thanh -Dec/25- VND-2312379</t>
  </si>
  <si>
    <t>50100 Com. and ben. for staff:50101 Compensation for staff:71205VN VNHR (TBH)</t>
  </si>
  <si>
    <t>VNOther7100207;50%Allowance - Nguyen Thi Thanh Thanh -Dec/25- VND0</t>
  </si>
  <si>
    <t>VNOther7100207;50% Salary - Nguyen Thi Thanh Thanh -Dec/25- VND22295500</t>
  </si>
  <si>
    <t>VNOther7100207;0% Salary - Nguyen Thi Thanh Thanh -Dec/25- VND-29271246</t>
  </si>
  <si>
    <t>VNMOET7100201;SI, HI, UI  - Huynh My Ngoc-Dec/25- VND-15117814</t>
  </si>
  <si>
    <t>Huynh My Ngoc</t>
  </si>
  <si>
    <t>VNMOET7100201;SI, HI, UI (ER) - Huynh My Ngoc-Dec/25- VND10132907</t>
  </si>
  <si>
    <t>;SI, HI, UI (EE) - Huynh My Ngoc-Dec/25- VND4984907</t>
  </si>
  <si>
    <t>VNMOET7100201;PIT (EE) - Huynh My Ngoc-Dec/25- VND-14178472</t>
  </si>
  <si>
    <t>;SI, HI, UI (EE) - Huynh My Ngoc-Dec/25- VND-4984907</t>
  </si>
  <si>
    <t>50100 Com. and ben. for staff:50101 Compensation for staff:71208VN VN ICC Ops Managers</t>
  </si>
  <si>
    <t>VNMOET7100201;Allowance - Huynh My Ngoc-Dec/25- VND0</t>
  </si>
  <si>
    <t>VNMOET7100201;Salary - Huynh My Ngoc-Dec/25- VND54558400</t>
  </si>
  <si>
    <t>VNMOET7100201;SI, HI, UI  - Bui Thi Huong-Dec/25- VND-15063924</t>
  </si>
  <si>
    <t>Bui Thi Huong</t>
  </si>
  <si>
    <t>VNMOET7100201;SI, HI, UI (ER) - Bui Thi Huong-Dec/25- VND10105962</t>
  </si>
  <si>
    <t>;SI, HI, UI (EE) - Bui Thi Huong-Dec/25- VND4957962</t>
  </si>
  <si>
    <t>VNMOET7100201;PIT (EE) - Bui Thi Huong-Dec/25- VND-13018887</t>
  </si>
  <si>
    <t>;SI, HI, UI (EE) - Bui Thi Huong-Dec/25- VND-4957962</t>
  </si>
  <si>
    <t>VNMOET7100201;Allowance - Bui Thi Huong-Dec/25- VND0</t>
  </si>
  <si>
    <t>VNMOET7100201;Salary - Bui Thi Huong-Dec/25- VND51830480</t>
  </si>
  <si>
    <t>VNMOET7100107;SI, HI, UI  - Truong Thi Hai-Dec/25- VND-15117814</t>
  </si>
  <si>
    <t>Truong Thi Hai</t>
  </si>
  <si>
    <t>VNMOET7100107;20%SI, HI, UI (ER) - Truong Thi Hai-Dec/25- VND2026581</t>
  </si>
  <si>
    <t>VNMOET7100107;80%SI, HI, UI (ER) - Truong Thi Hai-Dec/25- VND8106326</t>
  </si>
  <si>
    <t>;SI, HI, UI (EE) - Truong Thi Hai-Dec/25- VND4984907</t>
  </si>
  <si>
    <t>VNMOET7100107;PIT (EE) - Truong Thi Hai-Dec/25- VND-14178472</t>
  </si>
  <si>
    <t>;20%SI, HI, UI (EE) - Truong Thi Hai-Dec/25- VND-996981</t>
  </si>
  <si>
    <t>50100 Com. and ben. for staff:50101 Compensation for staff:71206VN VN MEAL Manager</t>
  </si>
  <si>
    <t>VNMOET7100107;20%Allowance - Truong Thi Hai-Dec/25- VND0</t>
  </si>
  <si>
    <t>VNMOET7100107;20% Salary - Truong Thi Hai-Dec/25- VND10911680</t>
  </si>
  <si>
    <t>;80%SI, HI, UI (EE) - Truong Thi Hai-Dec/25- VND-3987926</t>
  </si>
  <si>
    <t>VNMOET7100107;80%Allowance - Truong Thi Hai-Dec/25- VND0</t>
  </si>
  <si>
    <t>VNMOET7100107;80% Salary - Truong Thi Hai-Dec/25- VND43646720</t>
  </si>
  <si>
    <t>VNMOET7100107;0% Salary - Truong Thi Hai-Dec/25- VND-35395021</t>
  </si>
  <si>
    <t>VNMOET71002010;SI, HI, UI  - Phan Doan Kim Nhung-Dec/25- VND-6400558</t>
  </si>
  <si>
    <t>Phan Doan Kim Nhung</t>
  </si>
  <si>
    <t>VNMOET71002010;100%SI, HI, UI (ER) - Phan Doan Kim Nhung-Dec/25- VND4300375</t>
  </si>
  <si>
    <t>VNMOET71002010;0%SI, HI, UI (ER) - Phan Doan Kim Nhung-Dec/25- VND0</t>
  </si>
  <si>
    <t>;SI, HI, UI (EE) - Phan Doan Kim Nhung-Dec/25- VND2100183</t>
  </si>
  <si>
    <t>VNMOET71002010;PIT (EE) - Phan Doan Kim Nhung-Dec/25- VND-2398072</t>
  </si>
  <si>
    <t>;100%SI, HI, UI (EE) - Phan Doan Kim Nhung-Dec/25- VND-2100183</t>
  </si>
  <si>
    <t>50100 Com. and ben. for staff:50101 Compensation for staff:71121VN Blended Learning Coordinator VN</t>
  </si>
  <si>
    <t>VNMOET71002010;100%Allowance - Phan Doan Kim Nhung-Dec/25- VND0</t>
  </si>
  <si>
    <t>VNMOET71002010;100% Salary - Phan Doan Kim Nhung-Dec/25- VND20249560</t>
  </si>
  <si>
    <t>;0%SI, HI, UI (EE) - Phan Doan Kim Nhung-Dec/25- VND0</t>
  </si>
  <si>
    <t>VNMOET71002010;0%Allowance - Phan Doan Kim Nhung-Dec/25- VND0</t>
  </si>
  <si>
    <t>VNMOET71002010;0% Salary - Phan Doan Kim Nhung-Dec/25- VND0</t>
  </si>
  <si>
    <t>VNMOET71002010;0% Salary - Phan Doan Kim Nhung-Dec/25- VND-15751305</t>
  </si>
  <si>
    <t>VNHBC7100201;SI, HI, UI  - Pham Thi  Dieu Loan-Dec/25- VND-15316796</t>
  </si>
  <si>
    <t>Pham Thi  Dieu Loan</t>
  </si>
  <si>
    <t>VNHBC7100201;SI, HI, UI (ER) - Pham Thi  Dieu Loan-Dec/25- VND10232398</t>
  </si>
  <si>
    <t>;SI, HI, UI (EE) - Pham Thi  Dieu Loan-Dec/25- VND5084398</t>
  </si>
  <si>
    <t>VNHBC7100201;PIT (EE) - Pham Thi  Dieu Loan-Dec/25- VND-17301641</t>
  </si>
  <si>
    <t>;SI, HI, UI (EE) - Pham Thi  Dieu Loan-Dec/25- VND-5084398</t>
  </si>
  <si>
    <t>50100 Com. and ben. for staff:50101 Compensation for staff:71101VN HBC Training Ops Mgr VN</t>
  </si>
  <si>
    <t>VNHBC7100201;Allowance - Pham Thi  Dieu Loan-Dec/25- VND0</t>
  </si>
  <si>
    <t>VNHBC7100201;Salary - Pham Thi  Dieu Loan-Dec/25- VND64630720</t>
  </si>
  <si>
    <t>VNMOET7100103;SI, HI, UI  - Hoang Thi Kieu Oanh-Dec/25- VND-8879531</t>
  </si>
  <si>
    <t>Hoang Thi Kieu Oanh</t>
  </si>
  <si>
    <t>VNMOET7100103;SI, HI, UI (ER) - Hoang Thi Kieu Oanh-Dec/25- VND5965935</t>
  </si>
  <si>
    <t>;SI, HI, UI (EE) - Hoang Thi Kieu Oanh-Dec/25- VND2913596</t>
  </si>
  <si>
    <t>VNMOET7100103;PIT (EE) - Hoang Thi Kieu Oanh-Dec/25- VND-5217912</t>
  </si>
  <si>
    <t>;SI, HI, UI (EE) - Hoang Thi Kieu Oanh-Dec/25- VND-2913596</t>
  </si>
  <si>
    <t>VNMOET7100103;Allowance - Hoang Thi Kieu Oanh-Dec/25- VND0</t>
  </si>
  <si>
    <t>VNMOET7100103;Salary - Hoang Thi Kieu Oanh-Dec/25- VND28092330</t>
  </si>
  <si>
    <t>VNOther7100202;SI, HI, UI  - Nguyen Hong Kim-Dec/25- VND-13970133</t>
  </si>
  <si>
    <t>VNOther7100202;67%SI, HI, UI (ER) - Nguyen Hong Kim-Dec/25- VND6288743</t>
  </si>
  <si>
    <t>VNOther7100202;33%SI, HI, UI (ER) - Nguyen Hong Kim-Dec/25- VND3097440</t>
  </si>
  <si>
    <t>;SI, HI, UI (EE) - Nguyen Hong Kim-Dec/25- VND4583950</t>
  </si>
  <si>
    <t>VNOther7100202;PIT (EE) - Nguyen Hong Kim-Dec/25- VND-9673865</t>
  </si>
  <si>
    <t>;67%SI, HI, UI (EE) - Nguyen Hong Kim-Dec/25- VND-3071247</t>
  </si>
  <si>
    <t>VNOther7100202;67%Allowance - Nguyen Hong Kim-Dec/25- VND0</t>
  </si>
  <si>
    <t>VNOther7100202;67% Salary - Nguyen Hong Kim-Dec/25- VND29612359</t>
  </si>
  <si>
    <t>;33%SI, HI, UI (EE) - Nguyen Hong Kim-Dec/25- VND-1512704</t>
  </si>
  <si>
    <t>VNOther7100202;33%Allowance - Nguyen Hong Kim-Dec/25- VND0</t>
  </si>
  <si>
    <t>VNOther7100202;33% Salary - Nguyen Hong Kim-Dec/25- VND14585192</t>
  </si>
  <si>
    <t>VNOther7100202;0% Salary - Nguyen Hong Kim-Dec/25- VND-29939735</t>
  </si>
  <si>
    <t>VNOther7100301;SI, HI, UI  - Maggie Huyen Nguyen-Dec/25- VND-15205906</t>
  </si>
  <si>
    <t>Maggie Huyen Nguyen</t>
  </si>
  <si>
    <t>50100 Com. and ben. for staff:50103 Other ben. for staff:71399VN Benefits Comm VN</t>
  </si>
  <si>
    <t>VNOther7100301;67%SI, HI, UI (ER) - Maggie Huyen Nguyen-Dec/25- VND6818559</t>
  </si>
  <si>
    <t>VNOther7100301;33%SI, HI, UI (ER) - Maggie Huyen Nguyen-Dec/25- VND3358394</t>
  </si>
  <si>
    <t>;SI, HI, UI (EE) - Maggie Huyen Nguyen-Dec/25- VND5028953</t>
  </si>
  <si>
    <t>VNOther7100301;PIT (EE) - Maggie Huyen Nguyen-Dec/25- VND-15726096</t>
  </si>
  <si>
    <t>;67%SI, HI, UI (EE) - Maggie Huyen Nguyen-Dec/25- VND-3369399</t>
  </si>
  <si>
    <t>50100 Com. and ben. for staff:50101 Compensation for staff:71301VN Manager, Vietnam Communications (Huyen)</t>
  </si>
  <si>
    <t>VNOther7100301;67%Allowance - Maggie Huyen Nguyen-Dec/25- VND0</t>
  </si>
  <si>
    <t>VNOther7100301;67% Salary - Maggie Huyen Nguyen-Dec/25- VND39541725</t>
  </si>
  <si>
    <t>;33%SI, HI, UI (EE) - Maggie Huyen Nguyen-Dec/25- VND-1659554</t>
  </si>
  <si>
    <t>VNOther7100301;33%Allowance - Maggie Huyen Nguyen-Dec/25- VND0</t>
  </si>
  <si>
    <t>VNOther7100301;33% Salary - Maggie Huyen Nguyen-Dec/25- VND19475775</t>
  </si>
  <si>
    <t>VNOther7100301;0% Salary - Maggie Huyen Nguyen-Dec/25- VND-38262451</t>
  </si>
  <si>
    <t>VNHBC7100101;SI, HI, UI  - Tran Thi Que Chi-Dec/25- VND-15483132</t>
  </si>
  <si>
    <t>50100 Com. and ben. for staff:50103 Other ben. for staff:71119VN Benefits Prgm Dev VN</t>
  </si>
  <si>
    <t>VNHBC7100101;SI, HI, UI (ER) - Tran Thi Que Chi-Dec/25- VND10315566</t>
  </si>
  <si>
    <t>;SI, HI, UI (EE) - Tran Thi Que Chi-Dec/25- VND5167566</t>
  </si>
  <si>
    <t>VNHBC7100101;PIT (EE) - Tran Thi Que Chi-Dec/25- VND-21981267</t>
  </si>
  <si>
    <t>;SI, HI, UI (EE) - Tran Thi Que Chi-Dec/25- VND-5167566</t>
  </si>
  <si>
    <t>50100 Com. and ben. for staff:50101 Compensation for staff:71105VN HBC Specialist (Chi)</t>
  </si>
  <si>
    <t>VNHBC7100101;Allowance - Tran Thi Que Chi-Dec/25- VND0</t>
  </si>
  <si>
    <t>VNHBC7100101;Salary - Tran Thi Que Chi-Dec/25- VND73050550</t>
  </si>
  <si>
    <t>VNOther7100401;SI, HI, UI  - Thuy Thi Bich Thuy Tran-Dec/25- VND-15333896</t>
  </si>
  <si>
    <t>Thuy Thi Bich Thuy Tran</t>
  </si>
  <si>
    <t>VNOther7100401;0%SI, HI, UI (ER) - Thuy Thi Bich Thuy Tran-Dec/25- VND5120474</t>
  </si>
  <si>
    <t>;SI, HI, UI (EE) - Thuy Thi Bich Thuy Tran-Dec/25- VND5092948</t>
  </si>
  <si>
    <t>VNOther7100401;PIT (EE) - Thuy Thi Bich Thuy Tran-Dec/25- VND-18121839</t>
  </si>
  <si>
    <t>;50%SI, HI, UI (EE) - Thuy Thi Bich Thuy Tran-Dec/25- VND-2546474</t>
  </si>
  <si>
    <t>VNOther7100401;50%Allowance - Thuy Thi Bich Thuy Tran-Dec/25- VND0</t>
  </si>
  <si>
    <t>VNOther7100401;50% Salary - Thuy Thi Bich Thuy Tran-Dec/25- VND32748155</t>
  </si>
  <si>
    <t>VNOther7100401;0% Salary - Thuy Thi Bich Thuy Tran-Dec/25- VND-42281523</t>
  </si>
  <si>
    <t>VNOther7100201;SI, HI, UI  - Hien Thi Hien Vo-Dec/25- VND0</t>
  </si>
  <si>
    <t>;40%SI, HI, UI (EE) - Hien Thi Hien Vo-Dec/25- VND0</t>
  </si>
  <si>
    <t>;60%SI, HI, UI (EE) - Hien Thi Hien Vo-Dec/25- VND0</t>
  </si>
  <si>
    <t>VNOther7100201;PIT (EE) - Hien Thi Hien Vo-Dec/25- VND-123233432</t>
  </si>
  <si>
    <t>50100 Com. and ben. for staff:50101 Compensation for staff:71202VN Program Director Vietnam (Hien)</t>
  </si>
  <si>
    <t>VNOther7100201;40%Allowance - Hien Thi Hien Vo-Dec/25- VND4190400</t>
  </si>
  <si>
    <t>VNOther7100201;40% Salary - Hien Thi Hien Vo-Dec/25- VND136647808</t>
  </si>
  <si>
    <t>VNOther7100201;60%Allowance - Hien Thi Hien Vo-Dec/25- VND6285600</t>
  </si>
  <si>
    <t>VNOther7100201;60% Salary - Hien Thi Hien Vo-Dec/25- VND204971712</t>
  </si>
  <si>
    <t>VNOther7100201;0% Salary - Hien Thi Hien Vo-Dec/25- VND-228862088</t>
  </si>
  <si>
    <t>VNBN7300507;Advance settlement - Launching + Orientation TOT training in BN: Car, meal, hotel  for master trainer (Ms Lam Hong + My Hanh) to Bac Ninh from 21 - 31 Dec 2025; VND</t>
  </si>
  <si>
    <t>Vietcombank</t>
  </si>
  <si>
    <t>;Advance settlement - Launching + Orientation TOT training in BN: Car, meal, hotel  for master trainer (Ms Lam Hong + My Hanh) to Bac Ninh from 21 - 31 Dec 2025; VND5520000</t>
  </si>
  <si>
    <t>VNBN7100101;Advance settlement - Launching + Orientation TOT training in BN: Car, meal, hotel  for master trainer (Ms Lam Hong + My Hanh) to Bac Ninh from 21 - 31 Dec 2025 - withhold PIT Ho Lam Hong; VND0</t>
  </si>
  <si>
    <t>VNBN7100101;Advance settlement - Launching + Orientation TOT training in BN: perdiem  for master trainer (Ms Lam Hong) to Bac Ninh from 21 - 31 Dec 2025; VND1000000</t>
  </si>
  <si>
    <t>VNBN7100101;Advance settlement - Launching + Orientation TOT training in BN: Car, meal, hotel  for master trainer (Ms Lam Hong + My Hanh) to Bac Ninh from 21 - 31 Dec 2025; VND10764000</t>
  </si>
  <si>
    <t>;Advance settlement - Launching + Orientation TOT training in BN: Car, meal, hotel  for master trainer (Ms Lam Hong + My Hanh) to Bac Ninh from 21 - 31 Dec 2025; VND-17284000</t>
  </si>
  <si>
    <t>VNMOET7300507;Car rental cost to HCMc and Tay Ninh for project launching in HCMc and MTOT in Tay Ninh Nov 2025; VND22000</t>
  </si>
  <si>
    <t>CONG TY CO PHAN MP LOGISTIC</t>
  </si>
  <si>
    <t>VNMOET7200111;Car rental cost to HCMc and Tay Ninh for project launching in HCMc and MTOT in Tay Ninh Nov 2025; VND9030000</t>
  </si>
  <si>
    <t>VNMOET7300507;Orientation TOT training: taxi, meals Ms Hien to HCM on 29/11 - 2/12/25; VND11000</t>
  </si>
  <si>
    <t>Vo Thi Hien</t>
  </si>
  <si>
    <t>VNMOET7200111;Orientation TOT training: taxi, meals Ms Hien to HCM on 29/11 - 2/12/25; VND1512000</t>
  </si>
  <si>
    <t>VNMOET7300507;Orientation TOT training: hotel for MS Chi to HCM on 29/11 - 2/12/25; VND11000</t>
  </si>
  <si>
    <t>VNMOET7200111;Orientation TOT training: hotel for MS Chi to HCM on 29/11 - 2/12/25; VND2928000</t>
  </si>
  <si>
    <t>VNMOET7300507;Airticket for Global + OSVN team work on MOET project from 24 - 29 Nov 25 in HCM; VND11000</t>
  </si>
  <si>
    <t>Công ty TNHH MTV Hop Nhat Thanh</t>
  </si>
  <si>
    <t>VNMOET7200111;Airticket for Global + OSVN team work on MOET project from 24 - 29 Nov 25 in HCM; VND34445000</t>
  </si>
  <si>
    <t>VNHCM7300507;Orientation TOT training: hotel, meals Ms Hien, Loan to HCM and printing materials; VND11000</t>
  </si>
  <si>
    <t>VNHCM7200111;Orientation TOT training: hotel, meals Ms Hien, Loan to HCM and printing materials; VND6113300</t>
  </si>
  <si>
    <t>VNBNG7300507;Orientation TOT training: Meal + Perdiem for MOET staff (Ms Minh Huyen) travel to Bac Ninh 25 Dec 25; VND22000</t>
  </si>
  <si>
    <t>;Orientation TOT training: Meal + Perdiem for MOET staff ( Ms Trang) travel to HCMc 17-19 Dec 25 - 10% PIT withold; VND-613000</t>
  </si>
  <si>
    <t>VNMOETG;Orientation TOT training: Meal + Perdiem for MOET staff (Ms Minh Huyen) travel to Bac Ninh 25 Dec 25 - 10% PIT withold; VND-1338000</t>
  </si>
  <si>
    <t>VNHCMG7200112;Orientation TOT training: Meal + Perdiem for MOET staff (Ms Huyen + Ms Trang) travel to HCMc 17-19 Dec 25; VND17710000</t>
  </si>
  <si>
    <t>VNBNG7200112;Orientation TOT training: Meal + Perdiem for MOET staff (Ms Minh Huyen) travel to Bac Ninh 25 Dec 25; VND5152800</t>
  </si>
  <si>
    <t>VNBNG7200112;Orientation TOT training: Meal + Perdiem for MOET staff (Ms Minh Huyen) travel to Bac Ninh 25 Dec 25; VND5152800VNHCMG7200112;Orientation TOT training: Meal + Perdiem for MOET staff (Ms Huyen + Ms Trang) travel to HCMc 17-19 Dec 25; VND17710000</t>
  </si>
  <si>
    <t>VNMOET7300507;Advance settlement  for Global + OSVN team + MOET staffs  work on MOET project from 24 - 29 Nov 25 in HCM; VND11000</t>
  </si>
  <si>
    <t>VNMOET7300111;Meeting services for Global + OSVN team work on MOET project from 24 - 29 Nov 25 inc HCM; VND8275706</t>
  </si>
  <si>
    <t>VNMOET7200111;Meals for Global + OSVN team work on MOET project from 24 - 29 Nov 25 in HCM; VND28970284</t>
  </si>
  <si>
    <t>VNMOET7200111;Hotel for Global + OSVN team work on MOET project from 24 - 29 Nov 25 in HCM; VND18030000</t>
  </si>
  <si>
    <t>VNMOET7200111;Transportation for Global + OSVN team + MOET staffs  work on MOET project from 24 - 29 Nov 25 in HCM; VND3116000</t>
  </si>
  <si>
    <t>VNMOET;Advance settlement  for Global + OSVN team + MOET staffs  work on MOET project from 24 - 29 Nov 25 in HCM; VND-53960000</t>
  </si>
  <si>
    <t>VNMOET7300507;Interpreter fee for Global team work with OSVN on MOET project 26 - 28 Nov 25; VND11000</t>
  </si>
  <si>
    <t>Nguyen Mai Ngoc Hong Quyen</t>
  </si>
  <si>
    <t>;Interpreter fee for Global team work with OSVN on MOET project 26 - 28 Nov 25 - 10% PIT withhold ; VND-1142341</t>
  </si>
  <si>
    <t>VNMOET7200111;Interpreter fee for Global team work with OSVN on MOET project 26 - 28 Nov 25; VND11423409</t>
  </si>
  <si>
    <t>VNMOET7300507;Hotel for Master trainer (Ms Lam Hong, My Hanh) to airport for meeting to discuss MEAL forms in HCM Nov 25; VND11000</t>
  </si>
  <si>
    <t>VNMOET7200111;Hotel for Master trainer (Ms Lam Hong, My Hanh) to airport for meeting to discuss MEAL forms in HCM Nov 25; VND8383499</t>
  </si>
  <si>
    <t>VNMOET7300507;Airticket for Master trainer (Ms Lam Hong, My Hanh) to airport for meeting to discuss MEAL forms in HCM Nov 25; VND11000</t>
  </si>
  <si>
    <t>VNMOET7200111;Airticket for Master trainer (Ms Lam Hong, My Hanh) to airport for meeting to discuss MEAL forms in HCM Nov 25; VND12658000</t>
  </si>
  <si>
    <t>VNOther7300507;Payment for purchasing OSVN uniform for OSVN staffs; VND11000</t>
  </si>
  <si>
    <t>An Phu Thinh Company</t>
  </si>
  <si>
    <t>VNHBC7300102;Payment for purchasing OSVN uniform for OSVN trainer; VND3499200</t>
  </si>
  <si>
    <t>VNOther7300105;Payment for purchasing OSVN uniform for OSVN staffs; VND3499200</t>
  </si>
  <si>
    <t>VNOther7300105;Payment for purchasing OSVN uniform for OSVN staffs; VND3499200VNHBC7300102;Payment for purchasing OSVN uniform for OSVN trainer; VND3499200</t>
  </si>
  <si>
    <t>VNLA7300507;Orientation training in Tay Ninh : consultancy service Ms Mac Thuy Linh training  2 days (10-13 Dec 25); VND22000</t>
  </si>
  <si>
    <t>Mac Thuy Linh</t>
  </si>
  <si>
    <t>VNLA;Orientation training in Tay Ninh : consultancy service Ms Mac Thuy Linh training  2 days (10-13 Dec 25) - PIT 10% withholding; VND-1225000</t>
  </si>
  <si>
    <t>VNLA7100101;Orientation training in Tay Ninh : consultancy service Ms Mac Thuy Linh training  2 days (10-13 Dec 25); VND12250000</t>
  </si>
  <si>
    <t>VNMOETG7300507;Airtickets for MOET staff (Minh Huyen + Mai Trang)  to HCMc for meeting discussion MEAL form, launching + orientation training Tay Ninh; VND22000</t>
  </si>
  <si>
    <t>Cong ty TNHH TM va DL ALOBAY</t>
  </si>
  <si>
    <t>VNMOETG7200107;Airtickets for MOET staff (Minh Huyen + Mai Trang)  to HCMc for meeting discussion MEAL form, launching + orientation training Tay Ninh; VND14550000</t>
  </si>
  <si>
    <t>VNLA7300507;Orientation training in Tay Ninh : consultancy service Ms Mac Thuy Linh training  3 days (26-28 Nov 25); VND22000</t>
  </si>
  <si>
    <t>VNLA;Orientation training in Tay Ninh : consultancy service Ms Mac Thuy Linh training  3 days (26-28 Nov 25) - PIT 10% withholding; VND-1575000</t>
  </si>
  <si>
    <t>VNLA7100101;Orientation training in Tay Ninh : consultancy service Ms Mac Thuy Linh training  3 days (26-28 Nov 25); VND15750000</t>
  </si>
  <si>
    <t>VNHCM7300507;Orientation TOT training in HCM : consultancy service Ms Ho Thi Tuong Van training  for 2 classes in Nov + Dec 25; VND22000</t>
  </si>
  <si>
    <t>Ho Thi Tuong Van</t>
  </si>
  <si>
    <t>VNHCM;Monthly TOT training in HCM : consultancy service Ms Ho Thi Tuong Van training  session 1 - 7th in Nov + Dec 25 - PIT 10% withholding; VND-3850000</t>
  </si>
  <si>
    <t>VNHCM7100101;Orientation TOT training in HCM : consultancy service Ms Ho Thi Tuong Van training  for 2 classes in Nov + Dec 25; VND38500000</t>
  </si>
  <si>
    <t>VNLA7300507;Meal for master trainer Ms Linh to Tay Ninh and return for launching + orientation training Nov 25; VND22000</t>
  </si>
  <si>
    <t>VNLA7200101;Meal for master trainer Ms Linh to Tay Ninh and return for launching + orientation training Nov 25; VND1840000</t>
  </si>
  <si>
    <t>VNMOET7300507;Perdiem for master trainer Ms Tuong Van attend meeting to discuss on MEAL form ; VND22000</t>
  </si>
  <si>
    <t>;Perdiem for master trainer Ms Tuong Van attend meeting to discuss on MEAL form - - 10% PIT withold; VND0</t>
  </si>
  <si>
    <t>VNMOET7200111;Perdiem for master trainer Ms Tuong Van attend meeting to discuss on MEAL form ; VND1000000</t>
  </si>
  <si>
    <t>VNMOET7300507;Meal + Perdiem for master trainer Ms Lam Hong attend meeting to discuss on MEAL form ; VND11000</t>
  </si>
  <si>
    <t>Ho Lam Hong</t>
  </si>
  <si>
    <t>;Meal + Perdiem for master trainer Ms Lam Hong attend meeting to discuss on MEAL form - 10% PIT withold; VND-200000</t>
  </si>
  <si>
    <t>VNMOET7200111;Meal + Perdiem for master trainer Ms Lam Hong attend meeting to discuss on MEAL form ; VND2460000</t>
  </si>
  <si>
    <t>VNMOET7300507;Meal + Perdiem for master trainer Ms Hanh attend meeting to discuss on MEAL form ; VND22000</t>
  </si>
  <si>
    <t>Nguyen Thi My Hanh</t>
  </si>
  <si>
    <t>;Meal + Perdiem for master trainer Ms Hanh attend meeting to discuss on MEAL form - 10% PIT withold; VND-200000</t>
  </si>
  <si>
    <t>VNMOET7200111;Meal + Perdiem for master trainer Ms Hanh attend meeting to discuss on MEAL form ; VND2460000</t>
  </si>
  <si>
    <t>VNLA7300507;Car rental for master trainer Ms Linh to Tay Ninh for launching + orientation training Nov 25; VND22000</t>
  </si>
  <si>
    <t>VNLA7200101;Car rental for master trainer Ms Linh to Tay Ninh for launching + orientation training Nov 25; VND1750000</t>
  </si>
  <si>
    <t>VNMOET7300507;Car rental for Master trainer (Ms Lam Hong, My Hanh) to airport for meeting to discuss MEAL forms in HCM Nov 25; VND22000</t>
  </si>
  <si>
    <t>Cong ty TNHH Thuong Mai va Du lich Noi Bai</t>
  </si>
  <si>
    <t>VNMOET7200111;Car rental for Master trainer (Ms Lam Hong, My Hanh) to airport for meeting to discuss MEAL forms in HCM Nov 25; VND1566000</t>
  </si>
  <si>
    <t>VNBN7300507;Deposit for office rental cost for Bac Ninh office ; VND22000</t>
  </si>
  <si>
    <t>Nguyen Thi Phuong</t>
  </si>
  <si>
    <t>VNBN;Deposit for office rental cost for Bac Ninh office ; VND9000000</t>
  </si>
  <si>
    <t>VNHD;1st advance settlement for Hai Duong ICC; VND58851646</t>
  </si>
  <si>
    <t>VNHDTOT7300106;Management training cost session 1 -7th TOT1 in Hai Duong; VND5780000</t>
  </si>
  <si>
    <t>VNHDTOT7300104;Supplies training cost session 1 -7th TOT1 in Hai Duong; VND65599940</t>
  </si>
  <si>
    <t>VNHDTOT7200104;Travel training cost session 1 -7th TOT1 in Hai Duong; VND31700000</t>
  </si>
  <si>
    <t>VNHD27300106;Management training cost session 1 -7th PD4 in Hai Duong; VND70970000</t>
  </si>
  <si>
    <t>VNHD27300104;Supplies training cost session 1 -7th PD4 in Hai Duong; VND33118414</t>
  </si>
  <si>
    <t>VNHD27200104;Travel training cost session 1 -7th PD4 in Hai Duong; VND24550000</t>
  </si>
  <si>
    <t>VNHD;1st advance settlement for Hai Duong ICC; VND-290570000, settled amount 231718354</t>
  </si>
  <si>
    <t>VNHD7300507;Advance for Hai Duong ICC for activities from July to Nov 2025; VND31864</t>
  </si>
  <si>
    <t>VNHD;Deduct the remaining amount of the 1st phase; VND-58851646</t>
  </si>
  <si>
    <t>VNHD;Advance for Hai Duong ICC for activities from July to Nov 2025; VND155409188 - settled amount:58851646</t>
  </si>
  <si>
    <t>VNQN7300507;Site visit for PD6, C15, TOT2; VND11000</t>
  </si>
  <si>
    <t>VNQN7200102;Site visit for PD6, C15, TOT2; VND5595000</t>
  </si>
  <si>
    <t>VNBN7300507;Advanced settlement OS team (MS Loan + Hanh + Thuy) travel to Bac Ninh for project launching + orientation TOT training; VND11000</t>
  </si>
  <si>
    <t>VNBN7200111;Advanced settlement OS team (MS Loan + Hanh + Thuy) travel to Bac Ninh for project launching + orientation TOT training; VND8412000</t>
  </si>
  <si>
    <t>VNBN;Advanced settlement OS team (MS Loan + Hanh + Thuy) travel to Bac Ninh for project launching + orientation TOT training; VND-7583200</t>
  </si>
  <si>
    <t>VNHBC7300507;Tel cost for Pham Thi Dieu Loan from Sept to Nov 2025; VND11000</t>
  </si>
  <si>
    <t>Pham Thi Dieu Loan</t>
  </si>
  <si>
    <t>VNHBC7300510;Tel cost for Pham Thi Dieu Loan from Sept to Nov 2025; VND664370</t>
  </si>
  <si>
    <t>VNLA7300507;Payment for meal to trip Tay Ninh on 20, 21, 28 Dec 2025 ; VND11000</t>
  </si>
  <si>
    <t>VNLA7200111;Payment for meal to trip Tay Ninh on 20, 21, 28 Dec 2025 ; VND1150000</t>
  </si>
  <si>
    <t>VNHBC7300507;Gift and certificates for active members in 2025 on 1GDL platform; VND11000</t>
  </si>
  <si>
    <t>VNHBC7300103;Gift and certificates for active members in 2025 on 1GDL platform; VND18563000</t>
  </si>
  <si>
    <t>VNMOET7300507;Test fee for making video on 11 March, 2025 and purchase supplies; VND11000</t>
  </si>
  <si>
    <t>51500 Training programs and materials:73103VN Equip &amp; Supp for General Train</t>
  </si>
  <si>
    <t>VNMOET7300103;Test fee for making video on 11 March, 2025 and purchase supplies; VND563600</t>
  </si>
  <si>
    <t>VNHBC7300507;Gift and certificates for winners of the third online competition in 2025 : 11,084,000 VND - 3,744 VND Advance settlement for gift and certificates for second online competition 2024 (Phan Doan Kim Nhung); VND11000</t>
  </si>
  <si>
    <t>VNHBC;Gift and certificates for winners of the third online competition in 2025 : 11,084,000 VND - 3,744 VND Advance settlement for gift and certificates for second online competition 2024 (Phan Doan Kim Nhung); VND-3744</t>
  </si>
  <si>
    <t>VNHBC7300103;Gift and certificates for winners of the third online competition in 2025 : 11,084,000 VND - 3,744 VND Advance settlement for gift and certificates for second online competition 2024 (Phan Doan Kim Nhung); VND11084000</t>
  </si>
  <si>
    <t>VNMOET7300507;Consultancy fee Ms Lam Hong for TOT orientation training in Bac Ninh in Dec 25; VND11000</t>
  </si>
  <si>
    <t>VNMOET7100;Consultancy fee Ms Lam Hong for TOT orientation training in Bac Ninh - PIT 10% withholding; VND-1400000</t>
  </si>
  <si>
    <t>50100 Com. and ben. for staff:50101 Compensation for staff:71209VN VN ECCE Specialist (Le Huyen)</t>
  </si>
  <si>
    <t>VNMOET7100101;Consultancy fee Ms Lam Hong for TOT orientation training in Bac Ninh in Dec 25; VND14000000</t>
  </si>
  <si>
    <t>VNMOET7300507;Interpreter fee in Dec for Global team on Dec 22, 2025; VND11000</t>
  </si>
  <si>
    <t>VNMOET;Interpreter fee in Dec for Global team on Dec 22, 2025 - pit withhold; VND0</t>
  </si>
  <si>
    <t>VNMOET7300105;Interpreter fee in Dec for Global team on Dec 22, 2025; VND900000</t>
  </si>
  <si>
    <t>VNMOETG7300507;project coordinator - service contract to implement MOET project from Aug - Dec 2025  ; VND11000</t>
  </si>
  <si>
    <t>VNMOETG;Cash settlement for MOET launching in HCMc in Aug 2025; VND-17285878</t>
  </si>
  <si>
    <t>VNMOETG7100;project coordinator - service contract to implement MOET project from Aug - Dec 2025  - PIT 10% withholding; VND-4800000</t>
  </si>
  <si>
    <t>VNMOETG7100202;project coordinator - service contract to implement MOET project from Aug - Dec 2025  ; VND48000000</t>
  </si>
  <si>
    <t>VNMOET7300507;Trip MS Minh Ngoc 1GDL to DN for orientation training from Dec 15- Dec 19, 2025; VND11000</t>
  </si>
  <si>
    <t>VNMOET7200103;Trip MS Minh Ngoc 1GDL to DN for orientation training from Dec 15- Dec 19, 2025; VND5676000</t>
  </si>
  <si>
    <t>VNMOETG7300507;project assistant - service contract to implement MOET project from Aug - Dec 2025  ; VND22000</t>
  </si>
  <si>
    <t>Uong Mai Trang</t>
  </si>
  <si>
    <t>VNMOETG7100;Service contract to implement MOET project from Aug - Dec 2025 - PIT 10% withholding; VND-2775000</t>
  </si>
  <si>
    <t>VNMOETG71002020;project assistant - service contract to implement MOET project from Aug - Dec 2025  ; VND27750000</t>
  </si>
  <si>
    <t>VNMOET7300507;Internet setup and fee for 12 months for the Southern office ; VND22000</t>
  </si>
  <si>
    <t>Chi nhanh Cong ty CP Vien thong FPT</t>
  </si>
  <si>
    <t>VNMOET73001050;Internet setup and fee for 12 months for the Southern office ; VND4239000</t>
  </si>
  <si>
    <t>VNMOET7300507;Payment the rest of contract for making video - 20 ICC sessions- for 1983 Media company ; VND22000</t>
  </si>
  <si>
    <t>Cong ty TNHH 1983 MEDIA</t>
  </si>
  <si>
    <t>VNMOET7300103;Payment the rest of contract for making video - 20 ICC sessions- for 1983 Media company ; VND35910000</t>
  </si>
  <si>
    <t>VNOther7300507;Grab cost for office in Nov 2025; VND22000</t>
  </si>
  <si>
    <t>Cong ty TNHH Grab</t>
  </si>
  <si>
    <t>VNHD7200111;Grab cost OS team travel  in Hai Phong for meeting with local partners; VND683000</t>
  </si>
  <si>
    <t>VNHCM7200101;Grab cost OS team travel  for launching and TOT orientation training in HCM + TN; VND3925000</t>
  </si>
  <si>
    <t>VNQN7200102;Grab cost ICC team to the class C15; VND3053948</t>
  </si>
  <si>
    <t>VNQN27200102;Grab cost ICC team to the class PD6; VND2260000</t>
  </si>
  <si>
    <t>VNOther7200111;Grab cost for office in Nov 2025; VND1057847</t>
  </si>
  <si>
    <t>VNOther7200111;Grab cost for office in Nov 2025; VND1057847VNQN27200102;Grab cost ICC team to the class PD6; VND2260000VNQN7200102;Grab cost ICC team to the class C15; VND3053948VNHCM7200101;Grab cost OS team travel  for launching and TOT orientation training in HCM + TN; VND3925000VNHD7200111;Grab cost OS team travel  in Hai Phong for meeting with local partners; VND683000</t>
  </si>
  <si>
    <t>VNMOET7300507;Management cost for MOET Nov + Dec 2025; VND101200</t>
  </si>
  <si>
    <t>MOET</t>
  </si>
  <si>
    <t>VNMOET7300;Management cost for MOET Nov + Dec 2025 - PIT 10% withholding; VND-200000</t>
  </si>
  <si>
    <t>VNMOET7300;Management cost for MOET Nov + Dec 2025 - PIT 10% withholding; VND-400000</t>
  </si>
  <si>
    <t>VNMOET7300;Management cost for MOET Nov + Dec 2025 - PIT 10% withholding; VND-600000</t>
  </si>
  <si>
    <t>VNMOET7300;Management cost for MOET Nov + Dec 2025 - PIT 10% withholding; VND-1000000</t>
  </si>
  <si>
    <t>VNMOET7300105;Management cost for MOET Nov + Dec 2025; VND40000000</t>
  </si>
  <si>
    <t>3000VN Other Income:3100VN Interest Income VN:31002VN Other Int. &amp; Dividends VN</t>
  </si>
  <si>
    <t>Bank interest Dec 2025</t>
  </si>
  <si>
    <t>Deposit</t>
  </si>
  <si>
    <t>VNMOETG7200212; revert  accrual taxi, meals for MOET delegations to attend project launching event in HCM in Aug 25 ; VND 103384122</t>
  </si>
  <si>
    <t>VNMOETG7200212; revert accrual taxi, meals for MOET delegations to attend project launching event in HCM in Aug 25 ; VND 103384122</t>
  </si>
  <si>
    <t>VNMOETG7200107; revert accrual taxi, meal for MOET team to HCM for initial training ; VND9360000</t>
  </si>
  <si>
    <t>VNMOETG7200107; revert  accrual taxi, meal for MOET team to HCM for initial training ; VND9360000</t>
  </si>
  <si>
    <t>Payback advance settlement of US trip</t>
  </si>
  <si>
    <t>12/30/2025</t>
  </si>
  <si>
    <t>Payback advance settlement of US trip; VND30000576</t>
  </si>
  <si>
    <t>Payback advance settlement</t>
  </si>
  <si>
    <t>Payback advance settlement ; VND 5520000</t>
  </si>
  <si>
    <t>VNMOET7200111;Airticket for Maggie Huyen and Ms Hanh travel to Hanoi on 3-5 Dec 25 to attend conference on coperation between VN and NGOs; VND7356000</t>
  </si>
  <si>
    <t>VNMOET7300507;Office rental cost for Southern office from Dec 2025-June 2026; VND11000</t>
  </si>
  <si>
    <t>Le Ngoc Bich Hien</t>
  </si>
  <si>
    <t>VNMOET7300105;Office rental cost for Southern office from Dec 2025-June 2026; VND8200000</t>
  </si>
  <si>
    <t>VNMOET7300;Office rental cost for Southern office from Dec 2025-June 2026; VND41000000</t>
  </si>
  <si>
    <t>VNOther7300507;Internet cost in Nov 2025; VND22000</t>
  </si>
  <si>
    <t>VNPT Da Nang</t>
  </si>
  <si>
    <t>VNOther7300105;Internet cost in Nov 2025; VND440000</t>
  </si>
  <si>
    <t>VNOther7300507;Purchasing drinking water in Dec 2025; VND22000</t>
  </si>
  <si>
    <t>Cong ty TNHH TM&amp;DV Duc Chi Nguyen</t>
  </si>
  <si>
    <t>VNOther7300105;Purchasing drinking water in Dec 2025; VND960000</t>
  </si>
  <si>
    <t>VNMOET7300507;Translation cost for MTOT training documents; VND22000</t>
  </si>
  <si>
    <t>Nguyen Thi Thuc An</t>
  </si>
  <si>
    <t>VNMOET7300;PIT 10% withholding; VND-1964999</t>
  </si>
  <si>
    <t>50100 Com. and ben. for staff:50101 Compensation for staff:71103VN Curriculum Translation VN</t>
  </si>
  <si>
    <t>VNMOET7100213;Translation cost for MTOT training documents; VND19649993</t>
  </si>
  <si>
    <t>VNOther7300507;Payment for remaining amount basesd on the electricity system renovation for Da Nang office; VND22000</t>
  </si>
  <si>
    <t>VNOther7300;Payment for remaining amount basesd on the electricity system renovation for Da Nang office; VND51987960</t>
  </si>
  <si>
    <t>VNOther7300105;Payment for remaining amount basesd on the electricity system renovation for Da Nang office; VND-51987960</t>
  </si>
  <si>
    <t>VNOther7300;Payment for remaining amount basesd on the electricity system renovation for Da Nang office; VND-15000000</t>
  </si>
  <si>
    <t>VNOther7300105;Payment for remaining amount basesd on the electricity system renovation for Da Nang office; VND51987960</t>
  </si>
  <si>
    <t>VNLA7300507;Orientation training in Tay Ninh : travel cost, perdiem, printing cost : Ngoc OM and ECCE specialist; VND11000</t>
  </si>
  <si>
    <t>VNLA7200101;Orientation training in Tay Ninh : travel cost, perdiem, printing cost : Ngoc OM and ECCE specialist; VND4961640</t>
  </si>
  <si>
    <t>VNBN7300507;Airticket for OSVN team (Ms Hanh + Ms Loan) travelling from Da Nang to HN city for MOET project implementation in Bac Ninh (21-23 Dec 2025); VND11000</t>
  </si>
  <si>
    <t>VNBN7200111;Airticket for OSVN team (Ms Hanh + Ms Loan) travelling from Da Nang to HN city for MOET project implementation in Bac Ninh (21-23 Dec 2025); VND10542000</t>
  </si>
  <si>
    <t>VNOther7300507;Tel cost for Thanh Thanh in Nov 2025; VND11000</t>
  </si>
  <si>
    <t>VNOther7300510;Tel cost for Thanh Thanh in Nov 2025; VND190581</t>
  </si>
  <si>
    <t>VNMOET7300507;Tel cost for Le Thi Thu Hanh in Nov 2025; VND11000</t>
  </si>
  <si>
    <t>VNMOET73001050;Tel cost for Le Thi Thu Hanh in Nov 2025; VND622500</t>
  </si>
  <si>
    <t>VNMOET7300507;Printing cost for MTOT Bac Ninh ; VND11000</t>
  </si>
  <si>
    <t>VNMOET73001050;Printing cost for MTOT Bac Ninh ; VND3526182</t>
  </si>
  <si>
    <t>VNHCM7300507;Trip to HCMc and Tay Ninh from Dec 8-12, 2025 for MTOT for Tran Thi Que Chi; VND11000</t>
  </si>
  <si>
    <t>VNLA7200111;Trip to HCMc and Tay Ninh from Dec 8-12, 2025 for MTOT for Tran Thi Que Chi; VND7377600</t>
  </si>
  <si>
    <t>VNHCM7200111;Trip to HCMc and Tay Ninh from Dec 8-12, 2025 for MTOT for Tran Thi Que Chi; VND7377600</t>
  </si>
  <si>
    <t>VNHCM7200111;Trip to HCMc and Tay Ninh from Dec 8-12, 2025 for MTOT for Tran Thi Que Chi; VND7377600VNLA7200111;Trip to HCMc and Tay Ninh from Dec 8-12, 2025 for MTOT for Tran Thi Que Chi; VND7377600</t>
  </si>
  <si>
    <t>VNHCM7300507;Airtickets Ms Que Chi to HCMc from Dec 8-Dec 20, 2025 for MTOT in Tay Ninh and HCMc (2nd times); VND11000</t>
  </si>
  <si>
    <t>VNLA7200111;Airtickets Ms Que Chi to HCMc from Dec 8-Dec 20, 2025 for MTOT in Tay Ninh and HCMc (2nd times); VND1951000</t>
  </si>
  <si>
    <t>VNHCM7200111;Airtickets Ms Que Chi to HCMc from Dec 8-Dec 20, 2025 for MTOT in Tay Ninh and HCMc (2nd times); VND1951000</t>
  </si>
  <si>
    <t>VNHCM7200111;Airtickets Ms Que Chi to HCMc from Dec 8-Dec 20, 2025 for MTOT in Tay Ninh and HCMc (2nd times); VND1951000VNLA7200111;Airtickets Ms Que Chi to HCMc from Dec 8-Dec 20, 2025 for MTOT in Tay Ninh and HCMc (2nd times); VND1951000</t>
  </si>
  <si>
    <t>VNQNTOT7300507;Travel cost and perdiem to Tam Ky for TOT2 from Dec 3-6, 2025; VND11000</t>
  </si>
  <si>
    <t>VNQNTOT7200102;Travel cost and perdiem to Tam Ky for TOT2 from Dec 3-6, 2025; VND750000</t>
  </si>
  <si>
    <t>VNLA7300507;Trip to Tay Ninh and HCMc from Nov 27 to Dec 2, 2025 for launching + TOT training ; VND11000</t>
  </si>
  <si>
    <t>VNLA7200111;Trip to Tay Ninh and HCMc from Nov 27 to Dec 2, 2025 for launching + TOT training ; VND1617500</t>
  </si>
  <si>
    <t>VNHCM7200111;Trip to Tay Ninh and HCMc from Nov 27 to Dec 2, 2025 for launching + TOT training ; VND1617500</t>
  </si>
  <si>
    <t>VNHBC7300510;Tel cost for Chi ; VND688217</t>
  </si>
  <si>
    <t>VNHBC7300510;Tel cost for Chi ; VND688217VNHCM7200111;Trip to Tay Ninh and HCMc from Nov 27 to Dec 2, 2025 for launching + TOT training ; VND1617500VNLA7200111;Trip to Tay Ninh and HCMc from Nov 27 to Dec 2, 2025 for launching + TOT training ; VND1617500</t>
  </si>
  <si>
    <t>VNOther7300507;Insurance for OSVN trainers and staffs - Dec 2025; VND11000</t>
  </si>
  <si>
    <t>Service Center for Foreign Affairs</t>
  </si>
  <si>
    <t>12/29/2025</t>
  </si>
  <si>
    <t>VNOther7300;Insurance for OSVN trainers and staffs - Dec 2025; VND235096633</t>
  </si>
  <si>
    <t>VNOther7300507;Bank fee; VND22000</t>
  </si>
  <si>
    <t>12/25/2025</t>
  </si>
  <si>
    <t>VNOther7300102;Canon printer repair for ICC team; VND918000</t>
  </si>
  <si>
    <t>OSVN Petty cash (VND)</t>
  </si>
  <si>
    <t>12/23/2025</t>
  </si>
  <si>
    <t>VNMOET7300507;Airtickets for Ms Ngoc 1GDL from Bac Ninh to Da Nang for orientation training ; VND11000</t>
  </si>
  <si>
    <t>12/22/2025</t>
  </si>
  <si>
    <t>VNMOET7200103;Airtickets for Ms Ngoc 1GDL from Bac Ninh to Da Nang for orientation training ; VND3284000</t>
  </si>
  <si>
    <t>VNBN7300507;Advance for trip to Bac Ninh from Dec 21-Jan 8, 2026 for MTOT consultant (Ms. Hong, Hanh); VND11000</t>
  </si>
  <si>
    <t>VNBN7200;Advance for trip to Bac Ninh from Dec 21-Jan 8, 2026 for MTOT consultant (Ms. Hong, Hanh); VND17284000</t>
  </si>
  <si>
    <t>VNBN7300507;Advance for trip to Bac Ninh from Dec 21-Jan 6, 2026 (Ms. Loan, Hanh, Thuy); VND11000</t>
  </si>
  <si>
    <t>VNBN7200;Advance for trip to Bac Ninh from Dec 21-Jan 6, 2026 (Ms. Loan, Hanh, Thuy); VND7583200</t>
  </si>
  <si>
    <t>VNOther7300507;New chairs and desk for new accountant and staffs replacing the broken ones ; VND11000</t>
  </si>
  <si>
    <t>Cong ty TNHH Thi Phuc</t>
  </si>
  <si>
    <t>VNOther7300;New chairs and desk for new accountant and staffs replacing the broken ones ; VND4250000</t>
  </si>
  <si>
    <t>VNOther7300105;New chairs and desk for new accountant and staffs replacing the broken ones ; VND-4250000</t>
  </si>
  <si>
    <t>VNOther7300105;New chairs and desk for new accountant and staffs replacing the broken ones ; VND4250000</t>
  </si>
  <si>
    <t>VNHD27300507;Printing certificates the closing ceremony  TOT1 and PD4 from 29-30 Nov 2025 - Bui Thi Huong; VND22000</t>
  </si>
  <si>
    <t>VNHD27300104;Printing certificates the closing ceremony  TOT1 and PD4 from 29-30 Nov 2025 - Bui Thi Huong; VND672000</t>
  </si>
  <si>
    <t>VNHD27300507;Hotel to Hai Phong of OSVN team to attend the closing ceremony  TOT1 and PD4 from 29-30 Nov 2025 - Bui Thi Huong; VND11000</t>
  </si>
  <si>
    <t>Cong ty TNHH Huu Nghi</t>
  </si>
  <si>
    <t>VNHD27200101;Hotel to Hai Phong of OSVN team to attend the closing ceremony  TOT1 and PD4 from 29-30 Nov 2025 - Bui Thi Huong; VND1728000</t>
  </si>
  <si>
    <t>VNHD27300507;Car rental to Hai Phong of OSVN team to attend the closing ceremony  TOT1 and PD4 from 29-30 Nov 2025 - Bui Thi Huong; VND22000</t>
  </si>
  <si>
    <t>VNHD27200101;Car rental to Hai Phong of OSVN team to attend the closing ceremony  TOT1 and PD4 from 29-30 Nov 2025 - Bui Thi Huong; VND5184000</t>
  </si>
  <si>
    <t>VNHD27300507;Airticket to Hai Phong of OSVN team to attend the closing ceremony  TOT1 and PD4 from 29-30 Nov 2025 - Bui Thi Huong; VND11000</t>
  </si>
  <si>
    <t>VNHD27200101;Airticket to Hai Phong of OSVN team to attend the closing ceremony  TOT1 and PD4 from 29-30 Nov 2025 - Bui Thi Huong; VND5435000</t>
  </si>
  <si>
    <t>VNHD27300507;Meal, taxi to Hai Phong of OSVN team to attend the closing ceremony  TOT1 and PD4 from 29-30 Nov 2025 - Bui Thi Huong; VND11000</t>
  </si>
  <si>
    <t>VNHD27200101;Meal, taxi to Hai Phong of OSVN team to attend the closing ceremony  TOT1 and PD4 from 29-30 Nov 2025 - Bui Thi Huong; VND5253880</t>
  </si>
  <si>
    <t>VNOther7300507;Photocopier Rental cost from Nov 13 to Dec 12, 2025; VND22000</t>
  </si>
  <si>
    <t>VNOther7300507;Equipment for new accountant and trainer in Bac Ninh, new screen for Loan OD ; VND11000</t>
  </si>
  <si>
    <t>Phi Long company</t>
  </si>
  <si>
    <t>VNOther7300;Equipment for new accountant and trainer in Bac Ninh, new screen for Loan OD ; VND48380000</t>
  </si>
  <si>
    <t>VNOther7300108;Equipment for new accountant and trainer in Bac Ninh, new screen for Loan OD ; VND-48380000</t>
  </si>
  <si>
    <t>VNOther7300108;Equipment for new accountant and trainer in Bac Ninh, new screen for Loan OD ; VND48380000</t>
  </si>
  <si>
    <t>VNHD27300507;Trip to Hai Phong of OSVN team for working with Hai Phong DOET from 12 to 14 Nov 2027 - Nội Bài taxi; VND22000</t>
  </si>
  <si>
    <t>VNHD27200101;Trip to Hai Phong of OSVN team for working with Hai Phong DOET from 12 to 14 Nov 2027 - Nội Bài taxi; VND2106000</t>
  </si>
  <si>
    <t>VNHD27300507;Airticket to Hai Phong of OSVN team (Ms Hien/ Hanh/ Loan) for working with Hai Phong DOET from 12 to 14 Nov 2026; VND11000</t>
  </si>
  <si>
    <t>VNHD27200111;Airticket to Hai Phong of OSVN team (Ms Hien/ Hanh/ Loan) for working with Hai Phong DOET from 12 to 14 Nov 2026; VND5286000</t>
  </si>
  <si>
    <t>VNHD27300507;Trip to Hai Phong of OSVN team (Ms Hien/ Hanh/ Loan) for working with Hai Phong DOET from 12 to 14 Nov 2025 - Bui Thi Huong; VND11000</t>
  </si>
  <si>
    <t>VNHD27200111;Trip to Hai Phong of OSVN team (Ms Hien/ Hanh/ Loan) for working with Hai Phong DOET from 12 to 14 Nov 2025 - Bui Thi Huong; VND8538200</t>
  </si>
  <si>
    <t>VNMOETG7300507;Airtickets for MOET staff for trip to HCMc and Tay Ninh for MOET project implementation and MTOT; VND22000</t>
  </si>
  <si>
    <t>VNMOETG7200211;Airtickets for MOET staff for trip to HCMc and Tay Ninh for MOET project implementation and MTOT; VND22250000</t>
  </si>
  <si>
    <t>VNMOETG7300507;MOET staff  to HCMc and Tay Ninh for MOET project launching and orientation training - Gross amount - Nguyen Thi Minh Huyen; VND11000</t>
  </si>
  <si>
    <t>VNMOETG;MOET staff  to HCMc project launching and orientation training - PIT withold - Uong Mai Trang; VND-960000</t>
  </si>
  <si>
    <t>VNMOETG;MOET staff  to HCMc and Tay Ninh for MOET project launching and orientation training - PIT withold - Uong Mai Trang; VND-940000</t>
  </si>
  <si>
    <t>VNMOETG;MOET staff  to HCMc and Tay Ninh for MOET project launching and orientation training - PIT withold - Le Dinh Trung; VND-378000</t>
  </si>
  <si>
    <t>VNMOETG;MOET staff  to HCMc and Tay Ninh for MOET project launching and orientation training - PIT withold - Nguyen Minh Huyen; VND-990000</t>
  </si>
  <si>
    <t>VNMOETG;MOET staff  to HCMc and Tay Ninh for MOET project launching and orientation training - PIT withold - Nguyen Thanh De; VND-332000</t>
  </si>
  <si>
    <t>VNMOETG7200211;MOET staff  to HCMc and Tay Ninh for MOET project launching and orientation training - Gross amount - Nguyen Thi Minh Huyen; VND201100</t>
  </si>
  <si>
    <t>VNMOETG7200211;MOET staff  to HCMc and Tay Ninh for MOET project launching and orientation training - Gross amount - Nguyen Thi Minh Huyen; VND33989000</t>
  </si>
  <si>
    <t>VNMOET7300507;Trip to Hai Phong for Ms Sam to learn the teaching method in Nov 2025 ; VND11000</t>
  </si>
  <si>
    <t>VNMOET7200102;Trip to Hai Phong for Ms Sam to learn the teaching method in Nov 2025 ; VND2592000</t>
  </si>
  <si>
    <t>VNMOET7200102;Trip to Hai Phong for Ms Sam to learn the teaching method in Nov 2025 ; VND1980000</t>
  </si>
  <si>
    <t>VNOther7300507;Translation cost for Employee handbook; VND11000</t>
  </si>
  <si>
    <t>VNOther7300510;Tel cost for Thanh Thanh in Oct 2025; VND483421</t>
  </si>
  <si>
    <t>VNOther7300105;Printing cost for Org chart ; VND162000</t>
  </si>
  <si>
    <t>VNOther7300105;Translation cost for Employee handbook; VND3823200</t>
  </si>
  <si>
    <t>VNOther7300105;Translation cost for Employee handbook; VND3823200VNOther7300105;Printing cost for Org chart ; VND162000VNOther7300510;Tel cost for Thanh Thanh in Oct 2025; VND483421</t>
  </si>
  <si>
    <t>VNHBC7300507;Purchasing ink for printer Canon Printer - ICC ; VND22000</t>
  </si>
  <si>
    <t>Cong ty TNHH Fintecs</t>
  </si>
  <si>
    <t>VNHBC7300105;Purchasing ink for printer Canon Printer - ICC ; VND297000</t>
  </si>
  <si>
    <t>VNHBC7300507;Flowers for MOET partners and OSVN trainers on the Vietnamese Teachers' Day; VND11000</t>
  </si>
  <si>
    <t>VNMOET7300105;EMS cost from OSVN team in the North to Da Nang (333180 VND) and notarization paper (82000 VND); VND415180</t>
  </si>
  <si>
    <t>VNHBC7300201;Flowers for MOET partners and OSVN trainers on the Vietnamese Teachers' Day; VND13304600</t>
  </si>
  <si>
    <t>VNHBC7300201;Flowers for MOET partners and OSVN trainers on the Vietnamese Teachers' Day; VND13304600VNMOET7300105;EMS cost from OSVN team in the North to Da Nang (333180 VND) and notarization paper (82000 VND); VND415180</t>
  </si>
  <si>
    <t>VNMOET7300507;Car rental cost Ms Hanh from airport to Ha Noi city and return for trip to ICS from Dec 3-5/12/2025; VND22000</t>
  </si>
  <si>
    <t>VNMOET7200101;Car rental cost Ms Hanh from airport to Ha Noi city and return for trip to ICS from Dec 3-5/12/2025; VND583200</t>
  </si>
  <si>
    <t>VNQN27300507;Travel cost for PD6 Discussion - Learning Sharing session in Phu Ninh ; VND11000</t>
  </si>
  <si>
    <t>VNQN27200102;Travel cost for PD6 Discussion - Learning Sharing session in Phu Ninh ; VND850000</t>
  </si>
  <si>
    <t>VNQN7300507;Trip to Thang Binh and Que Son for site visit, training session No5 and conduct the Discussion - Learning Sharing session (13 Nov-16 Nov 2025) C15; VND11000</t>
  </si>
  <si>
    <t>VNQN7200102;Trip to Thang Binh and Que Son for site visit, training session No3 and No4 from 19-27 Nov 2025 -Cohort C15; VND7940000</t>
  </si>
  <si>
    <t>VNQN7200102;Trip to Thang Binh and Que Son for site visit, training session No5 and conduct the Discussion - Learning Sharing session (13 Nov-16 Nov 2025) C15; VND7040000</t>
  </si>
  <si>
    <t>VNQN7200102;Trip to Thang Binh and Que Son for site visit, training session No5 and conduct the Discussion - Learning Sharing session (13 Nov-16 Nov 2025) C15; VND7040000VNQN7200102;Trip to Thang Binh and Que Son for site visit, training session No3 and No4 from 19-27 Nov 2025 -Cohort C15; VND7940000</t>
  </si>
  <si>
    <t>VNHCM7300507;Travel cost for trip to OSVN team travelling from Da Nang to HCM city for MOET project implementation in Nov 2025; VND11000</t>
  </si>
  <si>
    <t>VNHCM7200211;Travel cost for trip to OSVN team travelling from Da Nang to HCM city for MOET project implementation in Nov 2025; VND10074601</t>
  </si>
  <si>
    <t>VNHCM7300507;Airticket for OSVN team travelling from Da Nang to HCM city for MOET project implementation in Nov 2025; VND11000</t>
  </si>
  <si>
    <t>VNHCM7200211;Airticket for OSVN team travelling from Da Nang to HCM city for MOET project implementation in Nov 2025; VND15189000</t>
  </si>
  <si>
    <t>VNQNTOT7300507;Training supplies for TOT2 trainer; VND22000</t>
  </si>
  <si>
    <t>Cong ty TNHH NhungDaNang</t>
  </si>
  <si>
    <t>VNQNTOT7300104;Training supplies for TOT2 trainer; VND826350</t>
  </si>
  <si>
    <t>VNOther7300507;Office supplies for new staffs (349000 VND) and cashier (16000 VND); VND11000</t>
  </si>
  <si>
    <t>Ngoc An Company</t>
  </si>
  <si>
    <t>VNQNTOT7300104;Training supplies for TOT2 trainer; VND3037000</t>
  </si>
  <si>
    <t>VNOther7300105;Office supplies for new staffs (349000 VND) and cashier (16000 VND); VND365000</t>
  </si>
  <si>
    <t>VNOther7300507;Office supplies in Q4,2025; VND11000</t>
  </si>
  <si>
    <t>VNOther7300507;Tel cost in Sept and Oct 2025 for Huyen; VND11000</t>
  </si>
  <si>
    <t>Nguyen Thi Dieu Huyen</t>
  </si>
  <si>
    <t>VNOther7300105;Photocopy the ELC documents for Admin Dept's filling; VND5053374</t>
  </si>
  <si>
    <t>VNOther7300510;Tel cost in Nov 2025 for Kim; VND253170</t>
  </si>
  <si>
    <t>VNOther7300105;Office supplies in Q4,2025; VND872050</t>
  </si>
  <si>
    <t>VNOther7300105;Office supplies in Q4,2025; VND872050VNOther7300510;Tel cost in Nov 2025 for Kim; VND253170VNOther7300105;Photocopy the ELC documents for Admin Dept's filling; VND5053374</t>
  </si>
  <si>
    <t>VNMOET7200101;Trip to Ha Noi for ICS from Dec 3 to Dec 5, 2025 with Ms. Hanh Le ; VND3849000</t>
  </si>
  <si>
    <t>VNOther7300510;Tel cost in Sept and Oct 2025 for Huyen; VND369400</t>
  </si>
  <si>
    <t>VNOther7300510;Tel cost in Sept and Oct 2025 for Huyen; VND369400VNMOET7200101;Trip to Ha Noi for ICS from Dec 3 to Dec 5, 2025 with Ms. Hanh Le ; VND3849000</t>
  </si>
  <si>
    <t>VNQN7300507;Trip to Thang Binh and Que Son for CH15 web session; VND11000</t>
  </si>
  <si>
    <t>VNHBC7300103;Zalo cost for 1GDL from June to Nov 2025; VND1800000</t>
  </si>
  <si>
    <t>VNQN7200102;Trip to Thang Binh and Que Son for CH15 web session; VND4190000</t>
  </si>
  <si>
    <t>VNQN7200102;Trip to Thang Binh and Que Son for CH15 web session; VND4190000VNHBC7300103;Zalo cost for 1GDL from June to Nov 2025; VND1800000</t>
  </si>
  <si>
    <t>VNMOET7300507;Material printing cost for MOET appraisal board ; VND22000</t>
  </si>
  <si>
    <t>VNOther7300105;Printing cost for project information board in the meeting room; VND3687900</t>
  </si>
  <si>
    <t>VNQNTOT7300104;Printing TOT2 material for trainess - Da Nang ; VND2242800</t>
  </si>
  <si>
    <t>VNMOET7300107;Material printing cost for MOET appraisal board ; VND5672350</t>
  </si>
  <si>
    <t>VNMOET7300107;Material printing cost for MOET appraisal board ; VND5672350VNQNTOT7300104;Printing TOT2 material for trainess - Da Nang ; VND2242800VNOther7300105;Printing cost for project information board in the meeting room; VND3687900</t>
  </si>
  <si>
    <t>VNHDTOT7300507;Ho Lam Hong - Gross amount for consultancy fee in Oct 2025; VND11000</t>
  </si>
  <si>
    <t>VNHDTOT7100;Ho Lam Hong - PIT10% withholding amount for consultancy fee ; VND-2625000</t>
  </si>
  <si>
    <t>VNHDTOT7100101;Ho Lam Hong - Gross amount for consultancy fee in Oct 2025; VND26250000</t>
  </si>
  <si>
    <t>VNHDTOT7300507;Travel cost for PD4, TOT1 in Hai Duong- WHO TRAVEL??; VND22000</t>
  </si>
  <si>
    <t>Cong ty Co phan di chuyen Xanh va thong minh GSM</t>
  </si>
  <si>
    <t>VNHDTOT7300102;Travel cost for PD4, TOT1 in Hai Duong- WHO TRAVEL??; VND4527360</t>
  </si>
  <si>
    <t>VNHDTOT7300507;Buying gift for students and reporters of PD4 course, TOT1 Hai Phong during Discussion - Learning Sharing session (13 Nov-16 Nov 2025); VND11000</t>
  </si>
  <si>
    <t>VNHDTOT7300104;Buying gift for students and reporters of PD4 course, TOT1 Hai Phong during Discussion - Learning Sharing session (13 Nov-16 Nov 2025); VND1050001</t>
  </si>
  <si>
    <t>VNOther7300105;Purchasing water bottle, cups for new office and fruit for meeting with Lien Chieu PC; VND398800</t>
  </si>
  <si>
    <t>12/19/2025</t>
  </si>
  <si>
    <t>VNMOET;PIT NOV 2025; VND6000000</t>
  </si>
  <si>
    <t>Vietnam Tax Company</t>
  </si>
  <si>
    <t>VNOther7300105;Late payment penante ; VND2</t>
  </si>
  <si>
    <t>VNOther7300105;Late payment penante ; VND1187584</t>
  </si>
  <si>
    <t>Payback settlement advance</t>
  </si>
  <si>
    <t>12/18/2025</t>
  </si>
  <si>
    <t>Payback settlement advance ; VND842500</t>
  </si>
  <si>
    <t>VNOther7300105;Payment for electricity from Nov 01 - Nov 30, 2025 ; VND1848738</t>
  </si>
  <si>
    <t>12/17/2025</t>
  </si>
  <si>
    <t>VNHCM7300507;Advance HCM DOET for launching project, TOT initial training (5 days), TOT monthly training (1 sessions), ICC training ( 2 session); VND220594</t>
  </si>
  <si>
    <t>12/16/2025</t>
  </si>
  <si>
    <t>VNHCM;Advance HCM DOET for launching project, TOT initial training (5 days), TOT monthly training (1 sessions), ICC training ( 2 session); VND501350000</t>
  </si>
  <si>
    <t>VNLA7300507;Advance Tay Ninh DOET for launching project, TOT initial training (5 days), TOT monthly training (1 sessions), ICC training (2 session); VND115352</t>
  </si>
  <si>
    <t>VNLA;Advance Tay Ninh DOET for launching project, TOT initial training (5 days), TOT monthly training (1 sessions), ICC training (2 session); VND349550000</t>
  </si>
  <si>
    <t>VNBN7300507;Advance Bac Ninh DOET for launching project, TOT initial training (5 days), TOT monthly training (2 sessions), ICC training (1 session); VND142303</t>
  </si>
  <si>
    <t>VNBN;Advance Bac Ninh DOET for launching project, TOT initial training (5 days), TOT monthly training (2 sessions), ICC training (1 session); VND431220000</t>
  </si>
  <si>
    <t>VNOther7300507;Rep office: Water fee in Nov 25 ; VND22000</t>
  </si>
  <si>
    <t>Cong ty CP Cap nuoc Da Nang Khu vuc 1</t>
  </si>
  <si>
    <t>12/12/2025</t>
  </si>
  <si>
    <t>VNOther7300105;Rep office: Water fee in Nov 25 ; VND126710</t>
  </si>
  <si>
    <t>VNOther7300507;Rep office: Express delivery fee in Nov 25 ; VND22000</t>
  </si>
  <si>
    <t>VNOther7300510;Rep office: Express delivery fee in Nov 25 ; VND891000</t>
  </si>
  <si>
    <t>VNOther7300507;Hien phone cost in NOV 2025; VND22000</t>
  </si>
  <si>
    <t>VNOther7300510;Hien phone cost in NOV 2025; VND1013100</t>
  </si>
  <si>
    <t>VNOther7300507;Drinking water for Thach Bich ; VND22000</t>
  </si>
  <si>
    <t>VNOther7300105;Drinking water for Thach Bich ; VND480000</t>
  </si>
  <si>
    <t>VNOther7300507;Office supplies - OSVN office Q4/2025; VND11000</t>
  </si>
  <si>
    <t>VNOther7300105;Office supplies - OSVN office Q4/2025; VND5872000</t>
  </si>
  <si>
    <t>VNQN7300507;Trip for TOT2 and site visit for CH15 - Da Nang team to Tam Ky and Thang Binh ; VND11000</t>
  </si>
  <si>
    <t>VNQN7200102;Trip for TOT2 and site visit for CH15 - Da Nang team to Tam Ky and Thang Binh ; VND7736000</t>
  </si>
  <si>
    <t>VNOther7300507;Tel cost for Kim in Oct 2025; VND11000</t>
  </si>
  <si>
    <t>VNOther7300510;Tel cost for Kim in Oct 2025; VND265550</t>
  </si>
  <si>
    <t>VNHD27300507;Airtickets for DN-HP-DN for Tran Thi Que Chi for TOT1 and PD4; VND11000</t>
  </si>
  <si>
    <t>VNHD27200212;Airtickets for DN-HP-DN for Tran Thi Que Chi for TOT1 and PD4; VND3798000</t>
  </si>
  <si>
    <t>VNQNTOT7300507;Trip to Tam Ky in Oct 16-17 for TOT2; VND11000</t>
  </si>
  <si>
    <t>VNQNTOT7200212;Trip to Tam Ky in Oct 16-17 for TOT2; VND1735000</t>
  </si>
  <si>
    <t>VNQNTOT7300507;Working trip Ms Que Chi to Quang Nam for TOT2 orientation training (3 days) in Dec 25; VND11000</t>
  </si>
  <si>
    <t>VNHD27200212;Trip to Hai Phong in Oct and Nov 2025 for TOT1 and PD4; VND5080400</t>
  </si>
  <si>
    <t>VNQNTOT7200212;Working trip Ms Que Chi to Quang Nam for TOT2 orientation training (3 days) in Dec 25; VND4082000</t>
  </si>
  <si>
    <t>VNQNTOT7200212;Working trip Ms Que Chi to Quang Nam for TOT2 orientation training (3 days) in Dec 25; VND4082000VNHD27200212;Trip to Hai Phong in Oct and Nov 2025 for TOT1 and PD4; VND5080400</t>
  </si>
  <si>
    <t>VNOther7300507;South Office: Deposit to rent South office from 15 Dec 25 - 15 Dec 27; VND11000</t>
  </si>
  <si>
    <t>VNOther7300;South Office: Deposit to rent South office from 15 Dec 25 - 15 Dec 27; VND16000000</t>
  </si>
  <si>
    <t>50100 Com. and ben. for staff:50101 Compensation for staff:71102VN ELC Deputy Director</t>
  </si>
  <si>
    <t>VNELC7100204;PIT of Do Kim Dung March 2024; VND960540</t>
  </si>
  <si>
    <t>12/08/2025</t>
  </si>
  <si>
    <t>VNOther7300;PIT of Le Thi Thu Huyen March 2024; VND5703791</t>
  </si>
  <si>
    <t>VNOther7300;PIT of Le Thi Thu Huyen March 2024; VND5703791VNELC7100204;PIT of Do Kim Dung March 2024; VND960540</t>
  </si>
  <si>
    <t>VNOther7300507;Salary in Nov 2025; VND136400</t>
  </si>
  <si>
    <t>12/02/2025</t>
  </si>
  <si>
    <t>VNOther7300;Salary in Nov 2025; VND3659092</t>
  </si>
  <si>
    <t>VNOther7300;Salary in Nov 2025; VND14293250</t>
  </si>
  <si>
    <t>VNOther7300;Salary in Nov 2025; VND14968356</t>
  </si>
  <si>
    <t>Phạm Thị Nhị Ca</t>
  </si>
  <si>
    <t>VNOther7300;Salary in Nov 2025; VND4247727</t>
  </si>
  <si>
    <t>VNOther7300;Salary in Nov 2025; VND14750376</t>
  </si>
  <si>
    <t>VNOther7300;Salary in Nov 2025; VND71597889</t>
  </si>
  <si>
    <t>VNOther7300;Salary in Nov 2025; VND7308468</t>
  </si>
  <si>
    <t>VNOther7300;Salary in Nov 2025; VND15367626</t>
  </si>
  <si>
    <t>VNOther7300;Salary in Nov 2025; VND17283147</t>
  </si>
  <si>
    <t>VNOther7300;Salary in Nov 2025; VND15563147</t>
  </si>
  <si>
    <t>VNOther7300;Salary in Nov 2025; VND16901497</t>
  </si>
  <si>
    <t>VNOther7300;Salary in Nov 2025; VND16025922</t>
  </si>
  <si>
    <t>VNOther7300;Salary in Nov 2025; VND21481151</t>
  </si>
  <si>
    <t>VNOther7300;Salary in Nov 2025; VND17414807</t>
  </si>
  <si>
    <t>VNOther7300;Salary in Nov 2025; VND14345077</t>
  </si>
  <si>
    <t>VNOther7300;Salary in Nov 2025; VND61168244</t>
  </si>
  <si>
    <t>VNOther7300;Salary in Nov 2025; VND35890994</t>
  </si>
  <si>
    <t>VNOther7300;Salary in Nov 2025; VND44358120</t>
  </si>
  <si>
    <t>VNOther7300;Salary in Nov 2025; VND42307054</t>
  </si>
  <si>
    <t>VNOther7300;Salary in Nov 2025; VND18048578</t>
  </si>
  <si>
    <t>VNOther7300;Salary in Nov 2025; VND55105618</t>
  </si>
  <si>
    <t>VNOther7300;Salary in Nov 2025; VND23847441</t>
  </si>
  <si>
    <t>VNOther7300;Salary in Nov 2025; VND37368280</t>
  </si>
  <si>
    <t>VNOther7300;Salary in Nov 2025; VND48775785</t>
  </si>
  <si>
    <t>VNOther7300;Salary in Nov 2025; VND59216675</t>
  </si>
  <si>
    <t>VNOther7300;Salary in Nov 2025; VND49904969</t>
  </si>
  <si>
    <t>VNOther7300;Salary in Nov 2025; VND133287384</t>
  </si>
  <si>
    <t>VNOther7300507;Insurance for OSVN trainers and staffs; VND11000</t>
  </si>
  <si>
    <t>VNOther7300;Insurance for OSVN trainers and staffs; VND233777511</t>
  </si>
  <si>
    <t>30 Vietnam (VND)</t>
  </si>
  <si>
    <t>Total for 29 Vietnam (USD)</t>
  </si>
  <si>
    <t>VNOther7300507; Bank fee DEC 25; USD 1.10 x 26,351</t>
  </si>
  <si>
    <t>00VN Bank VN:29 Vietnam (USD)</t>
  </si>
  <si>
    <t>VNOther7300504; Bank fee Nov 25; VND29003</t>
  </si>
  <si>
    <t>Fund transfer : 100,000 USD. Exchange rate: 26,230 VND/USD</t>
  </si>
  <si>
    <t>Transfer</t>
  </si>
  <si>
    <t>2000VN Contributions:2100VN Unrestricted:2102VN Unrestricted - Other VN</t>
  </si>
  <si>
    <t>fund received in Dec 2025, 100,000USD (exchange rate :26,125/ Bank fee: 10 USD</t>
  </si>
  <si>
    <t>OneSky Head office</t>
  </si>
  <si>
    <t>fund received in Dec 2025, 100,000USD (exchange rate : 26,125/ Bank fee: 10 USD</t>
  </si>
  <si>
    <t>Fund transfer : 50,000USD . Exchange rate: 26,226 VND/USD</t>
  </si>
  <si>
    <t>29 Vietnam (USD)</t>
  </si>
  <si>
    <t>Total for 34 Vietnam ELC OS (VND)</t>
  </si>
  <si>
    <t>Bank interest in Dec 2025</t>
  </si>
  <si>
    <t>00VN Bank VN:34 Vietnam ELC OS (VND)</t>
  </si>
  <si>
    <t>8408202406120057</t>
  </si>
  <si>
    <t>34 Vietnam ELC OS (VND)</t>
  </si>
  <si>
    <t>00VN Bank VN</t>
  </si>
  <si>
    <t>Amount</t>
  </si>
  <si>
    <t>Account full name</t>
  </si>
  <si>
    <t>Memo/Description</t>
  </si>
  <si>
    <t>Name</t>
  </si>
  <si>
    <t>Posting (Y/N)</t>
  </si>
  <si>
    <t>Number</t>
  </si>
  <si>
    <t>Transaction type</t>
  </si>
  <si>
    <t>Transaction date</t>
  </si>
  <si>
    <t>December 1-31, 2025</t>
  </si>
  <si>
    <t>OneSky Foundation VN</t>
  </si>
  <si>
    <t>Transaction List with Splits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</si>
</sst>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₫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2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164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/>
    </xf>
    <xf numFmtId="0" fontId="4" fillId="0" borderId="2" xfId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HeaderCellStyle" xfId="1" xr:uid="{6B3C530D-A460-A04F-A952-014787047C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%20%20(1).xlsx" TargetMode="External"/><Relationship Id="rId1" Type="http://schemas.openxmlformats.org/officeDocument/2006/relationships/externalLinkPath" Target="/Users/kyle/Downloads/Dec%202025_Raw%20data_AI%20working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al mapping"/>
      <sheetName val="Staff"/>
      <sheetName val="salary allocation-v2"/>
      <sheetName val="PIT+SI payment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0F1E-1CB5-104B-8960-DFECF8E81152}">
  <dimension ref="A1:I1521"/>
  <sheetViews>
    <sheetView tabSelected="1" zoomScaleNormal="100" workbookViewId="0">
      <selection activeCell="H13" sqref="H13"/>
    </sheetView>
  </sheetViews>
  <sheetFormatPr baseColWidth="10" defaultColWidth="11.1640625" defaultRowHeight="16" outlineLevelRow="2" x14ac:dyDescent="0.2"/>
  <cols>
    <col min="1" max="1" width="19.6640625" style="1" customWidth="1"/>
    <col min="2" max="4" width="14.33203125" style="1" customWidth="1"/>
    <col min="5" max="5" width="11.6640625" style="1" customWidth="1"/>
    <col min="6" max="6" width="32" style="1" customWidth="1"/>
    <col min="7" max="7" width="52.1640625" style="1" customWidth="1"/>
    <col min="8" max="8" width="39.5" style="1" customWidth="1"/>
    <col min="9" max="9" width="12.6640625" style="1" customWidth="1"/>
  </cols>
  <sheetData>
    <row r="1" spans="1:9" x14ac:dyDescent="0.2">
      <c r="A1" s="14" t="s">
        <v>945</v>
      </c>
      <c r="B1" s="2"/>
      <c r="C1" s="2"/>
      <c r="D1" s="2"/>
      <c r="E1" s="2"/>
      <c r="F1" s="2"/>
      <c r="G1" s="2"/>
      <c r="H1" s="2"/>
    </row>
    <row r="2" spans="1:9" x14ac:dyDescent="0.2">
      <c r="A2" s="13" t="s">
        <v>944</v>
      </c>
      <c r="B2" s="2"/>
      <c r="C2" s="2"/>
      <c r="D2" s="2"/>
      <c r="E2" s="2"/>
      <c r="F2" s="2"/>
      <c r="G2" s="2"/>
      <c r="H2" s="2"/>
    </row>
    <row r="3" spans="1:9" x14ac:dyDescent="0.2">
      <c r="A3" s="12" t="s">
        <v>943</v>
      </c>
      <c r="B3" s="2"/>
      <c r="C3" s="2"/>
      <c r="D3" s="2"/>
      <c r="E3" s="2"/>
      <c r="F3" s="2"/>
      <c r="G3" s="2"/>
      <c r="H3" s="2"/>
    </row>
    <row r="5" spans="1:9" x14ac:dyDescent="0.2">
      <c r="B5" s="11" t="s">
        <v>942</v>
      </c>
      <c r="C5" s="11" t="s">
        <v>941</v>
      </c>
      <c r="D5" s="11" t="s">
        <v>940</v>
      </c>
      <c r="E5" s="11" t="s">
        <v>939</v>
      </c>
      <c r="F5" s="11" t="s">
        <v>938</v>
      </c>
      <c r="G5" s="11" t="s">
        <v>937</v>
      </c>
      <c r="H5" s="11" t="s">
        <v>936</v>
      </c>
      <c r="I5" s="11" t="s">
        <v>935</v>
      </c>
    </row>
    <row r="6" spans="1:9" x14ac:dyDescent="0.2">
      <c r="A6" s="10" t="s">
        <v>934</v>
      </c>
    </row>
    <row r="7" spans="1:9" outlineLevel="1" x14ac:dyDescent="0.2">
      <c r="A7" s="9" t="s">
        <v>933</v>
      </c>
    </row>
    <row r="8" spans="1:9" outlineLevel="2" x14ac:dyDescent="0.2">
      <c r="B8" s="8" t="s">
        <v>725</v>
      </c>
      <c r="C8" s="8" t="s">
        <v>8</v>
      </c>
      <c r="D8" s="8" t="s">
        <v>932</v>
      </c>
      <c r="E8" s="8" t="s">
        <v>6</v>
      </c>
      <c r="F8" s="8" t="s">
        <v>516</v>
      </c>
      <c r="G8" s="8" t="s">
        <v>724</v>
      </c>
      <c r="H8" s="8" t="s">
        <v>931</v>
      </c>
      <c r="I8" s="7">
        <v>-22000</v>
      </c>
    </row>
    <row r="9" spans="1:9" outlineLevel="2" x14ac:dyDescent="0.2">
      <c r="B9" s="8" t="s">
        <v>725</v>
      </c>
      <c r="C9" s="8" t="s">
        <v>8</v>
      </c>
      <c r="D9" s="8" t="s">
        <v>932</v>
      </c>
      <c r="E9" s="8" t="s">
        <v>6</v>
      </c>
      <c r="F9" s="8" t="s">
        <v>516</v>
      </c>
      <c r="G9" s="8" t="s">
        <v>724</v>
      </c>
      <c r="H9" s="8" t="s">
        <v>221</v>
      </c>
      <c r="I9" s="7">
        <v>22000</v>
      </c>
    </row>
    <row r="10" spans="1:9" outlineLevel="2" x14ac:dyDescent="0.2">
      <c r="B10" s="8" t="s">
        <v>9</v>
      </c>
      <c r="C10" s="8" t="s">
        <v>664</v>
      </c>
      <c r="D10" s="8" t="s">
        <v>7</v>
      </c>
      <c r="E10" s="8" t="s">
        <v>6</v>
      </c>
      <c r="F10" s="8" t="s">
        <v>516</v>
      </c>
      <c r="G10" s="8" t="s">
        <v>930</v>
      </c>
      <c r="H10" s="8" t="s">
        <v>931</v>
      </c>
      <c r="I10" s="7">
        <v>21013</v>
      </c>
    </row>
    <row r="11" spans="1:9" ht="25" outlineLevel="2" x14ac:dyDescent="0.2">
      <c r="B11" s="8" t="s">
        <v>9</v>
      </c>
      <c r="C11" s="8" t="s">
        <v>664</v>
      </c>
      <c r="D11" s="8" t="s">
        <v>7</v>
      </c>
      <c r="E11" s="8" t="s">
        <v>6</v>
      </c>
      <c r="F11" s="8" t="s">
        <v>516</v>
      </c>
      <c r="G11" s="8" t="s">
        <v>930</v>
      </c>
      <c r="H11" s="8" t="s">
        <v>662</v>
      </c>
      <c r="I11" s="7">
        <v>21013</v>
      </c>
    </row>
    <row r="12" spans="1:9" ht="25" outlineLevel="1" x14ac:dyDescent="0.2">
      <c r="A12" s="6" t="s">
        <v>929</v>
      </c>
      <c r="I12" s="4">
        <f>I7+I8+I9+I10+I11</f>
        <v>42026</v>
      </c>
    </row>
    <row r="13" spans="1:9" outlineLevel="1" x14ac:dyDescent="0.2">
      <c r="A13" s="9" t="s">
        <v>928</v>
      </c>
    </row>
    <row r="14" spans="1:9" outlineLevel="2" x14ac:dyDescent="0.2">
      <c r="B14" s="8" t="s">
        <v>847</v>
      </c>
      <c r="C14" s="8" t="s">
        <v>922</v>
      </c>
      <c r="D14" s="8" t="s">
        <v>7</v>
      </c>
      <c r="E14" s="8" t="s">
        <v>6</v>
      </c>
      <c r="F14" s="8" t="s">
        <v>7</v>
      </c>
      <c r="G14" s="8" t="s">
        <v>927</v>
      </c>
      <c r="H14" s="8" t="s">
        <v>919</v>
      </c>
      <c r="I14" s="7">
        <v>-1311300000</v>
      </c>
    </row>
    <row r="15" spans="1:9" outlineLevel="2" x14ac:dyDescent="0.2">
      <c r="B15" s="8" t="s">
        <v>847</v>
      </c>
      <c r="C15" s="8" t="s">
        <v>922</v>
      </c>
      <c r="D15" s="8" t="s">
        <v>7</v>
      </c>
      <c r="E15" s="8" t="s">
        <v>6</v>
      </c>
      <c r="F15" s="8" t="s">
        <v>7</v>
      </c>
      <c r="G15" s="8" t="s">
        <v>927</v>
      </c>
      <c r="H15" s="8" t="s">
        <v>11</v>
      </c>
      <c r="I15" s="7">
        <v>1311300000</v>
      </c>
    </row>
    <row r="16" spans="1:9" outlineLevel="2" x14ac:dyDescent="0.2">
      <c r="B16" s="8" t="s">
        <v>836</v>
      </c>
      <c r="C16" s="8" t="s">
        <v>664</v>
      </c>
      <c r="D16" s="8" t="s">
        <v>7</v>
      </c>
      <c r="E16" s="8" t="s">
        <v>6</v>
      </c>
      <c r="F16" s="8" t="s">
        <v>925</v>
      </c>
      <c r="G16" s="8" t="s">
        <v>926</v>
      </c>
      <c r="H16" s="8" t="s">
        <v>919</v>
      </c>
      <c r="I16" s="7">
        <v>2612500000</v>
      </c>
    </row>
    <row r="17" spans="1:9" ht="25" outlineLevel="2" x14ac:dyDescent="0.2">
      <c r="B17" s="8" t="s">
        <v>836</v>
      </c>
      <c r="C17" s="8" t="s">
        <v>664</v>
      </c>
      <c r="D17" s="8" t="s">
        <v>7</v>
      </c>
      <c r="E17" s="8" t="s">
        <v>6</v>
      </c>
      <c r="F17" s="8" t="s">
        <v>925</v>
      </c>
      <c r="G17" s="8" t="s">
        <v>924</v>
      </c>
      <c r="H17" s="8" t="s">
        <v>923</v>
      </c>
      <c r="I17" s="7">
        <v>2612500000</v>
      </c>
    </row>
    <row r="18" spans="1:9" outlineLevel="2" x14ac:dyDescent="0.2">
      <c r="B18" s="8" t="s">
        <v>730</v>
      </c>
      <c r="C18" s="8" t="s">
        <v>922</v>
      </c>
      <c r="D18" s="8" t="s">
        <v>7</v>
      </c>
      <c r="E18" s="8" t="s">
        <v>6</v>
      </c>
      <c r="F18" s="8" t="s">
        <v>7</v>
      </c>
      <c r="G18" s="8" t="s">
        <v>921</v>
      </c>
      <c r="H18" s="8" t="s">
        <v>919</v>
      </c>
      <c r="I18" s="7">
        <v>-2623000000</v>
      </c>
    </row>
    <row r="19" spans="1:9" outlineLevel="2" x14ac:dyDescent="0.2">
      <c r="B19" s="8" t="s">
        <v>730</v>
      </c>
      <c r="C19" s="8" t="s">
        <v>922</v>
      </c>
      <c r="D19" s="8" t="s">
        <v>7</v>
      </c>
      <c r="E19" s="8" t="s">
        <v>6</v>
      </c>
      <c r="F19" s="8" t="s">
        <v>7</v>
      </c>
      <c r="G19" s="8" t="s">
        <v>921</v>
      </c>
      <c r="H19" s="8" t="s">
        <v>11</v>
      </c>
      <c r="I19" s="7">
        <v>2623000000</v>
      </c>
    </row>
    <row r="20" spans="1:9" outlineLevel="2" x14ac:dyDescent="0.2">
      <c r="B20" s="8" t="s">
        <v>725</v>
      </c>
      <c r="C20" s="8" t="s">
        <v>97</v>
      </c>
      <c r="D20" s="8" t="s">
        <v>7</v>
      </c>
      <c r="E20" s="8" t="s">
        <v>6</v>
      </c>
      <c r="F20" s="8" t="s">
        <v>516</v>
      </c>
      <c r="G20" s="8" t="s">
        <v>920</v>
      </c>
      <c r="H20" s="8" t="s">
        <v>919</v>
      </c>
      <c r="I20" s="7">
        <v>-28986</v>
      </c>
    </row>
    <row r="21" spans="1:9" outlineLevel="2" x14ac:dyDescent="0.2">
      <c r="B21" s="8" t="s">
        <v>725</v>
      </c>
      <c r="C21" s="8" t="s">
        <v>97</v>
      </c>
      <c r="D21" s="8" t="s">
        <v>7</v>
      </c>
      <c r="E21" s="8" t="s">
        <v>6</v>
      </c>
      <c r="F21" s="8" t="s">
        <v>516</v>
      </c>
      <c r="G21" s="8" t="s">
        <v>918</v>
      </c>
      <c r="H21" s="8" t="s">
        <v>221</v>
      </c>
      <c r="I21" s="7">
        <v>28986</v>
      </c>
    </row>
    <row r="22" spans="1:9" outlineLevel="1" x14ac:dyDescent="0.2">
      <c r="A22" s="6" t="s">
        <v>917</v>
      </c>
      <c r="I22" s="4">
        <f>I13+I14+I15+I16+I17+I18+I19+I20+I21</f>
        <v>5225000000</v>
      </c>
    </row>
    <row r="23" spans="1:9" outlineLevel="1" x14ac:dyDescent="0.2">
      <c r="A23" s="9" t="s">
        <v>916</v>
      </c>
    </row>
    <row r="24" spans="1:9" outlineLevel="1" x14ac:dyDescent="0.2">
      <c r="A24" s="9"/>
    </row>
    <row r="25" spans="1:9" outlineLevel="2" x14ac:dyDescent="0.2">
      <c r="B25" s="8" t="s">
        <v>885</v>
      </c>
      <c r="C25" s="8" t="s">
        <v>8</v>
      </c>
      <c r="D25" s="8" t="s">
        <v>7</v>
      </c>
      <c r="E25" s="8" t="s">
        <v>6</v>
      </c>
      <c r="F25" s="8" t="s">
        <v>721</v>
      </c>
      <c r="G25" s="8" t="s">
        <v>915</v>
      </c>
      <c r="H25" s="8" t="s">
        <v>11</v>
      </c>
      <c r="I25" s="7">
        <v>-233777511</v>
      </c>
    </row>
    <row r="26" spans="1:9" outlineLevel="2" x14ac:dyDescent="0.2">
      <c r="B26" s="8" t="s">
        <v>885</v>
      </c>
      <c r="C26" s="8" t="s">
        <v>8</v>
      </c>
      <c r="D26" s="8" t="s">
        <v>7</v>
      </c>
      <c r="E26" s="8" t="s">
        <v>6</v>
      </c>
      <c r="F26" s="8" t="s">
        <v>721</v>
      </c>
      <c r="G26" s="8" t="s">
        <v>915</v>
      </c>
      <c r="H26" s="8" t="s">
        <v>26</v>
      </c>
      <c r="I26" s="7">
        <v>-233777511</v>
      </c>
    </row>
    <row r="27" spans="1:9" outlineLevel="2" x14ac:dyDescent="0.2">
      <c r="B27" s="8"/>
      <c r="C27" s="8"/>
      <c r="D27" s="8"/>
      <c r="E27" s="8"/>
      <c r="F27" s="8"/>
      <c r="G27" s="8"/>
      <c r="H27" s="8"/>
      <c r="I27" s="7"/>
    </row>
    <row r="28" spans="1:9" outlineLevel="2" x14ac:dyDescent="0.2">
      <c r="B28" s="8" t="s">
        <v>885</v>
      </c>
      <c r="C28" s="8" t="s">
        <v>8</v>
      </c>
      <c r="D28" s="8" t="s">
        <v>7</v>
      </c>
      <c r="E28" s="8" t="s">
        <v>6</v>
      </c>
      <c r="F28" s="8" t="s">
        <v>721</v>
      </c>
      <c r="G28" s="8" t="s">
        <v>914</v>
      </c>
      <c r="H28" s="8" t="s">
        <v>11</v>
      </c>
      <c r="I28" s="7">
        <v>-11000</v>
      </c>
    </row>
    <row r="29" spans="1:9" outlineLevel="2" x14ac:dyDescent="0.2">
      <c r="B29" s="8" t="s">
        <v>885</v>
      </c>
      <c r="C29" s="8" t="s">
        <v>8</v>
      </c>
      <c r="D29" s="8" t="s">
        <v>7</v>
      </c>
      <c r="E29" s="8" t="s">
        <v>6</v>
      </c>
      <c r="F29" s="8" t="s">
        <v>721</v>
      </c>
      <c r="G29" s="8" t="s">
        <v>914</v>
      </c>
      <c r="H29" s="8" t="s">
        <v>221</v>
      </c>
      <c r="I29" s="7">
        <v>11000</v>
      </c>
    </row>
    <row r="30" spans="1:9" outlineLevel="2" x14ac:dyDescent="0.2">
      <c r="B30" s="8"/>
      <c r="C30" s="8"/>
      <c r="D30" s="8"/>
      <c r="E30" s="8"/>
      <c r="F30" s="8"/>
      <c r="G30" s="8"/>
      <c r="H30" s="8"/>
      <c r="I30" s="7"/>
    </row>
    <row r="31" spans="1:9" outlineLevel="2" x14ac:dyDescent="0.2">
      <c r="B31" s="8" t="s">
        <v>885</v>
      </c>
      <c r="C31" s="8" t="s">
        <v>8</v>
      </c>
      <c r="D31" s="8" t="s">
        <v>7</v>
      </c>
      <c r="E31" s="8" t="s">
        <v>6</v>
      </c>
      <c r="F31" s="8" t="s">
        <v>212</v>
      </c>
      <c r="G31" s="8" t="s">
        <v>913</v>
      </c>
      <c r="H31" s="8" t="s">
        <v>11</v>
      </c>
      <c r="I31" s="7">
        <v>-133287384</v>
      </c>
    </row>
    <row r="32" spans="1:9" outlineLevel="2" x14ac:dyDescent="0.2">
      <c r="B32" s="8" t="s">
        <v>885</v>
      </c>
      <c r="C32" s="8" t="s">
        <v>8</v>
      </c>
      <c r="D32" s="8" t="s">
        <v>7</v>
      </c>
      <c r="E32" s="8" t="s">
        <v>6</v>
      </c>
      <c r="F32" s="8" t="s">
        <v>212</v>
      </c>
      <c r="G32" s="8" t="s">
        <v>913</v>
      </c>
      <c r="H32" s="8" t="s">
        <v>26</v>
      </c>
      <c r="I32" s="7">
        <v>-133287384</v>
      </c>
    </row>
    <row r="33" spans="2:9" outlineLevel="2" x14ac:dyDescent="0.2">
      <c r="B33" s="8"/>
      <c r="C33" s="8"/>
      <c r="D33" s="8"/>
      <c r="E33" s="8"/>
      <c r="F33" s="8"/>
      <c r="G33" s="8"/>
      <c r="H33" s="8"/>
      <c r="I33" s="7"/>
    </row>
    <row r="34" spans="2:9" outlineLevel="2" x14ac:dyDescent="0.2">
      <c r="B34" s="8" t="s">
        <v>885</v>
      </c>
      <c r="C34" s="8" t="s">
        <v>8</v>
      </c>
      <c r="D34" s="8" t="s">
        <v>7</v>
      </c>
      <c r="E34" s="8" t="s">
        <v>6</v>
      </c>
      <c r="F34" s="8" t="s">
        <v>497</v>
      </c>
      <c r="G34" s="8" t="s">
        <v>912</v>
      </c>
      <c r="H34" s="8" t="s">
        <v>11</v>
      </c>
      <c r="I34" s="7">
        <v>-49904969</v>
      </c>
    </row>
    <row r="35" spans="2:9" outlineLevel="2" x14ac:dyDescent="0.2">
      <c r="B35" s="8" t="s">
        <v>885</v>
      </c>
      <c r="C35" s="8" t="s">
        <v>8</v>
      </c>
      <c r="D35" s="8" t="s">
        <v>7</v>
      </c>
      <c r="E35" s="8" t="s">
        <v>6</v>
      </c>
      <c r="F35" s="8" t="s">
        <v>497</v>
      </c>
      <c r="G35" s="8" t="s">
        <v>912</v>
      </c>
      <c r="H35" s="8" t="s">
        <v>26</v>
      </c>
      <c r="I35" s="7">
        <v>-49904969</v>
      </c>
    </row>
    <row r="36" spans="2:9" outlineLevel="2" x14ac:dyDescent="0.2">
      <c r="B36" s="8"/>
      <c r="C36" s="8"/>
      <c r="D36" s="8"/>
      <c r="E36" s="8"/>
      <c r="F36" s="8"/>
      <c r="G36" s="8"/>
      <c r="H36" s="8"/>
      <c r="I36" s="7"/>
    </row>
    <row r="37" spans="2:9" outlineLevel="2" x14ac:dyDescent="0.2">
      <c r="B37" s="8" t="s">
        <v>885</v>
      </c>
      <c r="C37" s="8" t="s">
        <v>8</v>
      </c>
      <c r="D37" s="8" t="s">
        <v>7</v>
      </c>
      <c r="E37" s="8" t="s">
        <v>6</v>
      </c>
      <c r="F37" s="8" t="s">
        <v>32</v>
      </c>
      <c r="G37" s="8" t="s">
        <v>911</v>
      </c>
      <c r="H37" s="8" t="s">
        <v>11</v>
      </c>
      <c r="I37" s="7">
        <v>-59216675</v>
      </c>
    </row>
    <row r="38" spans="2:9" outlineLevel="2" x14ac:dyDescent="0.2">
      <c r="B38" s="8" t="s">
        <v>885</v>
      </c>
      <c r="C38" s="8" t="s">
        <v>8</v>
      </c>
      <c r="D38" s="8" t="s">
        <v>7</v>
      </c>
      <c r="E38" s="8" t="s">
        <v>6</v>
      </c>
      <c r="F38" s="8" t="s">
        <v>32</v>
      </c>
      <c r="G38" s="8" t="s">
        <v>911</v>
      </c>
      <c r="H38" s="8" t="s">
        <v>26</v>
      </c>
      <c r="I38" s="7">
        <v>-59216675</v>
      </c>
    </row>
    <row r="39" spans="2:9" outlineLevel="2" x14ac:dyDescent="0.2">
      <c r="B39" s="8"/>
      <c r="C39" s="8"/>
      <c r="D39" s="8"/>
      <c r="E39" s="8"/>
      <c r="F39" s="8"/>
      <c r="G39" s="8"/>
      <c r="H39" s="8"/>
      <c r="I39" s="7"/>
    </row>
    <row r="40" spans="2:9" outlineLevel="2" x14ac:dyDescent="0.2">
      <c r="B40" s="8" t="s">
        <v>885</v>
      </c>
      <c r="C40" s="8" t="s">
        <v>8</v>
      </c>
      <c r="D40" s="8" t="s">
        <v>7</v>
      </c>
      <c r="E40" s="8" t="s">
        <v>6</v>
      </c>
      <c r="F40" s="8" t="s">
        <v>473</v>
      </c>
      <c r="G40" s="8" t="s">
        <v>910</v>
      </c>
      <c r="H40" s="8" t="s">
        <v>11</v>
      </c>
      <c r="I40" s="7">
        <v>-48775785</v>
      </c>
    </row>
    <row r="41" spans="2:9" outlineLevel="2" x14ac:dyDescent="0.2">
      <c r="B41" s="8" t="s">
        <v>885</v>
      </c>
      <c r="C41" s="8" t="s">
        <v>8</v>
      </c>
      <c r="D41" s="8" t="s">
        <v>7</v>
      </c>
      <c r="E41" s="8" t="s">
        <v>6</v>
      </c>
      <c r="F41" s="8" t="s">
        <v>473</v>
      </c>
      <c r="G41" s="8" t="s">
        <v>910</v>
      </c>
      <c r="H41" s="8" t="s">
        <v>26</v>
      </c>
      <c r="I41" s="7">
        <v>-48775785</v>
      </c>
    </row>
    <row r="42" spans="2:9" outlineLevel="2" x14ac:dyDescent="0.2">
      <c r="B42" s="8"/>
      <c r="C42" s="8"/>
      <c r="D42" s="8"/>
      <c r="E42" s="8"/>
      <c r="F42" s="8"/>
      <c r="G42" s="8"/>
      <c r="H42" s="8"/>
      <c r="I42" s="7"/>
    </row>
    <row r="43" spans="2:9" outlineLevel="2" x14ac:dyDescent="0.2">
      <c r="B43" s="8" t="s">
        <v>885</v>
      </c>
      <c r="C43" s="8" t="s">
        <v>8</v>
      </c>
      <c r="D43" s="8" t="s">
        <v>7</v>
      </c>
      <c r="E43" s="8" t="s">
        <v>6</v>
      </c>
      <c r="F43" s="8" t="s">
        <v>52</v>
      </c>
      <c r="G43" s="8" t="s">
        <v>909</v>
      </c>
      <c r="H43" s="8" t="s">
        <v>11</v>
      </c>
      <c r="I43" s="7">
        <v>-37368280</v>
      </c>
    </row>
    <row r="44" spans="2:9" outlineLevel="2" x14ac:dyDescent="0.2">
      <c r="B44" s="8" t="s">
        <v>885</v>
      </c>
      <c r="C44" s="8" t="s">
        <v>8</v>
      </c>
      <c r="D44" s="8" t="s">
        <v>7</v>
      </c>
      <c r="E44" s="8" t="s">
        <v>6</v>
      </c>
      <c r="F44" s="8" t="s">
        <v>52</v>
      </c>
      <c r="G44" s="8" t="s">
        <v>909</v>
      </c>
      <c r="H44" s="8" t="s">
        <v>26</v>
      </c>
      <c r="I44" s="7">
        <v>-37368280</v>
      </c>
    </row>
    <row r="45" spans="2:9" outlineLevel="2" x14ac:dyDescent="0.2">
      <c r="B45" s="8"/>
      <c r="C45" s="8"/>
      <c r="D45" s="8"/>
      <c r="E45" s="8"/>
      <c r="F45" s="8"/>
      <c r="G45" s="8"/>
      <c r="H45" s="8"/>
      <c r="I45" s="7"/>
    </row>
    <row r="46" spans="2:9" outlineLevel="2" x14ac:dyDescent="0.2">
      <c r="B46" s="8" t="s">
        <v>885</v>
      </c>
      <c r="C46" s="8" t="s">
        <v>8</v>
      </c>
      <c r="D46" s="8" t="s">
        <v>7</v>
      </c>
      <c r="E46" s="8" t="s">
        <v>6</v>
      </c>
      <c r="F46" s="8" t="s">
        <v>453</v>
      </c>
      <c r="G46" s="8" t="s">
        <v>908</v>
      </c>
      <c r="H46" s="8" t="s">
        <v>11</v>
      </c>
      <c r="I46" s="7">
        <v>-23847441</v>
      </c>
    </row>
    <row r="47" spans="2:9" outlineLevel="2" x14ac:dyDescent="0.2">
      <c r="B47" s="8" t="s">
        <v>885</v>
      </c>
      <c r="C47" s="8" t="s">
        <v>8</v>
      </c>
      <c r="D47" s="8" t="s">
        <v>7</v>
      </c>
      <c r="E47" s="8" t="s">
        <v>6</v>
      </c>
      <c r="F47" s="8" t="s">
        <v>453</v>
      </c>
      <c r="G47" s="8" t="s">
        <v>908</v>
      </c>
      <c r="H47" s="8" t="s">
        <v>26</v>
      </c>
      <c r="I47" s="7">
        <v>-23847441</v>
      </c>
    </row>
    <row r="48" spans="2:9" outlineLevel="2" x14ac:dyDescent="0.2">
      <c r="B48" s="8"/>
      <c r="C48" s="8"/>
      <c r="D48" s="8"/>
      <c r="E48" s="8"/>
      <c r="F48" s="8"/>
      <c r="G48" s="8"/>
      <c r="H48" s="8"/>
      <c r="I48" s="7"/>
    </row>
    <row r="49" spans="2:9" outlineLevel="2" x14ac:dyDescent="0.2">
      <c r="B49" s="8" t="s">
        <v>885</v>
      </c>
      <c r="C49" s="8" t="s">
        <v>8</v>
      </c>
      <c r="D49" s="8" t="s">
        <v>7</v>
      </c>
      <c r="E49" s="8" t="s">
        <v>6</v>
      </c>
      <c r="F49" s="8" t="s">
        <v>444</v>
      </c>
      <c r="G49" s="8" t="s">
        <v>907</v>
      </c>
      <c r="H49" s="8" t="s">
        <v>11</v>
      </c>
      <c r="I49" s="7">
        <v>-55105618</v>
      </c>
    </row>
    <row r="50" spans="2:9" outlineLevel="2" x14ac:dyDescent="0.2">
      <c r="B50" s="8" t="s">
        <v>885</v>
      </c>
      <c r="C50" s="8" t="s">
        <v>8</v>
      </c>
      <c r="D50" s="8" t="s">
        <v>7</v>
      </c>
      <c r="E50" s="8" t="s">
        <v>6</v>
      </c>
      <c r="F50" s="8" t="s">
        <v>444</v>
      </c>
      <c r="G50" s="8" t="s">
        <v>907</v>
      </c>
      <c r="H50" s="8" t="s">
        <v>26</v>
      </c>
      <c r="I50" s="7">
        <v>-55105618</v>
      </c>
    </row>
    <row r="51" spans="2:9" outlineLevel="2" x14ac:dyDescent="0.2">
      <c r="B51" s="8"/>
      <c r="C51" s="8"/>
      <c r="D51" s="8"/>
      <c r="E51" s="8"/>
      <c r="F51" s="8"/>
      <c r="G51" s="8"/>
      <c r="H51" s="8"/>
      <c r="I51" s="7"/>
    </row>
    <row r="52" spans="2:9" outlineLevel="2" x14ac:dyDescent="0.2">
      <c r="B52" s="8" t="s">
        <v>885</v>
      </c>
      <c r="C52" s="8" t="s">
        <v>8</v>
      </c>
      <c r="D52" s="8" t="s">
        <v>7</v>
      </c>
      <c r="E52" s="8" t="s">
        <v>6</v>
      </c>
      <c r="F52" s="8" t="s">
        <v>430</v>
      </c>
      <c r="G52" s="8" t="s">
        <v>906</v>
      </c>
      <c r="H52" s="8" t="s">
        <v>11</v>
      </c>
      <c r="I52" s="7">
        <v>-18048578</v>
      </c>
    </row>
    <row r="53" spans="2:9" outlineLevel="2" x14ac:dyDescent="0.2">
      <c r="B53" s="8" t="s">
        <v>885</v>
      </c>
      <c r="C53" s="8" t="s">
        <v>8</v>
      </c>
      <c r="D53" s="8" t="s">
        <v>7</v>
      </c>
      <c r="E53" s="8" t="s">
        <v>6</v>
      </c>
      <c r="F53" s="8" t="s">
        <v>430</v>
      </c>
      <c r="G53" s="8" t="s">
        <v>906</v>
      </c>
      <c r="H53" s="8" t="s">
        <v>26</v>
      </c>
      <c r="I53" s="7">
        <v>-18048578</v>
      </c>
    </row>
    <row r="54" spans="2:9" outlineLevel="2" x14ac:dyDescent="0.2">
      <c r="B54" s="8"/>
      <c r="C54" s="8"/>
      <c r="D54" s="8"/>
      <c r="E54" s="8"/>
      <c r="F54" s="8"/>
      <c r="G54" s="8"/>
      <c r="H54" s="8"/>
      <c r="I54" s="7"/>
    </row>
    <row r="55" spans="2:9" outlineLevel="2" x14ac:dyDescent="0.2">
      <c r="B55" s="8" t="s">
        <v>885</v>
      </c>
      <c r="C55" s="8" t="s">
        <v>8</v>
      </c>
      <c r="D55" s="8" t="s">
        <v>7</v>
      </c>
      <c r="E55" s="8" t="s">
        <v>6</v>
      </c>
      <c r="F55" s="8" t="s">
        <v>416</v>
      </c>
      <c r="G55" s="8" t="s">
        <v>904</v>
      </c>
      <c r="H55" s="8" t="s">
        <v>11</v>
      </c>
      <c r="I55" s="7">
        <v>-44358120</v>
      </c>
    </row>
    <row r="56" spans="2:9" outlineLevel="2" x14ac:dyDescent="0.2">
      <c r="B56" s="8" t="s">
        <v>885</v>
      </c>
      <c r="C56" s="8" t="s">
        <v>8</v>
      </c>
      <c r="D56" s="8" t="s">
        <v>7</v>
      </c>
      <c r="E56" s="8" t="s">
        <v>6</v>
      </c>
      <c r="F56" s="8" t="s">
        <v>416</v>
      </c>
      <c r="G56" s="8" t="s">
        <v>904</v>
      </c>
      <c r="H56" s="8" t="s">
        <v>26</v>
      </c>
      <c r="I56" s="7">
        <v>-44358120</v>
      </c>
    </row>
    <row r="57" spans="2:9" outlineLevel="2" x14ac:dyDescent="0.2">
      <c r="B57" s="8"/>
      <c r="C57" s="8"/>
      <c r="D57" s="8"/>
      <c r="E57" s="8"/>
      <c r="F57" s="8"/>
      <c r="G57" s="8"/>
      <c r="H57" s="8"/>
      <c r="I57" s="7"/>
    </row>
    <row r="58" spans="2:9" outlineLevel="2" x14ac:dyDescent="0.2">
      <c r="B58" s="8" t="s">
        <v>885</v>
      </c>
      <c r="C58" s="8" t="s">
        <v>8</v>
      </c>
      <c r="D58" s="8" t="s">
        <v>7</v>
      </c>
      <c r="E58" s="8" t="s">
        <v>6</v>
      </c>
      <c r="F58" s="8" t="s">
        <v>408</v>
      </c>
      <c r="G58" s="8" t="s">
        <v>905</v>
      </c>
      <c r="H58" s="8" t="s">
        <v>11</v>
      </c>
      <c r="I58" s="7">
        <v>-42307054</v>
      </c>
    </row>
    <row r="59" spans="2:9" outlineLevel="2" x14ac:dyDescent="0.2">
      <c r="B59" s="8" t="s">
        <v>885</v>
      </c>
      <c r="C59" s="8" t="s">
        <v>8</v>
      </c>
      <c r="D59" s="8" t="s">
        <v>7</v>
      </c>
      <c r="E59" s="8" t="s">
        <v>6</v>
      </c>
      <c r="F59" s="8" t="s">
        <v>408</v>
      </c>
      <c r="G59" s="8" t="s">
        <v>905</v>
      </c>
      <c r="H59" s="8" t="s">
        <v>26</v>
      </c>
      <c r="I59" s="7">
        <v>-42307054</v>
      </c>
    </row>
    <row r="60" spans="2:9" outlineLevel="2" x14ac:dyDescent="0.2">
      <c r="B60" s="8"/>
      <c r="C60" s="8"/>
      <c r="D60" s="8"/>
      <c r="E60" s="8"/>
      <c r="F60" s="8"/>
      <c r="G60" s="8"/>
      <c r="H60" s="8"/>
      <c r="I60" s="7"/>
    </row>
    <row r="61" spans="2:9" outlineLevel="2" x14ac:dyDescent="0.2">
      <c r="B61" s="8" t="s">
        <v>885</v>
      </c>
      <c r="C61" s="8" t="s">
        <v>8</v>
      </c>
      <c r="D61" s="8" t="s">
        <v>7</v>
      </c>
      <c r="E61" s="8" t="s">
        <v>6</v>
      </c>
      <c r="F61" s="8" t="s">
        <v>399</v>
      </c>
      <c r="G61" s="8" t="s">
        <v>904</v>
      </c>
      <c r="H61" s="8" t="s">
        <v>11</v>
      </c>
      <c r="I61" s="7">
        <v>-44358120</v>
      </c>
    </row>
    <row r="62" spans="2:9" outlineLevel="2" x14ac:dyDescent="0.2">
      <c r="B62" s="8" t="s">
        <v>885</v>
      </c>
      <c r="C62" s="8" t="s">
        <v>8</v>
      </c>
      <c r="D62" s="8" t="s">
        <v>7</v>
      </c>
      <c r="E62" s="8" t="s">
        <v>6</v>
      </c>
      <c r="F62" s="8" t="s">
        <v>399</v>
      </c>
      <c r="G62" s="8" t="s">
        <v>904</v>
      </c>
      <c r="H62" s="8" t="s">
        <v>26</v>
      </c>
      <c r="I62" s="7">
        <v>-44358120</v>
      </c>
    </row>
    <row r="63" spans="2:9" outlineLevel="2" x14ac:dyDescent="0.2">
      <c r="B63" s="8"/>
      <c r="C63" s="8"/>
      <c r="D63" s="8"/>
      <c r="E63" s="8"/>
      <c r="F63" s="8"/>
      <c r="G63" s="8"/>
      <c r="H63" s="8"/>
      <c r="I63" s="7"/>
    </row>
    <row r="64" spans="2:9" outlineLevel="2" x14ac:dyDescent="0.2">
      <c r="B64" s="8" t="s">
        <v>885</v>
      </c>
      <c r="C64" s="8" t="s">
        <v>8</v>
      </c>
      <c r="D64" s="8" t="s">
        <v>7</v>
      </c>
      <c r="E64" s="8" t="s">
        <v>6</v>
      </c>
      <c r="F64" s="8" t="s">
        <v>389</v>
      </c>
      <c r="G64" s="8" t="s">
        <v>903</v>
      </c>
      <c r="H64" s="8" t="s">
        <v>11</v>
      </c>
      <c r="I64" s="7">
        <v>-35890994</v>
      </c>
    </row>
    <row r="65" spans="2:9" outlineLevel="2" x14ac:dyDescent="0.2">
      <c r="B65" s="8" t="s">
        <v>885</v>
      </c>
      <c r="C65" s="8" t="s">
        <v>8</v>
      </c>
      <c r="D65" s="8" t="s">
        <v>7</v>
      </c>
      <c r="E65" s="8" t="s">
        <v>6</v>
      </c>
      <c r="F65" s="8" t="s">
        <v>389</v>
      </c>
      <c r="G65" s="8" t="s">
        <v>903</v>
      </c>
      <c r="H65" s="8" t="s">
        <v>26</v>
      </c>
      <c r="I65" s="7">
        <v>-35890994</v>
      </c>
    </row>
    <row r="66" spans="2:9" outlineLevel="2" x14ac:dyDescent="0.2">
      <c r="B66" s="8"/>
      <c r="C66" s="8"/>
      <c r="D66" s="8"/>
      <c r="E66" s="8"/>
      <c r="F66" s="8"/>
      <c r="G66" s="8"/>
      <c r="H66" s="8"/>
      <c r="I66" s="7"/>
    </row>
    <row r="67" spans="2:9" outlineLevel="2" x14ac:dyDescent="0.2">
      <c r="B67" s="8" t="s">
        <v>885</v>
      </c>
      <c r="C67" s="8" t="s">
        <v>8</v>
      </c>
      <c r="D67" s="8" t="s">
        <v>7</v>
      </c>
      <c r="E67" s="8" t="s">
        <v>6</v>
      </c>
      <c r="F67" s="8" t="s">
        <v>378</v>
      </c>
      <c r="G67" s="8" t="s">
        <v>902</v>
      </c>
      <c r="H67" s="8" t="s">
        <v>11</v>
      </c>
      <c r="I67" s="7">
        <v>-61168244</v>
      </c>
    </row>
    <row r="68" spans="2:9" outlineLevel="2" x14ac:dyDescent="0.2">
      <c r="B68" s="8" t="s">
        <v>885</v>
      </c>
      <c r="C68" s="8" t="s">
        <v>8</v>
      </c>
      <c r="D68" s="8" t="s">
        <v>7</v>
      </c>
      <c r="E68" s="8" t="s">
        <v>6</v>
      </c>
      <c r="F68" s="8" t="s">
        <v>378</v>
      </c>
      <c r="G68" s="8" t="s">
        <v>902</v>
      </c>
      <c r="H68" s="8" t="s">
        <v>26</v>
      </c>
      <c r="I68" s="7">
        <v>-61168244</v>
      </c>
    </row>
    <row r="69" spans="2:9" outlineLevel="2" x14ac:dyDescent="0.2">
      <c r="B69" s="8"/>
      <c r="C69" s="8"/>
      <c r="D69" s="8"/>
      <c r="E69" s="8"/>
      <c r="F69" s="8"/>
      <c r="G69" s="8"/>
      <c r="H69" s="8"/>
      <c r="I69" s="7"/>
    </row>
    <row r="70" spans="2:9" outlineLevel="2" x14ac:dyDescent="0.2">
      <c r="B70" s="8" t="s">
        <v>885</v>
      </c>
      <c r="C70" s="8" t="s">
        <v>8</v>
      </c>
      <c r="D70" s="8" t="s">
        <v>7</v>
      </c>
      <c r="E70" s="8" t="s">
        <v>6</v>
      </c>
      <c r="F70" s="8" t="s">
        <v>23</v>
      </c>
      <c r="G70" s="8" t="s">
        <v>901</v>
      </c>
      <c r="H70" s="8" t="s">
        <v>11</v>
      </c>
      <c r="I70" s="7">
        <v>-14345077</v>
      </c>
    </row>
    <row r="71" spans="2:9" outlineLevel="2" x14ac:dyDescent="0.2">
      <c r="B71" s="8" t="s">
        <v>885</v>
      </c>
      <c r="C71" s="8" t="s">
        <v>8</v>
      </c>
      <c r="D71" s="8" t="s">
        <v>7</v>
      </c>
      <c r="E71" s="8" t="s">
        <v>6</v>
      </c>
      <c r="F71" s="8" t="s">
        <v>23</v>
      </c>
      <c r="G71" s="8" t="s">
        <v>901</v>
      </c>
      <c r="H71" s="8" t="s">
        <v>26</v>
      </c>
      <c r="I71" s="7">
        <v>-14345077</v>
      </c>
    </row>
    <row r="72" spans="2:9" outlineLevel="2" x14ac:dyDescent="0.2">
      <c r="B72" s="8"/>
      <c r="C72" s="8"/>
      <c r="D72" s="8"/>
      <c r="E72" s="8"/>
      <c r="F72" s="8"/>
      <c r="G72" s="8"/>
      <c r="H72" s="8"/>
      <c r="I72" s="7"/>
    </row>
    <row r="73" spans="2:9" outlineLevel="2" x14ac:dyDescent="0.2">
      <c r="B73" s="8" t="s">
        <v>885</v>
      </c>
      <c r="C73" s="8" t="s">
        <v>8</v>
      </c>
      <c r="D73" s="8" t="s">
        <v>7</v>
      </c>
      <c r="E73" s="8" t="s">
        <v>6</v>
      </c>
      <c r="F73" s="8" t="s">
        <v>21</v>
      </c>
      <c r="G73" s="8" t="s">
        <v>900</v>
      </c>
      <c r="H73" s="8" t="s">
        <v>11</v>
      </c>
      <c r="I73" s="7">
        <v>-17414807</v>
      </c>
    </row>
    <row r="74" spans="2:9" outlineLevel="2" x14ac:dyDescent="0.2">
      <c r="B74" s="8" t="s">
        <v>885</v>
      </c>
      <c r="C74" s="8" t="s">
        <v>8</v>
      </c>
      <c r="D74" s="8" t="s">
        <v>7</v>
      </c>
      <c r="E74" s="8" t="s">
        <v>6</v>
      </c>
      <c r="F74" s="8" t="s">
        <v>21</v>
      </c>
      <c r="G74" s="8" t="s">
        <v>900</v>
      </c>
      <c r="H74" s="8" t="s">
        <v>26</v>
      </c>
      <c r="I74" s="7">
        <v>-17414807</v>
      </c>
    </row>
    <row r="75" spans="2:9" outlineLevel="2" x14ac:dyDescent="0.2">
      <c r="B75" s="8"/>
      <c r="C75" s="8"/>
      <c r="D75" s="8"/>
      <c r="E75" s="8"/>
      <c r="F75" s="8"/>
      <c r="G75" s="8"/>
      <c r="H75" s="8"/>
      <c r="I75" s="7"/>
    </row>
    <row r="76" spans="2:9" outlineLevel="2" x14ac:dyDescent="0.2">
      <c r="B76" s="8" t="s">
        <v>885</v>
      </c>
      <c r="C76" s="8" t="s">
        <v>8</v>
      </c>
      <c r="D76" s="8" t="s">
        <v>7</v>
      </c>
      <c r="E76" s="8" t="s">
        <v>6</v>
      </c>
      <c r="F76" s="8" t="s">
        <v>25</v>
      </c>
      <c r="G76" s="8" t="s">
        <v>899</v>
      </c>
      <c r="H76" s="8" t="s">
        <v>11</v>
      </c>
      <c r="I76" s="7">
        <v>-21481151</v>
      </c>
    </row>
    <row r="77" spans="2:9" outlineLevel="2" x14ac:dyDescent="0.2">
      <c r="B77" s="8" t="s">
        <v>885</v>
      </c>
      <c r="C77" s="8" t="s">
        <v>8</v>
      </c>
      <c r="D77" s="8" t="s">
        <v>7</v>
      </c>
      <c r="E77" s="8" t="s">
        <v>6</v>
      </c>
      <c r="F77" s="8" t="s">
        <v>25</v>
      </c>
      <c r="G77" s="8" t="s">
        <v>899</v>
      </c>
      <c r="H77" s="8" t="s">
        <v>26</v>
      </c>
      <c r="I77" s="7">
        <v>-21481151</v>
      </c>
    </row>
    <row r="78" spans="2:9" outlineLevel="2" x14ac:dyDescent="0.2">
      <c r="B78" s="8"/>
      <c r="C78" s="8"/>
      <c r="D78" s="8"/>
      <c r="E78" s="8"/>
      <c r="F78" s="8"/>
      <c r="G78" s="8"/>
      <c r="H78" s="8"/>
      <c r="I78" s="7"/>
    </row>
    <row r="79" spans="2:9" outlineLevel="2" x14ac:dyDescent="0.2">
      <c r="B79" s="8" t="s">
        <v>885</v>
      </c>
      <c r="C79" s="8" t="s">
        <v>8</v>
      </c>
      <c r="D79" s="8" t="s">
        <v>7</v>
      </c>
      <c r="E79" s="8" t="s">
        <v>6</v>
      </c>
      <c r="F79" s="8" t="s">
        <v>19</v>
      </c>
      <c r="G79" s="8" t="s">
        <v>898</v>
      </c>
      <c r="H79" s="8" t="s">
        <v>11</v>
      </c>
      <c r="I79" s="7">
        <v>-16025922</v>
      </c>
    </row>
    <row r="80" spans="2:9" outlineLevel="2" x14ac:dyDescent="0.2">
      <c r="B80" s="8" t="s">
        <v>885</v>
      </c>
      <c r="C80" s="8" t="s">
        <v>8</v>
      </c>
      <c r="D80" s="8" t="s">
        <v>7</v>
      </c>
      <c r="E80" s="8" t="s">
        <v>6</v>
      </c>
      <c r="F80" s="8" t="s">
        <v>19</v>
      </c>
      <c r="G80" s="8" t="s">
        <v>898</v>
      </c>
      <c r="H80" s="8" t="s">
        <v>26</v>
      </c>
      <c r="I80" s="7">
        <v>-16025922</v>
      </c>
    </row>
    <row r="81" spans="2:9" outlineLevel="2" x14ac:dyDescent="0.2">
      <c r="B81" s="8"/>
      <c r="C81" s="8"/>
      <c r="D81" s="8"/>
      <c r="E81" s="8"/>
      <c r="F81" s="8"/>
      <c r="G81" s="8"/>
      <c r="H81" s="8"/>
      <c r="I81" s="7"/>
    </row>
    <row r="82" spans="2:9" outlineLevel="2" x14ac:dyDescent="0.2">
      <c r="B82" s="8" t="s">
        <v>885</v>
      </c>
      <c r="C82" s="8" t="s">
        <v>8</v>
      </c>
      <c r="D82" s="8" t="s">
        <v>7</v>
      </c>
      <c r="E82" s="8" t="s">
        <v>6</v>
      </c>
      <c r="F82" s="8" t="s">
        <v>17</v>
      </c>
      <c r="G82" s="8" t="s">
        <v>897</v>
      </c>
      <c r="H82" s="8" t="s">
        <v>11</v>
      </c>
      <c r="I82" s="7">
        <v>-16901497</v>
      </c>
    </row>
    <row r="83" spans="2:9" outlineLevel="2" x14ac:dyDescent="0.2">
      <c r="B83" s="8" t="s">
        <v>885</v>
      </c>
      <c r="C83" s="8" t="s">
        <v>8</v>
      </c>
      <c r="D83" s="8" t="s">
        <v>7</v>
      </c>
      <c r="E83" s="8" t="s">
        <v>6</v>
      </c>
      <c r="F83" s="8" t="s">
        <v>17</v>
      </c>
      <c r="G83" s="8" t="s">
        <v>897</v>
      </c>
      <c r="H83" s="8" t="s">
        <v>26</v>
      </c>
      <c r="I83" s="7">
        <v>-16901497</v>
      </c>
    </row>
    <row r="84" spans="2:9" outlineLevel="2" x14ac:dyDescent="0.2">
      <c r="B84" s="8"/>
      <c r="C84" s="8"/>
      <c r="D84" s="8"/>
      <c r="E84" s="8"/>
      <c r="F84" s="8"/>
      <c r="G84" s="8"/>
      <c r="H84" s="8"/>
      <c r="I84" s="7"/>
    </row>
    <row r="85" spans="2:9" outlineLevel="2" x14ac:dyDescent="0.2">
      <c r="B85" s="8" t="s">
        <v>885</v>
      </c>
      <c r="C85" s="8" t="s">
        <v>8</v>
      </c>
      <c r="D85" s="8" t="s">
        <v>7</v>
      </c>
      <c r="E85" s="8" t="s">
        <v>6</v>
      </c>
      <c r="F85" s="8" t="s">
        <v>15</v>
      </c>
      <c r="G85" s="8" t="s">
        <v>896</v>
      </c>
      <c r="H85" s="8" t="s">
        <v>11</v>
      </c>
      <c r="I85" s="7">
        <v>-15563147</v>
      </c>
    </row>
    <row r="86" spans="2:9" outlineLevel="2" x14ac:dyDescent="0.2">
      <c r="B86" s="8" t="s">
        <v>885</v>
      </c>
      <c r="C86" s="8" t="s">
        <v>8</v>
      </c>
      <c r="D86" s="8" t="s">
        <v>7</v>
      </c>
      <c r="E86" s="8" t="s">
        <v>6</v>
      </c>
      <c r="F86" s="8" t="s">
        <v>15</v>
      </c>
      <c r="G86" s="8" t="s">
        <v>896</v>
      </c>
      <c r="H86" s="8" t="s">
        <v>26</v>
      </c>
      <c r="I86" s="7">
        <v>-15563147</v>
      </c>
    </row>
    <row r="87" spans="2:9" outlineLevel="2" x14ac:dyDescent="0.2">
      <c r="B87" s="8"/>
      <c r="C87" s="8"/>
      <c r="D87" s="8"/>
      <c r="E87" s="8"/>
      <c r="F87" s="8"/>
      <c r="G87" s="8"/>
      <c r="H87" s="8"/>
      <c r="I87" s="7"/>
    </row>
    <row r="88" spans="2:9" outlineLevel="2" x14ac:dyDescent="0.2">
      <c r="B88" s="8" t="s">
        <v>885</v>
      </c>
      <c r="C88" s="8" t="s">
        <v>8</v>
      </c>
      <c r="D88" s="8" t="s">
        <v>7</v>
      </c>
      <c r="E88" s="8" t="s">
        <v>6</v>
      </c>
      <c r="F88" s="8" t="s">
        <v>322</v>
      </c>
      <c r="G88" s="8" t="s">
        <v>895</v>
      </c>
      <c r="H88" s="8" t="s">
        <v>11</v>
      </c>
      <c r="I88" s="7">
        <v>-17283147</v>
      </c>
    </row>
    <row r="89" spans="2:9" outlineLevel="2" x14ac:dyDescent="0.2">
      <c r="B89" s="8" t="s">
        <v>885</v>
      </c>
      <c r="C89" s="8" t="s">
        <v>8</v>
      </c>
      <c r="D89" s="8" t="s">
        <v>7</v>
      </c>
      <c r="E89" s="8" t="s">
        <v>6</v>
      </c>
      <c r="F89" s="8" t="s">
        <v>322</v>
      </c>
      <c r="G89" s="8" t="s">
        <v>895</v>
      </c>
      <c r="H89" s="8" t="s">
        <v>26</v>
      </c>
      <c r="I89" s="7">
        <v>-17283147</v>
      </c>
    </row>
    <row r="90" spans="2:9" outlineLevel="2" x14ac:dyDescent="0.2">
      <c r="B90" s="8"/>
      <c r="C90" s="8"/>
      <c r="D90" s="8"/>
      <c r="E90" s="8"/>
      <c r="F90" s="8"/>
      <c r="G90" s="8"/>
      <c r="H90" s="8"/>
      <c r="I90" s="7"/>
    </row>
    <row r="91" spans="2:9" outlineLevel="2" x14ac:dyDescent="0.2">
      <c r="B91" s="8" t="s">
        <v>885</v>
      </c>
      <c r="C91" s="8" t="s">
        <v>8</v>
      </c>
      <c r="D91" s="8" t="s">
        <v>7</v>
      </c>
      <c r="E91" s="8" t="s">
        <v>6</v>
      </c>
      <c r="F91" s="8" t="s">
        <v>313</v>
      </c>
      <c r="G91" s="8" t="s">
        <v>894</v>
      </c>
      <c r="H91" s="8" t="s">
        <v>11</v>
      </c>
      <c r="I91" s="7">
        <v>-15367626</v>
      </c>
    </row>
    <row r="92" spans="2:9" outlineLevel="2" x14ac:dyDescent="0.2">
      <c r="B92" s="8" t="s">
        <v>885</v>
      </c>
      <c r="C92" s="8" t="s">
        <v>8</v>
      </c>
      <c r="D92" s="8" t="s">
        <v>7</v>
      </c>
      <c r="E92" s="8" t="s">
        <v>6</v>
      </c>
      <c r="F92" s="8" t="s">
        <v>313</v>
      </c>
      <c r="G92" s="8" t="s">
        <v>894</v>
      </c>
      <c r="H92" s="8" t="s">
        <v>26</v>
      </c>
      <c r="I92" s="7">
        <v>-15367626</v>
      </c>
    </row>
    <row r="93" spans="2:9" outlineLevel="2" x14ac:dyDescent="0.2">
      <c r="B93" s="8"/>
      <c r="C93" s="8"/>
      <c r="D93" s="8"/>
      <c r="E93" s="8"/>
      <c r="F93" s="8"/>
      <c r="G93" s="8"/>
      <c r="H93" s="8"/>
      <c r="I93" s="7"/>
    </row>
    <row r="94" spans="2:9" outlineLevel="2" x14ac:dyDescent="0.2">
      <c r="B94" s="8" t="s">
        <v>885</v>
      </c>
      <c r="C94" s="8" t="s">
        <v>8</v>
      </c>
      <c r="D94" s="8" t="s">
        <v>7</v>
      </c>
      <c r="E94" s="8" t="s">
        <v>6</v>
      </c>
      <c r="F94" s="8" t="s">
        <v>304</v>
      </c>
      <c r="G94" s="8" t="s">
        <v>894</v>
      </c>
      <c r="H94" s="8" t="s">
        <v>11</v>
      </c>
      <c r="I94" s="7">
        <v>-15367626</v>
      </c>
    </row>
    <row r="95" spans="2:9" outlineLevel="2" x14ac:dyDescent="0.2">
      <c r="B95" s="8" t="s">
        <v>885</v>
      </c>
      <c r="C95" s="8" t="s">
        <v>8</v>
      </c>
      <c r="D95" s="8" t="s">
        <v>7</v>
      </c>
      <c r="E95" s="8" t="s">
        <v>6</v>
      </c>
      <c r="F95" s="8" t="s">
        <v>304</v>
      </c>
      <c r="G95" s="8" t="s">
        <v>894</v>
      </c>
      <c r="H95" s="8" t="s">
        <v>26</v>
      </c>
      <c r="I95" s="7">
        <v>-15367626</v>
      </c>
    </row>
    <row r="96" spans="2:9" outlineLevel="2" x14ac:dyDescent="0.2">
      <c r="B96" s="8"/>
      <c r="C96" s="8"/>
      <c r="D96" s="8"/>
      <c r="E96" s="8"/>
      <c r="F96" s="8"/>
      <c r="G96" s="8"/>
      <c r="H96" s="8"/>
      <c r="I96" s="7"/>
    </row>
    <row r="97" spans="2:9" outlineLevel="2" x14ac:dyDescent="0.2">
      <c r="B97" s="8" t="s">
        <v>885</v>
      </c>
      <c r="C97" s="8" t="s">
        <v>8</v>
      </c>
      <c r="D97" s="8" t="s">
        <v>7</v>
      </c>
      <c r="E97" s="8" t="s">
        <v>6</v>
      </c>
      <c r="F97" s="8" t="s">
        <v>299</v>
      </c>
      <c r="G97" s="8" t="s">
        <v>893</v>
      </c>
      <c r="H97" s="8" t="s">
        <v>11</v>
      </c>
      <c r="I97" s="7">
        <v>-7308468</v>
      </c>
    </row>
    <row r="98" spans="2:9" outlineLevel="2" x14ac:dyDescent="0.2">
      <c r="B98" s="8" t="s">
        <v>885</v>
      </c>
      <c r="C98" s="8" t="s">
        <v>8</v>
      </c>
      <c r="D98" s="8" t="s">
        <v>7</v>
      </c>
      <c r="E98" s="8" t="s">
        <v>6</v>
      </c>
      <c r="F98" s="8" t="s">
        <v>299</v>
      </c>
      <c r="G98" s="8" t="s">
        <v>893</v>
      </c>
      <c r="H98" s="8" t="s">
        <v>26</v>
      </c>
      <c r="I98" s="7">
        <v>-7308468</v>
      </c>
    </row>
    <row r="99" spans="2:9" outlineLevel="2" x14ac:dyDescent="0.2">
      <c r="B99" s="8"/>
      <c r="C99" s="8"/>
      <c r="D99" s="8"/>
      <c r="E99" s="8"/>
      <c r="F99" s="8"/>
      <c r="G99" s="8"/>
      <c r="H99" s="8"/>
      <c r="I99" s="7"/>
    </row>
    <row r="100" spans="2:9" outlineLevel="2" x14ac:dyDescent="0.2">
      <c r="B100" s="8" t="s">
        <v>885</v>
      </c>
      <c r="C100" s="8" t="s">
        <v>8</v>
      </c>
      <c r="D100" s="8" t="s">
        <v>7</v>
      </c>
      <c r="E100" s="8" t="s">
        <v>6</v>
      </c>
      <c r="F100" s="8" t="s">
        <v>292</v>
      </c>
      <c r="G100" s="8" t="s">
        <v>892</v>
      </c>
      <c r="H100" s="8" t="s">
        <v>11</v>
      </c>
      <c r="I100" s="7">
        <v>-71597889</v>
      </c>
    </row>
    <row r="101" spans="2:9" outlineLevel="2" x14ac:dyDescent="0.2">
      <c r="B101" s="8" t="s">
        <v>885</v>
      </c>
      <c r="C101" s="8" t="s">
        <v>8</v>
      </c>
      <c r="D101" s="8" t="s">
        <v>7</v>
      </c>
      <c r="E101" s="8" t="s">
        <v>6</v>
      </c>
      <c r="F101" s="8" t="s">
        <v>292</v>
      </c>
      <c r="G101" s="8" t="s">
        <v>892</v>
      </c>
      <c r="H101" s="8" t="s">
        <v>26</v>
      </c>
      <c r="I101" s="7">
        <v>-71597889</v>
      </c>
    </row>
    <row r="102" spans="2:9" outlineLevel="2" x14ac:dyDescent="0.2">
      <c r="B102" s="8"/>
      <c r="C102" s="8"/>
      <c r="D102" s="8"/>
      <c r="E102" s="8"/>
      <c r="F102" s="8"/>
      <c r="G102" s="8"/>
      <c r="H102" s="8"/>
      <c r="I102" s="7"/>
    </row>
    <row r="103" spans="2:9" outlineLevel="2" x14ac:dyDescent="0.2">
      <c r="B103" s="8" t="s">
        <v>885</v>
      </c>
      <c r="C103" s="8" t="s">
        <v>8</v>
      </c>
      <c r="D103" s="8" t="s">
        <v>7</v>
      </c>
      <c r="E103" s="8" t="s">
        <v>6</v>
      </c>
      <c r="F103" s="8" t="s">
        <v>13</v>
      </c>
      <c r="G103" s="8" t="s">
        <v>891</v>
      </c>
      <c r="H103" s="8" t="s">
        <v>11</v>
      </c>
      <c r="I103" s="7">
        <v>-14750376</v>
      </c>
    </row>
    <row r="104" spans="2:9" outlineLevel="2" x14ac:dyDescent="0.2">
      <c r="B104" s="8" t="s">
        <v>885</v>
      </c>
      <c r="C104" s="8" t="s">
        <v>8</v>
      </c>
      <c r="D104" s="8" t="s">
        <v>7</v>
      </c>
      <c r="E104" s="8" t="s">
        <v>6</v>
      </c>
      <c r="F104" s="8" t="s">
        <v>13</v>
      </c>
      <c r="G104" s="8" t="s">
        <v>891</v>
      </c>
      <c r="H104" s="8" t="s">
        <v>26</v>
      </c>
      <c r="I104" s="7">
        <v>-14750376</v>
      </c>
    </row>
    <row r="105" spans="2:9" outlineLevel="2" x14ac:dyDescent="0.2">
      <c r="B105" s="8"/>
      <c r="C105" s="8"/>
      <c r="D105" s="8"/>
      <c r="E105" s="8"/>
      <c r="F105" s="8"/>
      <c r="G105" s="8"/>
      <c r="H105" s="8"/>
      <c r="I105" s="7"/>
    </row>
    <row r="106" spans="2:9" outlineLevel="2" x14ac:dyDescent="0.2">
      <c r="B106" s="8" t="s">
        <v>885</v>
      </c>
      <c r="C106" s="8" t="s">
        <v>8</v>
      </c>
      <c r="D106" s="8" t="s">
        <v>7</v>
      </c>
      <c r="E106" s="8" t="s">
        <v>6</v>
      </c>
      <c r="F106" s="8" t="s">
        <v>275</v>
      </c>
      <c r="G106" s="8" t="s">
        <v>887</v>
      </c>
      <c r="H106" s="8" t="s">
        <v>11</v>
      </c>
      <c r="I106" s="7">
        <v>-14293250</v>
      </c>
    </row>
    <row r="107" spans="2:9" outlineLevel="2" x14ac:dyDescent="0.2">
      <c r="B107" s="8" t="s">
        <v>885</v>
      </c>
      <c r="C107" s="8" t="s">
        <v>8</v>
      </c>
      <c r="D107" s="8" t="s">
        <v>7</v>
      </c>
      <c r="E107" s="8" t="s">
        <v>6</v>
      </c>
      <c r="F107" s="8" t="s">
        <v>275</v>
      </c>
      <c r="G107" s="8" t="s">
        <v>887</v>
      </c>
      <c r="H107" s="8" t="s">
        <v>26</v>
      </c>
      <c r="I107" s="7">
        <v>-14293250</v>
      </c>
    </row>
    <row r="108" spans="2:9" outlineLevel="2" x14ac:dyDescent="0.2">
      <c r="B108" s="8"/>
      <c r="C108" s="8"/>
      <c r="D108" s="8"/>
      <c r="E108" s="8"/>
      <c r="F108" s="8"/>
      <c r="G108" s="8"/>
      <c r="H108" s="8"/>
      <c r="I108" s="7"/>
    </row>
    <row r="109" spans="2:9" outlineLevel="2" x14ac:dyDescent="0.2">
      <c r="B109" s="8" t="s">
        <v>885</v>
      </c>
      <c r="C109" s="8" t="s">
        <v>8</v>
      </c>
      <c r="D109" s="8" t="s">
        <v>7</v>
      </c>
      <c r="E109" s="8" t="s">
        <v>6</v>
      </c>
      <c r="F109" s="8" t="s">
        <v>265</v>
      </c>
      <c r="G109" s="8" t="s">
        <v>890</v>
      </c>
      <c r="H109" s="8" t="s">
        <v>11</v>
      </c>
      <c r="I109" s="7">
        <v>-4247727</v>
      </c>
    </row>
    <row r="110" spans="2:9" outlineLevel="2" x14ac:dyDescent="0.2">
      <c r="B110" s="8" t="s">
        <v>885</v>
      </c>
      <c r="C110" s="8" t="s">
        <v>8</v>
      </c>
      <c r="D110" s="8" t="s">
        <v>7</v>
      </c>
      <c r="E110" s="8" t="s">
        <v>6</v>
      </c>
      <c r="F110" s="8" t="s">
        <v>265</v>
      </c>
      <c r="G110" s="8" t="s">
        <v>890</v>
      </c>
      <c r="H110" s="8" t="s">
        <v>26</v>
      </c>
      <c r="I110" s="7">
        <v>-4247727</v>
      </c>
    </row>
    <row r="111" spans="2:9" outlineLevel="2" x14ac:dyDescent="0.2">
      <c r="B111" s="8"/>
      <c r="C111" s="8"/>
      <c r="D111" s="8"/>
      <c r="E111" s="8"/>
      <c r="F111" s="8"/>
      <c r="G111" s="8"/>
      <c r="H111" s="8"/>
      <c r="I111" s="7"/>
    </row>
    <row r="112" spans="2:9" outlineLevel="2" x14ac:dyDescent="0.2">
      <c r="B112" s="8" t="s">
        <v>885</v>
      </c>
      <c r="C112" s="8" t="s">
        <v>8</v>
      </c>
      <c r="D112" s="8" t="s">
        <v>7</v>
      </c>
      <c r="E112" s="8" t="s">
        <v>6</v>
      </c>
      <c r="F112" s="8" t="s">
        <v>889</v>
      </c>
      <c r="G112" s="8" t="s">
        <v>888</v>
      </c>
      <c r="H112" s="8" t="s">
        <v>11</v>
      </c>
      <c r="I112" s="7">
        <v>-14968356</v>
      </c>
    </row>
    <row r="113" spans="2:9" outlineLevel="2" x14ac:dyDescent="0.2">
      <c r="B113" s="8" t="s">
        <v>885</v>
      </c>
      <c r="C113" s="8" t="s">
        <v>8</v>
      </c>
      <c r="D113" s="8" t="s">
        <v>7</v>
      </c>
      <c r="E113" s="8" t="s">
        <v>6</v>
      </c>
      <c r="F113" s="8" t="s">
        <v>889</v>
      </c>
      <c r="G113" s="8" t="s">
        <v>888</v>
      </c>
      <c r="H113" s="8" t="s">
        <v>26</v>
      </c>
      <c r="I113" s="7">
        <v>-14968356</v>
      </c>
    </row>
    <row r="114" spans="2:9" outlineLevel="2" x14ac:dyDescent="0.2">
      <c r="B114" s="8"/>
      <c r="C114" s="8"/>
      <c r="D114" s="8"/>
      <c r="E114" s="8"/>
      <c r="F114" s="8"/>
      <c r="G114" s="8"/>
      <c r="H114" s="8"/>
      <c r="I114" s="7"/>
    </row>
    <row r="115" spans="2:9" outlineLevel="2" x14ac:dyDescent="0.2">
      <c r="B115" s="8" t="s">
        <v>885</v>
      </c>
      <c r="C115" s="8" t="s">
        <v>8</v>
      </c>
      <c r="D115" s="8" t="s">
        <v>7</v>
      </c>
      <c r="E115" s="8" t="s">
        <v>6</v>
      </c>
      <c r="F115" s="8" t="s">
        <v>248</v>
      </c>
      <c r="G115" s="8" t="s">
        <v>887</v>
      </c>
      <c r="H115" s="8" t="s">
        <v>11</v>
      </c>
      <c r="I115" s="7">
        <v>-14293250</v>
      </c>
    </row>
    <row r="116" spans="2:9" outlineLevel="2" x14ac:dyDescent="0.2">
      <c r="B116" s="8" t="s">
        <v>885</v>
      </c>
      <c r="C116" s="8" t="s">
        <v>8</v>
      </c>
      <c r="D116" s="8" t="s">
        <v>7</v>
      </c>
      <c r="E116" s="8" t="s">
        <v>6</v>
      </c>
      <c r="F116" s="8" t="s">
        <v>248</v>
      </c>
      <c r="G116" s="8" t="s">
        <v>887</v>
      </c>
      <c r="H116" s="8" t="s">
        <v>26</v>
      </c>
      <c r="I116" s="7">
        <v>-14293250</v>
      </c>
    </row>
    <row r="117" spans="2:9" outlineLevel="2" x14ac:dyDescent="0.2">
      <c r="B117" s="8"/>
      <c r="C117" s="8"/>
      <c r="D117" s="8"/>
      <c r="E117" s="8"/>
      <c r="F117" s="8"/>
      <c r="G117" s="8"/>
      <c r="H117" s="8"/>
      <c r="I117" s="7"/>
    </row>
    <row r="118" spans="2:9" outlineLevel="2" x14ac:dyDescent="0.2">
      <c r="B118" s="8" t="s">
        <v>885</v>
      </c>
      <c r="C118" s="8" t="s">
        <v>8</v>
      </c>
      <c r="D118" s="8" t="s">
        <v>7</v>
      </c>
      <c r="E118" s="8" t="s">
        <v>6</v>
      </c>
      <c r="F118" s="8" t="s">
        <v>239</v>
      </c>
      <c r="G118" s="8" t="s">
        <v>887</v>
      </c>
      <c r="H118" s="8" t="s">
        <v>11</v>
      </c>
      <c r="I118" s="7">
        <v>-14293250</v>
      </c>
    </row>
    <row r="119" spans="2:9" outlineLevel="2" x14ac:dyDescent="0.2">
      <c r="B119" s="8" t="s">
        <v>885</v>
      </c>
      <c r="C119" s="8" t="s">
        <v>8</v>
      </c>
      <c r="D119" s="8" t="s">
        <v>7</v>
      </c>
      <c r="E119" s="8" t="s">
        <v>6</v>
      </c>
      <c r="F119" s="8" t="s">
        <v>239</v>
      </c>
      <c r="G119" s="8" t="s">
        <v>887</v>
      </c>
      <c r="H119" s="8" t="s">
        <v>26</v>
      </c>
      <c r="I119" s="7">
        <v>-14293250</v>
      </c>
    </row>
    <row r="120" spans="2:9" outlineLevel="2" x14ac:dyDescent="0.2">
      <c r="B120" s="8"/>
      <c r="C120" s="8"/>
      <c r="D120" s="8"/>
      <c r="E120" s="8"/>
      <c r="F120" s="8"/>
      <c r="G120" s="8"/>
      <c r="H120" s="8"/>
      <c r="I120" s="7"/>
    </row>
    <row r="121" spans="2:9" outlineLevel="2" x14ac:dyDescent="0.2">
      <c r="B121" s="8" t="s">
        <v>885</v>
      </c>
      <c r="C121" s="8" t="s">
        <v>8</v>
      </c>
      <c r="D121" s="8" t="s">
        <v>7</v>
      </c>
      <c r="E121" s="8" t="s">
        <v>6</v>
      </c>
      <c r="F121" s="8" t="s">
        <v>229</v>
      </c>
      <c r="G121" s="8" t="s">
        <v>886</v>
      </c>
      <c r="H121" s="8" t="s">
        <v>11</v>
      </c>
      <c r="I121" s="7">
        <v>-3659092</v>
      </c>
    </row>
    <row r="122" spans="2:9" outlineLevel="2" x14ac:dyDescent="0.2">
      <c r="B122" s="8" t="s">
        <v>885</v>
      </c>
      <c r="C122" s="8" t="s">
        <v>8</v>
      </c>
      <c r="D122" s="8" t="s">
        <v>7</v>
      </c>
      <c r="E122" s="8" t="s">
        <v>6</v>
      </c>
      <c r="F122" s="8" t="s">
        <v>229</v>
      </c>
      <c r="G122" s="8" t="s">
        <v>886</v>
      </c>
      <c r="H122" s="8" t="s">
        <v>26</v>
      </c>
      <c r="I122" s="7">
        <v>-3659092</v>
      </c>
    </row>
    <row r="123" spans="2:9" outlineLevel="2" x14ac:dyDescent="0.2">
      <c r="B123" s="8"/>
      <c r="C123" s="8"/>
      <c r="D123" s="8"/>
      <c r="E123" s="8"/>
      <c r="F123" s="8"/>
      <c r="G123" s="8"/>
      <c r="H123" s="8"/>
      <c r="I123" s="7"/>
    </row>
    <row r="124" spans="2:9" outlineLevel="2" x14ac:dyDescent="0.2">
      <c r="B124" s="8" t="s">
        <v>885</v>
      </c>
      <c r="C124" s="8" t="s">
        <v>8</v>
      </c>
      <c r="D124" s="8" t="s">
        <v>7</v>
      </c>
      <c r="E124" s="8" t="s">
        <v>6</v>
      </c>
      <c r="F124" s="8" t="s">
        <v>516</v>
      </c>
      <c r="G124" s="8" t="s">
        <v>884</v>
      </c>
      <c r="H124" s="8" t="s">
        <v>11</v>
      </c>
      <c r="I124" s="7">
        <v>-136400</v>
      </c>
    </row>
    <row r="125" spans="2:9" outlineLevel="2" x14ac:dyDescent="0.2">
      <c r="B125" s="8" t="s">
        <v>885</v>
      </c>
      <c r="C125" s="8" t="s">
        <v>8</v>
      </c>
      <c r="D125" s="8" t="s">
        <v>7</v>
      </c>
      <c r="E125" s="8" t="s">
        <v>6</v>
      </c>
      <c r="F125" s="8" t="s">
        <v>516</v>
      </c>
      <c r="G125" s="8" t="s">
        <v>884</v>
      </c>
      <c r="H125" s="8" t="s">
        <v>221</v>
      </c>
      <c r="I125" s="7">
        <v>136400</v>
      </c>
    </row>
    <row r="126" spans="2:9" outlineLevel="2" x14ac:dyDescent="0.2">
      <c r="B126" s="8"/>
      <c r="C126" s="8"/>
      <c r="D126" s="8"/>
      <c r="E126" s="8"/>
      <c r="F126" s="8"/>
      <c r="G126" s="8"/>
      <c r="H126" s="8"/>
      <c r="I126" s="7"/>
    </row>
    <row r="127" spans="2:9" ht="25" outlineLevel="2" x14ac:dyDescent="0.2">
      <c r="B127" s="8" t="s">
        <v>881</v>
      </c>
      <c r="C127" s="8" t="s">
        <v>8</v>
      </c>
      <c r="D127" s="8" t="s">
        <v>7</v>
      </c>
      <c r="E127" s="8" t="s">
        <v>6</v>
      </c>
      <c r="F127" s="8" t="s">
        <v>838</v>
      </c>
      <c r="G127" s="8" t="s">
        <v>883</v>
      </c>
      <c r="H127" s="8" t="s">
        <v>11</v>
      </c>
      <c r="I127" s="7">
        <v>-6664331</v>
      </c>
    </row>
    <row r="128" spans="2:9" outlineLevel="2" x14ac:dyDescent="0.2">
      <c r="B128" s="8" t="s">
        <v>881</v>
      </c>
      <c r="C128" s="8" t="s">
        <v>8</v>
      </c>
      <c r="D128" s="8" t="s">
        <v>7</v>
      </c>
      <c r="E128" s="8" t="s">
        <v>6</v>
      </c>
      <c r="F128" s="8" t="s">
        <v>838</v>
      </c>
      <c r="G128" s="8" t="s">
        <v>882</v>
      </c>
      <c r="H128" s="8" t="s">
        <v>26</v>
      </c>
      <c r="I128" s="7">
        <v>-5703791</v>
      </c>
    </row>
    <row r="129" spans="2:9" ht="25" outlineLevel="2" x14ac:dyDescent="0.2">
      <c r="B129" s="8" t="s">
        <v>881</v>
      </c>
      <c r="C129" s="8" t="s">
        <v>8</v>
      </c>
      <c r="D129" s="8" t="s">
        <v>7</v>
      </c>
      <c r="E129" s="8" t="s">
        <v>6</v>
      </c>
      <c r="F129" s="8" t="s">
        <v>838</v>
      </c>
      <c r="G129" s="8" t="s">
        <v>880</v>
      </c>
      <c r="H129" s="8" t="s">
        <v>879</v>
      </c>
      <c r="I129" s="7">
        <v>960540</v>
      </c>
    </row>
    <row r="130" spans="2:9" outlineLevel="2" x14ac:dyDescent="0.2">
      <c r="B130" s="8"/>
      <c r="C130" s="8"/>
      <c r="D130" s="8"/>
      <c r="E130" s="8"/>
      <c r="F130" s="8"/>
      <c r="G130" s="8"/>
      <c r="H130" s="8"/>
      <c r="I130" s="7"/>
    </row>
    <row r="131" spans="2:9" ht="25" outlineLevel="2" x14ac:dyDescent="0.2">
      <c r="B131" s="8" t="s">
        <v>855</v>
      </c>
      <c r="C131" s="8" t="s">
        <v>8</v>
      </c>
      <c r="D131" s="8" t="s">
        <v>7</v>
      </c>
      <c r="E131" s="8" t="s">
        <v>6</v>
      </c>
      <c r="F131" s="8" t="s">
        <v>676</v>
      </c>
      <c r="G131" s="8" t="s">
        <v>878</v>
      </c>
      <c r="H131" s="8" t="s">
        <v>11</v>
      </c>
      <c r="I131" s="7">
        <v>-16000000</v>
      </c>
    </row>
    <row r="132" spans="2:9" ht="25" outlineLevel="2" x14ac:dyDescent="0.2">
      <c r="B132" s="8" t="s">
        <v>855</v>
      </c>
      <c r="C132" s="8" t="s">
        <v>8</v>
      </c>
      <c r="D132" s="8" t="s">
        <v>7</v>
      </c>
      <c r="E132" s="8" t="s">
        <v>6</v>
      </c>
      <c r="F132" s="8" t="s">
        <v>676</v>
      </c>
      <c r="G132" s="8" t="s">
        <v>878</v>
      </c>
      <c r="H132" s="8" t="s">
        <v>205</v>
      </c>
      <c r="I132" s="7">
        <v>16000000</v>
      </c>
    </row>
    <row r="133" spans="2:9" outlineLevel="2" x14ac:dyDescent="0.2">
      <c r="B133" s="8"/>
      <c r="C133" s="8"/>
      <c r="D133" s="8"/>
      <c r="E133" s="8"/>
      <c r="F133" s="8"/>
      <c r="G133" s="8"/>
      <c r="H133" s="8"/>
      <c r="I133" s="7"/>
    </row>
    <row r="134" spans="2:9" ht="25" outlineLevel="2" x14ac:dyDescent="0.2">
      <c r="B134" s="8" t="s">
        <v>855</v>
      </c>
      <c r="C134" s="8" t="s">
        <v>8</v>
      </c>
      <c r="D134" s="8" t="s">
        <v>7</v>
      </c>
      <c r="E134" s="8" t="s">
        <v>6</v>
      </c>
      <c r="F134" s="8" t="s">
        <v>676</v>
      </c>
      <c r="G134" s="8" t="s">
        <v>877</v>
      </c>
      <c r="H134" s="8" t="s">
        <v>11</v>
      </c>
      <c r="I134" s="7">
        <v>-11000</v>
      </c>
    </row>
    <row r="135" spans="2:9" ht="25" outlineLevel="2" x14ac:dyDescent="0.2">
      <c r="B135" s="8" t="s">
        <v>855</v>
      </c>
      <c r="C135" s="8" t="s">
        <v>8</v>
      </c>
      <c r="D135" s="8" t="s">
        <v>7</v>
      </c>
      <c r="E135" s="8" t="s">
        <v>6</v>
      </c>
      <c r="F135" s="8" t="s">
        <v>676</v>
      </c>
      <c r="G135" s="8" t="s">
        <v>877</v>
      </c>
      <c r="H135" s="8" t="s">
        <v>221</v>
      </c>
      <c r="I135" s="7">
        <v>11000</v>
      </c>
    </row>
    <row r="136" spans="2:9" outlineLevel="2" x14ac:dyDescent="0.2">
      <c r="B136" s="8"/>
      <c r="C136" s="8"/>
      <c r="D136" s="8"/>
      <c r="E136" s="8"/>
      <c r="F136" s="8"/>
      <c r="G136" s="8"/>
      <c r="H136" s="8"/>
      <c r="I136" s="7"/>
    </row>
    <row r="137" spans="2:9" ht="37" outlineLevel="2" x14ac:dyDescent="0.2">
      <c r="B137" s="8" t="s">
        <v>855</v>
      </c>
      <c r="C137" s="8" t="s">
        <v>8</v>
      </c>
      <c r="D137" s="8" t="s">
        <v>7</v>
      </c>
      <c r="E137" s="8" t="s">
        <v>6</v>
      </c>
      <c r="F137" s="8" t="s">
        <v>32</v>
      </c>
      <c r="G137" s="8" t="s">
        <v>876</v>
      </c>
      <c r="H137" s="8" t="s">
        <v>11</v>
      </c>
      <c r="I137" s="7">
        <v>-9162400</v>
      </c>
    </row>
    <row r="138" spans="2:9" ht="25" outlineLevel="2" x14ac:dyDescent="0.2">
      <c r="B138" s="8" t="s">
        <v>855</v>
      </c>
      <c r="C138" s="8" t="s">
        <v>8</v>
      </c>
      <c r="D138" s="8" t="s">
        <v>7</v>
      </c>
      <c r="E138" s="8" t="s">
        <v>6</v>
      </c>
      <c r="F138" s="8" t="s">
        <v>32</v>
      </c>
      <c r="G138" s="8" t="s">
        <v>875</v>
      </c>
      <c r="H138" s="8" t="s">
        <v>33</v>
      </c>
      <c r="I138" s="7">
        <v>4082000</v>
      </c>
    </row>
    <row r="139" spans="2:9" outlineLevel="2" x14ac:dyDescent="0.2">
      <c r="B139" s="8" t="s">
        <v>855</v>
      </c>
      <c r="C139" s="8" t="s">
        <v>8</v>
      </c>
      <c r="D139" s="8" t="s">
        <v>7</v>
      </c>
      <c r="E139" s="8" t="s">
        <v>6</v>
      </c>
      <c r="F139" s="8" t="s">
        <v>32</v>
      </c>
      <c r="G139" s="8" t="s">
        <v>874</v>
      </c>
      <c r="H139" s="8" t="s">
        <v>33</v>
      </c>
      <c r="I139" s="7">
        <v>5080400</v>
      </c>
    </row>
    <row r="140" spans="2:9" outlineLevel="2" x14ac:dyDescent="0.2">
      <c r="B140" s="8"/>
      <c r="C140" s="8"/>
      <c r="D140" s="8"/>
      <c r="E140" s="8"/>
      <c r="F140" s="8"/>
      <c r="G140" s="8"/>
      <c r="H140" s="8"/>
      <c r="I140" s="7"/>
    </row>
    <row r="141" spans="2:9" ht="25" outlineLevel="2" x14ac:dyDescent="0.2">
      <c r="B141" s="8" t="s">
        <v>855</v>
      </c>
      <c r="C141" s="8" t="s">
        <v>8</v>
      </c>
      <c r="D141" s="8" t="s">
        <v>7</v>
      </c>
      <c r="E141" s="8" t="s">
        <v>6</v>
      </c>
      <c r="F141" s="8" t="s">
        <v>32</v>
      </c>
      <c r="G141" s="8" t="s">
        <v>873</v>
      </c>
      <c r="H141" s="8" t="s">
        <v>11</v>
      </c>
      <c r="I141" s="7">
        <v>-11000</v>
      </c>
    </row>
    <row r="142" spans="2:9" ht="25" outlineLevel="2" x14ac:dyDescent="0.2">
      <c r="B142" s="8" t="s">
        <v>855</v>
      </c>
      <c r="C142" s="8" t="s">
        <v>8</v>
      </c>
      <c r="D142" s="8" t="s">
        <v>7</v>
      </c>
      <c r="E142" s="8" t="s">
        <v>6</v>
      </c>
      <c r="F142" s="8" t="s">
        <v>32</v>
      </c>
      <c r="G142" s="8" t="s">
        <v>873</v>
      </c>
      <c r="H142" s="8" t="s">
        <v>221</v>
      </c>
      <c r="I142" s="7">
        <v>11000</v>
      </c>
    </row>
    <row r="143" spans="2:9" outlineLevel="2" x14ac:dyDescent="0.2">
      <c r="B143" s="8"/>
      <c r="C143" s="8"/>
      <c r="D143" s="8"/>
      <c r="E143" s="8"/>
      <c r="F143" s="8"/>
      <c r="G143" s="8"/>
      <c r="H143" s="8"/>
      <c r="I143" s="7"/>
    </row>
    <row r="144" spans="2:9" outlineLevel="2" x14ac:dyDescent="0.2">
      <c r="B144" s="8" t="s">
        <v>855</v>
      </c>
      <c r="C144" s="8" t="s">
        <v>8</v>
      </c>
      <c r="D144" s="8" t="s">
        <v>7</v>
      </c>
      <c r="E144" s="8" t="s">
        <v>6</v>
      </c>
      <c r="F144" s="8" t="s">
        <v>32</v>
      </c>
      <c r="G144" s="8" t="s">
        <v>872</v>
      </c>
      <c r="H144" s="8" t="s">
        <v>11</v>
      </c>
      <c r="I144" s="7">
        <v>-1735000</v>
      </c>
    </row>
    <row r="145" spans="2:9" outlineLevel="2" x14ac:dyDescent="0.2">
      <c r="B145" s="8" t="s">
        <v>855</v>
      </c>
      <c r="C145" s="8" t="s">
        <v>8</v>
      </c>
      <c r="D145" s="8" t="s">
        <v>7</v>
      </c>
      <c r="E145" s="8" t="s">
        <v>6</v>
      </c>
      <c r="F145" s="8" t="s">
        <v>32</v>
      </c>
      <c r="G145" s="8" t="s">
        <v>872</v>
      </c>
      <c r="H145" s="8" t="s">
        <v>33</v>
      </c>
      <c r="I145" s="7">
        <v>1735000</v>
      </c>
    </row>
    <row r="146" spans="2:9" outlineLevel="2" x14ac:dyDescent="0.2">
      <c r="B146" s="8"/>
      <c r="C146" s="8"/>
      <c r="D146" s="8"/>
      <c r="E146" s="8"/>
      <c r="F146" s="8"/>
      <c r="G146" s="8"/>
      <c r="H146" s="8"/>
      <c r="I146" s="7"/>
    </row>
    <row r="147" spans="2:9" outlineLevel="2" x14ac:dyDescent="0.2">
      <c r="B147" s="8" t="s">
        <v>855</v>
      </c>
      <c r="C147" s="8" t="s">
        <v>8</v>
      </c>
      <c r="D147" s="8" t="s">
        <v>7</v>
      </c>
      <c r="E147" s="8" t="s">
        <v>6</v>
      </c>
      <c r="F147" s="8" t="s">
        <v>32</v>
      </c>
      <c r="G147" s="8" t="s">
        <v>871</v>
      </c>
      <c r="H147" s="8" t="s">
        <v>11</v>
      </c>
      <c r="I147" s="7">
        <v>-11000</v>
      </c>
    </row>
    <row r="148" spans="2:9" outlineLevel="2" x14ac:dyDescent="0.2">
      <c r="B148" s="8" t="s">
        <v>855</v>
      </c>
      <c r="C148" s="8" t="s">
        <v>8</v>
      </c>
      <c r="D148" s="8" t="s">
        <v>7</v>
      </c>
      <c r="E148" s="8" t="s">
        <v>6</v>
      </c>
      <c r="F148" s="8" t="s">
        <v>32</v>
      </c>
      <c r="G148" s="8" t="s">
        <v>871</v>
      </c>
      <c r="H148" s="8" t="s">
        <v>221</v>
      </c>
      <c r="I148" s="7">
        <v>11000</v>
      </c>
    </row>
    <row r="149" spans="2:9" outlineLevel="2" x14ac:dyDescent="0.2">
      <c r="B149" s="8"/>
      <c r="C149" s="8"/>
      <c r="D149" s="8"/>
      <c r="E149" s="8"/>
      <c r="F149" s="8"/>
      <c r="G149" s="8"/>
      <c r="H149" s="8"/>
      <c r="I149" s="7"/>
    </row>
    <row r="150" spans="2:9" ht="25" outlineLevel="2" x14ac:dyDescent="0.2">
      <c r="B150" s="8" t="s">
        <v>855</v>
      </c>
      <c r="C150" s="8" t="s">
        <v>8</v>
      </c>
      <c r="D150" s="8" t="s">
        <v>7</v>
      </c>
      <c r="E150" s="8" t="s">
        <v>6</v>
      </c>
      <c r="F150" s="8" t="s">
        <v>531</v>
      </c>
      <c r="G150" s="8" t="s">
        <v>870</v>
      </c>
      <c r="H150" s="8" t="s">
        <v>11</v>
      </c>
      <c r="I150" s="7">
        <v>-3798000</v>
      </c>
    </row>
    <row r="151" spans="2:9" ht="25" outlineLevel="2" x14ac:dyDescent="0.2">
      <c r="B151" s="8" t="s">
        <v>855</v>
      </c>
      <c r="C151" s="8" t="s">
        <v>8</v>
      </c>
      <c r="D151" s="8" t="s">
        <v>7</v>
      </c>
      <c r="E151" s="8" t="s">
        <v>6</v>
      </c>
      <c r="F151" s="8" t="s">
        <v>531</v>
      </c>
      <c r="G151" s="8" t="s">
        <v>870</v>
      </c>
      <c r="H151" s="8" t="s">
        <v>33</v>
      </c>
      <c r="I151" s="7">
        <v>3798000</v>
      </c>
    </row>
    <row r="152" spans="2:9" outlineLevel="2" x14ac:dyDescent="0.2">
      <c r="B152" s="8"/>
      <c r="C152" s="8"/>
      <c r="D152" s="8"/>
      <c r="E152" s="8"/>
      <c r="F152" s="8"/>
      <c r="G152" s="8"/>
      <c r="H152" s="8"/>
      <c r="I152" s="7"/>
    </row>
    <row r="153" spans="2:9" ht="25" outlineLevel="2" x14ac:dyDescent="0.2">
      <c r="B153" s="8" t="s">
        <v>855</v>
      </c>
      <c r="C153" s="8" t="s">
        <v>8</v>
      </c>
      <c r="D153" s="8" t="s">
        <v>7</v>
      </c>
      <c r="E153" s="8" t="s">
        <v>6</v>
      </c>
      <c r="F153" s="8" t="s">
        <v>531</v>
      </c>
      <c r="G153" s="8" t="s">
        <v>869</v>
      </c>
      <c r="H153" s="8" t="s">
        <v>11</v>
      </c>
      <c r="I153" s="7">
        <v>-11000</v>
      </c>
    </row>
    <row r="154" spans="2:9" ht="25" outlineLevel="2" x14ac:dyDescent="0.2">
      <c r="B154" s="8" t="s">
        <v>855</v>
      </c>
      <c r="C154" s="8" t="s">
        <v>8</v>
      </c>
      <c r="D154" s="8" t="s">
        <v>7</v>
      </c>
      <c r="E154" s="8" t="s">
        <v>6</v>
      </c>
      <c r="F154" s="8" t="s">
        <v>531</v>
      </c>
      <c r="G154" s="8" t="s">
        <v>869</v>
      </c>
      <c r="H154" s="8" t="s">
        <v>221</v>
      </c>
      <c r="I154" s="7">
        <v>11000</v>
      </c>
    </row>
    <row r="155" spans="2:9" outlineLevel="2" x14ac:dyDescent="0.2">
      <c r="B155" s="8"/>
      <c r="C155" s="8"/>
      <c r="D155" s="8"/>
      <c r="E155" s="8"/>
      <c r="F155" s="8"/>
      <c r="G155" s="8"/>
      <c r="H155" s="8"/>
      <c r="I155" s="7"/>
    </row>
    <row r="156" spans="2:9" outlineLevel="2" x14ac:dyDescent="0.2">
      <c r="B156" s="8" t="s">
        <v>855</v>
      </c>
      <c r="C156" s="8" t="s">
        <v>8</v>
      </c>
      <c r="D156" s="8" t="s">
        <v>7</v>
      </c>
      <c r="E156" s="8" t="s">
        <v>6</v>
      </c>
      <c r="F156" s="8" t="s">
        <v>52</v>
      </c>
      <c r="G156" s="8" t="s">
        <v>868</v>
      </c>
      <c r="H156" s="8" t="s">
        <v>11</v>
      </c>
      <c r="I156" s="7">
        <v>-265550</v>
      </c>
    </row>
    <row r="157" spans="2:9" outlineLevel="2" x14ac:dyDescent="0.2">
      <c r="B157" s="8" t="s">
        <v>855</v>
      </c>
      <c r="C157" s="8" t="s">
        <v>8</v>
      </c>
      <c r="D157" s="8" t="s">
        <v>7</v>
      </c>
      <c r="E157" s="8" t="s">
        <v>6</v>
      </c>
      <c r="F157" s="8" t="s">
        <v>52</v>
      </c>
      <c r="G157" s="8" t="s">
        <v>868</v>
      </c>
      <c r="H157" s="8" t="s">
        <v>43</v>
      </c>
      <c r="I157" s="7">
        <v>265550</v>
      </c>
    </row>
    <row r="158" spans="2:9" outlineLevel="2" x14ac:dyDescent="0.2">
      <c r="B158" s="8"/>
      <c r="C158" s="8"/>
      <c r="D158" s="8"/>
      <c r="E158" s="8"/>
      <c r="F158" s="8"/>
      <c r="G158" s="8"/>
      <c r="H158" s="8"/>
      <c r="I158" s="7"/>
    </row>
    <row r="159" spans="2:9" outlineLevel="2" x14ac:dyDescent="0.2">
      <c r="B159" s="8" t="s">
        <v>855</v>
      </c>
      <c r="C159" s="8" t="s">
        <v>8</v>
      </c>
      <c r="D159" s="8" t="s">
        <v>7</v>
      </c>
      <c r="E159" s="8" t="s">
        <v>6</v>
      </c>
      <c r="F159" s="8" t="s">
        <v>52</v>
      </c>
      <c r="G159" s="8" t="s">
        <v>867</v>
      </c>
      <c r="H159" s="8" t="s">
        <v>11</v>
      </c>
      <c r="I159" s="7">
        <v>-11000</v>
      </c>
    </row>
    <row r="160" spans="2:9" outlineLevel="2" x14ac:dyDescent="0.2">
      <c r="B160" s="8" t="s">
        <v>855</v>
      </c>
      <c r="C160" s="8" t="s">
        <v>8</v>
      </c>
      <c r="D160" s="8" t="s">
        <v>7</v>
      </c>
      <c r="E160" s="8" t="s">
        <v>6</v>
      </c>
      <c r="F160" s="8" t="s">
        <v>52</v>
      </c>
      <c r="G160" s="8" t="s">
        <v>867</v>
      </c>
      <c r="H160" s="8" t="s">
        <v>221</v>
      </c>
      <c r="I160" s="7">
        <v>11000</v>
      </c>
    </row>
    <row r="161" spans="2:9" outlineLevel="2" x14ac:dyDescent="0.2">
      <c r="B161" s="8"/>
      <c r="C161" s="8"/>
      <c r="D161" s="8"/>
      <c r="E161" s="8"/>
      <c r="F161" s="8"/>
      <c r="G161" s="8"/>
      <c r="H161" s="8"/>
      <c r="I161" s="7"/>
    </row>
    <row r="162" spans="2:9" ht="25" outlineLevel="2" x14ac:dyDescent="0.2">
      <c r="B162" s="8" t="s">
        <v>855</v>
      </c>
      <c r="C162" s="8" t="s">
        <v>8</v>
      </c>
      <c r="D162" s="8" t="s">
        <v>7</v>
      </c>
      <c r="E162" s="8" t="s">
        <v>6</v>
      </c>
      <c r="F162" s="8" t="s">
        <v>25</v>
      </c>
      <c r="G162" s="8" t="s">
        <v>866</v>
      </c>
      <c r="H162" s="8" t="s">
        <v>11</v>
      </c>
      <c r="I162" s="7">
        <v>-7736000</v>
      </c>
    </row>
    <row r="163" spans="2:9" ht="25" outlineLevel="2" x14ac:dyDescent="0.2">
      <c r="B163" s="8" t="s">
        <v>855</v>
      </c>
      <c r="C163" s="8" t="s">
        <v>8</v>
      </c>
      <c r="D163" s="8" t="s">
        <v>7</v>
      </c>
      <c r="E163" s="8" t="s">
        <v>6</v>
      </c>
      <c r="F163" s="8" t="s">
        <v>25</v>
      </c>
      <c r="G163" s="8" t="s">
        <v>866</v>
      </c>
      <c r="H163" s="8" t="s">
        <v>58</v>
      </c>
      <c r="I163" s="7">
        <v>7736000</v>
      </c>
    </row>
    <row r="164" spans="2:9" outlineLevel="2" x14ac:dyDescent="0.2">
      <c r="B164" s="8"/>
      <c r="C164" s="8"/>
      <c r="D164" s="8"/>
      <c r="E164" s="8"/>
      <c r="F164" s="8"/>
      <c r="G164" s="8"/>
      <c r="H164" s="8"/>
      <c r="I164" s="7"/>
    </row>
    <row r="165" spans="2:9" ht="25" outlineLevel="2" x14ac:dyDescent="0.2">
      <c r="B165" s="8" t="s">
        <v>855</v>
      </c>
      <c r="C165" s="8" t="s">
        <v>8</v>
      </c>
      <c r="D165" s="8" t="s">
        <v>7</v>
      </c>
      <c r="E165" s="8" t="s">
        <v>6</v>
      </c>
      <c r="F165" s="8" t="s">
        <v>25</v>
      </c>
      <c r="G165" s="8" t="s">
        <v>865</v>
      </c>
      <c r="H165" s="8" t="s">
        <v>11</v>
      </c>
      <c r="I165" s="7">
        <v>-11000</v>
      </c>
    </row>
    <row r="166" spans="2:9" ht="25" outlineLevel="2" x14ac:dyDescent="0.2">
      <c r="B166" s="8" t="s">
        <v>855</v>
      </c>
      <c r="C166" s="8" t="s">
        <v>8</v>
      </c>
      <c r="D166" s="8" t="s">
        <v>7</v>
      </c>
      <c r="E166" s="8" t="s">
        <v>6</v>
      </c>
      <c r="F166" s="8" t="s">
        <v>25</v>
      </c>
      <c r="G166" s="8" t="s">
        <v>865</v>
      </c>
      <c r="H166" s="8" t="s">
        <v>221</v>
      </c>
      <c r="I166" s="7">
        <v>11000</v>
      </c>
    </row>
    <row r="167" spans="2:9" outlineLevel="2" x14ac:dyDescent="0.2">
      <c r="B167" s="8"/>
      <c r="C167" s="8"/>
      <c r="D167" s="8"/>
      <c r="E167" s="8"/>
      <c r="F167" s="8"/>
      <c r="G167" s="8"/>
      <c r="H167" s="8"/>
      <c r="I167" s="7"/>
    </row>
    <row r="168" spans="2:9" outlineLevel="2" x14ac:dyDescent="0.2">
      <c r="B168" s="8" t="s">
        <v>855</v>
      </c>
      <c r="C168" s="8" t="s">
        <v>8</v>
      </c>
      <c r="D168" s="8" t="s">
        <v>7</v>
      </c>
      <c r="E168" s="8" t="s">
        <v>6</v>
      </c>
      <c r="F168" s="8" t="s">
        <v>805</v>
      </c>
      <c r="G168" s="8" t="s">
        <v>864</v>
      </c>
      <c r="H168" s="8" t="s">
        <v>11</v>
      </c>
      <c r="I168" s="7">
        <v>-5872000</v>
      </c>
    </row>
    <row r="169" spans="2:9" outlineLevel="2" x14ac:dyDescent="0.2">
      <c r="B169" s="8" t="s">
        <v>855</v>
      </c>
      <c r="C169" s="8" t="s">
        <v>8</v>
      </c>
      <c r="D169" s="8" t="s">
        <v>7</v>
      </c>
      <c r="E169" s="8" t="s">
        <v>6</v>
      </c>
      <c r="F169" s="8" t="s">
        <v>805</v>
      </c>
      <c r="G169" s="8" t="s">
        <v>864</v>
      </c>
      <c r="H169" s="8" t="s">
        <v>29</v>
      </c>
      <c r="I169" s="7">
        <v>5872000</v>
      </c>
    </row>
    <row r="170" spans="2:9" outlineLevel="2" x14ac:dyDescent="0.2">
      <c r="B170" s="8"/>
      <c r="C170" s="8"/>
      <c r="D170" s="8"/>
      <c r="E170" s="8"/>
      <c r="F170" s="8"/>
      <c r="G170" s="8"/>
      <c r="H170" s="8"/>
      <c r="I170" s="7"/>
    </row>
    <row r="171" spans="2:9" outlineLevel="2" x14ac:dyDescent="0.2">
      <c r="B171" s="8" t="s">
        <v>855</v>
      </c>
      <c r="C171" s="8" t="s">
        <v>8</v>
      </c>
      <c r="D171" s="8" t="s">
        <v>7</v>
      </c>
      <c r="E171" s="8" t="s">
        <v>6</v>
      </c>
      <c r="F171" s="8" t="s">
        <v>805</v>
      </c>
      <c r="G171" s="8" t="s">
        <v>863</v>
      </c>
      <c r="H171" s="8" t="s">
        <v>11</v>
      </c>
      <c r="I171" s="7">
        <v>-11000</v>
      </c>
    </row>
    <row r="172" spans="2:9" outlineLevel="2" x14ac:dyDescent="0.2">
      <c r="B172" s="8" t="s">
        <v>855</v>
      </c>
      <c r="C172" s="8" t="s">
        <v>8</v>
      </c>
      <c r="D172" s="8" t="s">
        <v>7</v>
      </c>
      <c r="E172" s="8" t="s">
        <v>6</v>
      </c>
      <c r="F172" s="8" t="s">
        <v>805</v>
      </c>
      <c r="G172" s="8" t="s">
        <v>863</v>
      </c>
      <c r="H172" s="8" t="s">
        <v>221</v>
      </c>
      <c r="I172" s="7">
        <v>11000</v>
      </c>
    </row>
    <row r="173" spans="2:9" outlineLevel="2" x14ac:dyDescent="0.2">
      <c r="B173" s="8"/>
      <c r="C173" s="8"/>
      <c r="D173" s="8"/>
      <c r="E173" s="8"/>
      <c r="F173" s="8"/>
      <c r="G173" s="8"/>
      <c r="H173" s="8"/>
      <c r="I173" s="7"/>
    </row>
    <row r="174" spans="2:9" outlineLevel="2" x14ac:dyDescent="0.2">
      <c r="B174" s="8" t="s">
        <v>855</v>
      </c>
      <c r="C174" s="8" t="s">
        <v>8</v>
      </c>
      <c r="D174" s="8" t="s">
        <v>7</v>
      </c>
      <c r="E174" s="8" t="s">
        <v>6</v>
      </c>
      <c r="F174" s="8" t="s">
        <v>683</v>
      </c>
      <c r="G174" s="8" t="s">
        <v>862</v>
      </c>
      <c r="H174" s="8" t="s">
        <v>11</v>
      </c>
      <c r="I174" s="7">
        <v>-480000</v>
      </c>
    </row>
    <row r="175" spans="2:9" outlineLevel="2" x14ac:dyDescent="0.2">
      <c r="B175" s="8" t="s">
        <v>855</v>
      </c>
      <c r="C175" s="8" t="s">
        <v>8</v>
      </c>
      <c r="D175" s="8" t="s">
        <v>7</v>
      </c>
      <c r="E175" s="8" t="s">
        <v>6</v>
      </c>
      <c r="F175" s="8" t="s">
        <v>683</v>
      </c>
      <c r="G175" s="8" t="s">
        <v>862</v>
      </c>
      <c r="H175" s="8" t="s">
        <v>29</v>
      </c>
      <c r="I175" s="7">
        <v>480000</v>
      </c>
    </row>
    <row r="176" spans="2:9" outlineLevel="2" x14ac:dyDescent="0.2">
      <c r="B176" s="8"/>
      <c r="C176" s="8"/>
      <c r="D176" s="8"/>
      <c r="E176" s="8"/>
      <c r="F176" s="8"/>
      <c r="G176" s="8"/>
      <c r="H176" s="8"/>
      <c r="I176" s="7"/>
    </row>
    <row r="177" spans="2:9" outlineLevel="2" x14ac:dyDescent="0.2">
      <c r="B177" s="8" t="s">
        <v>855</v>
      </c>
      <c r="C177" s="8" t="s">
        <v>8</v>
      </c>
      <c r="D177" s="8" t="s">
        <v>7</v>
      </c>
      <c r="E177" s="8" t="s">
        <v>6</v>
      </c>
      <c r="F177" s="8" t="s">
        <v>683</v>
      </c>
      <c r="G177" s="8" t="s">
        <v>861</v>
      </c>
      <c r="H177" s="8" t="s">
        <v>11</v>
      </c>
      <c r="I177" s="7">
        <v>-22000</v>
      </c>
    </row>
    <row r="178" spans="2:9" outlineLevel="2" x14ac:dyDescent="0.2">
      <c r="B178" s="8" t="s">
        <v>855</v>
      </c>
      <c r="C178" s="8" t="s">
        <v>8</v>
      </c>
      <c r="D178" s="8" t="s">
        <v>7</v>
      </c>
      <c r="E178" s="8" t="s">
        <v>6</v>
      </c>
      <c r="F178" s="8" t="s">
        <v>683</v>
      </c>
      <c r="G178" s="8" t="s">
        <v>861</v>
      </c>
      <c r="H178" s="8" t="s">
        <v>221</v>
      </c>
      <c r="I178" s="7">
        <v>22000</v>
      </c>
    </row>
    <row r="179" spans="2:9" outlineLevel="2" x14ac:dyDescent="0.2">
      <c r="B179" s="8"/>
      <c r="C179" s="8"/>
      <c r="D179" s="8"/>
      <c r="E179" s="8"/>
      <c r="F179" s="8"/>
      <c r="G179" s="8"/>
      <c r="H179" s="8"/>
      <c r="I179" s="7"/>
    </row>
    <row r="180" spans="2:9" outlineLevel="2" x14ac:dyDescent="0.2">
      <c r="B180" s="8" t="s">
        <v>855</v>
      </c>
      <c r="C180" s="8" t="s">
        <v>8</v>
      </c>
      <c r="D180" s="8" t="s">
        <v>7</v>
      </c>
      <c r="E180" s="8" t="s">
        <v>6</v>
      </c>
      <c r="F180" s="8" t="s">
        <v>42</v>
      </c>
      <c r="G180" s="8" t="s">
        <v>860</v>
      </c>
      <c r="H180" s="8" t="s">
        <v>11</v>
      </c>
      <c r="I180" s="7">
        <v>-1013100</v>
      </c>
    </row>
    <row r="181" spans="2:9" outlineLevel="2" x14ac:dyDescent="0.2">
      <c r="B181" s="8" t="s">
        <v>855</v>
      </c>
      <c r="C181" s="8" t="s">
        <v>8</v>
      </c>
      <c r="D181" s="8" t="s">
        <v>7</v>
      </c>
      <c r="E181" s="8" t="s">
        <v>6</v>
      </c>
      <c r="F181" s="8" t="s">
        <v>42</v>
      </c>
      <c r="G181" s="8" t="s">
        <v>860</v>
      </c>
      <c r="H181" s="8" t="s">
        <v>43</v>
      </c>
      <c r="I181" s="7">
        <v>1013100</v>
      </c>
    </row>
    <row r="182" spans="2:9" outlineLevel="2" x14ac:dyDescent="0.2">
      <c r="B182" s="8"/>
      <c r="C182" s="8"/>
      <c r="D182" s="8"/>
      <c r="E182" s="8"/>
      <c r="F182" s="8"/>
      <c r="G182" s="8"/>
      <c r="H182" s="8"/>
      <c r="I182" s="7"/>
    </row>
    <row r="183" spans="2:9" outlineLevel="2" x14ac:dyDescent="0.2">
      <c r="B183" s="8" t="s">
        <v>855</v>
      </c>
      <c r="C183" s="8" t="s">
        <v>8</v>
      </c>
      <c r="D183" s="8" t="s">
        <v>7</v>
      </c>
      <c r="E183" s="8" t="s">
        <v>6</v>
      </c>
      <c r="F183" s="8" t="s">
        <v>42</v>
      </c>
      <c r="G183" s="8" t="s">
        <v>859</v>
      </c>
      <c r="H183" s="8" t="s">
        <v>11</v>
      </c>
      <c r="I183" s="7">
        <v>-22000</v>
      </c>
    </row>
    <row r="184" spans="2:9" outlineLevel="2" x14ac:dyDescent="0.2">
      <c r="B184" s="8" t="s">
        <v>855</v>
      </c>
      <c r="C184" s="8" t="s">
        <v>8</v>
      </c>
      <c r="D184" s="8" t="s">
        <v>7</v>
      </c>
      <c r="E184" s="8" t="s">
        <v>6</v>
      </c>
      <c r="F184" s="8" t="s">
        <v>42</v>
      </c>
      <c r="G184" s="8" t="s">
        <v>859</v>
      </c>
      <c r="H184" s="8" t="s">
        <v>221</v>
      </c>
      <c r="I184" s="7">
        <v>22000</v>
      </c>
    </row>
    <row r="185" spans="2:9" outlineLevel="2" x14ac:dyDescent="0.2">
      <c r="B185" s="8"/>
      <c r="C185" s="8"/>
      <c r="D185" s="8"/>
      <c r="E185" s="8"/>
      <c r="F185" s="8"/>
      <c r="G185" s="8"/>
      <c r="H185" s="8"/>
      <c r="I185" s="7"/>
    </row>
    <row r="186" spans="2:9" outlineLevel="2" x14ac:dyDescent="0.2">
      <c r="B186" s="8" t="s">
        <v>855</v>
      </c>
      <c r="C186" s="8" t="s">
        <v>8</v>
      </c>
      <c r="D186" s="8" t="s">
        <v>7</v>
      </c>
      <c r="E186" s="8" t="s">
        <v>6</v>
      </c>
      <c r="F186" s="8" t="s">
        <v>50</v>
      </c>
      <c r="G186" s="8" t="s">
        <v>858</v>
      </c>
      <c r="H186" s="8" t="s">
        <v>11</v>
      </c>
      <c r="I186" s="7">
        <v>-891000</v>
      </c>
    </row>
    <row r="187" spans="2:9" outlineLevel="2" x14ac:dyDescent="0.2">
      <c r="B187" s="8" t="s">
        <v>855</v>
      </c>
      <c r="C187" s="8" t="s">
        <v>8</v>
      </c>
      <c r="D187" s="8" t="s">
        <v>7</v>
      </c>
      <c r="E187" s="8" t="s">
        <v>6</v>
      </c>
      <c r="F187" s="8" t="s">
        <v>50</v>
      </c>
      <c r="G187" s="8" t="s">
        <v>858</v>
      </c>
      <c r="H187" s="8" t="s">
        <v>43</v>
      </c>
      <c r="I187" s="7">
        <v>891000</v>
      </c>
    </row>
    <row r="188" spans="2:9" outlineLevel="2" x14ac:dyDescent="0.2">
      <c r="B188" s="8"/>
      <c r="C188" s="8"/>
      <c r="D188" s="8"/>
      <c r="E188" s="8"/>
      <c r="F188" s="8"/>
      <c r="G188" s="8"/>
      <c r="H188" s="8"/>
      <c r="I188" s="7"/>
    </row>
    <row r="189" spans="2:9" outlineLevel="2" x14ac:dyDescent="0.2">
      <c r="B189" s="8" t="s">
        <v>855</v>
      </c>
      <c r="C189" s="8" t="s">
        <v>8</v>
      </c>
      <c r="D189" s="8" t="s">
        <v>7</v>
      </c>
      <c r="E189" s="8" t="s">
        <v>6</v>
      </c>
      <c r="F189" s="8" t="s">
        <v>50</v>
      </c>
      <c r="G189" s="8" t="s">
        <v>857</v>
      </c>
      <c r="H189" s="8" t="s">
        <v>11</v>
      </c>
      <c r="I189" s="7">
        <v>-22000</v>
      </c>
    </row>
    <row r="190" spans="2:9" outlineLevel="2" x14ac:dyDescent="0.2">
      <c r="B190" s="8" t="s">
        <v>855</v>
      </c>
      <c r="C190" s="8" t="s">
        <v>8</v>
      </c>
      <c r="D190" s="8" t="s">
        <v>7</v>
      </c>
      <c r="E190" s="8" t="s">
        <v>6</v>
      </c>
      <c r="F190" s="8" t="s">
        <v>50</v>
      </c>
      <c r="G190" s="8" t="s">
        <v>857</v>
      </c>
      <c r="H190" s="8" t="s">
        <v>221</v>
      </c>
      <c r="I190" s="7">
        <v>22000</v>
      </c>
    </row>
    <row r="191" spans="2:9" outlineLevel="2" x14ac:dyDescent="0.2">
      <c r="B191" s="8"/>
      <c r="C191" s="8"/>
      <c r="D191" s="8"/>
      <c r="E191" s="8"/>
      <c r="F191" s="8"/>
      <c r="G191" s="8"/>
      <c r="H191" s="8"/>
      <c r="I191" s="7"/>
    </row>
    <row r="192" spans="2:9" outlineLevel="2" x14ac:dyDescent="0.2">
      <c r="B192" s="8" t="s">
        <v>855</v>
      </c>
      <c r="C192" s="8" t="s">
        <v>8</v>
      </c>
      <c r="D192" s="8" t="s">
        <v>7</v>
      </c>
      <c r="E192" s="8" t="s">
        <v>6</v>
      </c>
      <c r="F192" s="8" t="s">
        <v>854</v>
      </c>
      <c r="G192" s="8" t="s">
        <v>856</v>
      </c>
      <c r="H192" s="8" t="s">
        <v>11</v>
      </c>
      <c r="I192" s="7">
        <v>-126710</v>
      </c>
    </row>
    <row r="193" spans="2:9" outlineLevel="2" x14ac:dyDescent="0.2">
      <c r="B193" s="8" t="s">
        <v>855</v>
      </c>
      <c r="C193" s="8" t="s">
        <v>8</v>
      </c>
      <c r="D193" s="8" t="s">
        <v>7</v>
      </c>
      <c r="E193" s="8" t="s">
        <v>6</v>
      </c>
      <c r="F193" s="8" t="s">
        <v>854</v>
      </c>
      <c r="G193" s="8" t="s">
        <v>856</v>
      </c>
      <c r="H193" s="8" t="s">
        <v>46</v>
      </c>
      <c r="I193" s="7">
        <v>126710</v>
      </c>
    </row>
    <row r="194" spans="2:9" outlineLevel="2" x14ac:dyDescent="0.2">
      <c r="B194" s="8"/>
      <c r="C194" s="8"/>
      <c r="D194" s="8"/>
      <c r="E194" s="8"/>
      <c r="F194" s="8"/>
      <c r="G194" s="8"/>
      <c r="H194" s="8"/>
      <c r="I194" s="7"/>
    </row>
    <row r="195" spans="2:9" outlineLevel="2" x14ac:dyDescent="0.2">
      <c r="B195" s="8" t="s">
        <v>855</v>
      </c>
      <c r="C195" s="8" t="s">
        <v>8</v>
      </c>
      <c r="D195" s="8" t="s">
        <v>7</v>
      </c>
      <c r="E195" s="8" t="s">
        <v>6</v>
      </c>
      <c r="F195" s="8" t="s">
        <v>854</v>
      </c>
      <c r="G195" s="8" t="s">
        <v>853</v>
      </c>
      <c r="H195" s="8" t="s">
        <v>11</v>
      </c>
      <c r="I195" s="7">
        <v>-22000</v>
      </c>
    </row>
    <row r="196" spans="2:9" outlineLevel="2" x14ac:dyDescent="0.2">
      <c r="B196" s="8" t="s">
        <v>855</v>
      </c>
      <c r="C196" s="8" t="s">
        <v>8</v>
      </c>
      <c r="D196" s="8" t="s">
        <v>7</v>
      </c>
      <c r="E196" s="8" t="s">
        <v>6</v>
      </c>
      <c r="F196" s="8" t="s">
        <v>854</v>
      </c>
      <c r="G196" s="8" t="s">
        <v>853</v>
      </c>
      <c r="H196" s="8" t="s">
        <v>221</v>
      </c>
      <c r="I196" s="7">
        <v>22000</v>
      </c>
    </row>
    <row r="197" spans="2:9" outlineLevel="2" x14ac:dyDescent="0.2">
      <c r="B197" s="8"/>
      <c r="C197" s="8"/>
      <c r="D197" s="8"/>
      <c r="E197" s="8"/>
      <c r="F197" s="8"/>
      <c r="G197" s="8"/>
      <c r="H197" s="8"/>
      <c r="I197" s="7"/>
    </row>
    <row r="198" spans="2:9" ht="25" outlineLevel="2" x14ac:dyDescent="0.2">
      <c r="B198" s="8" t="s">
        <v>847</v>
      </c>
      <c r="C198" s="8" t="s">
        <v>8</v>
      </c>
      <c r="D198" s="8" t="s">
        <v>7</v>
      </c>
      <c r="E198" s="8" t="s">
        <v>6</v>
      </c>
      <c r="F198" s="8" t="s">
        <v>64</v>
      </c>
      <c r="G198" s="8" t="s">
        <v>852</v>
      </c>
      <c r="H198" s="8" t="s">
        <v>11</v>
      </c>
      <c r="I198" s="7">
        <v>-431220000</v>
      </c>
    </row>
    <row r="199" spans="2:9" ht="25" outlineLevel="2" x14ac:dyDescent="0.2">
      <c r="B199" s="8" t="s">
        <v>847</v>
      </c>
      <c r="C199" s="8" t="s">
        <v>8</v>
      </c>
      <c r="D199" s="8" t="s">
        <v>7</v>
      </c>
      <c r="E199" s="8" t="s">
        <v>6</v>
      </c>
      <c r="F199" s="8" t="s">
        <v>64</v>
      </c>
      <c r="G199" s="8" t="s">
        <v>852</v>
      </c>
      <c r="H199" s="8" t="s">
        <v>55</v>
      </c>
      <c r="I199" s="7">
        <v>431220000</v>
      </c>
    </row>
    <row r="200" spans="2:9" outlineLevel="2" x14ac:dyDescent="0.2">
      <c r="B200" s="8"/>
      <c r="C200" s="8"/>
      <c r="D200" s="8"/>
      <c r="E200" s="8"/>
      <c r="F200" s="8"/>
      <c r="G200" s="8"/>
      <c r="H200" s="8"/>
      <c r="I200" s="7"/>
    </row>
    <row r="201" spans="2:9" ht="25" outlineLevel="2" x14ac:dyDescent="0.2">
      <c r="B201" s="8" t="s">
        <v>847</v>
      </c>
      <c r="C201" s="8" t="s">
        <v>8</v>
      </c>
      <c r="D201" s="8" t="s">
        <v>7</v>
      </c>
      <c r="E201" s="8" t="s">
        <v>6</v>
      </c>
      <c r="F201" s="8" t="s">
        <v>64</v>
      </c>
      <c r="G201" s="8" t="s">
        <v>851</v>
      </c>
      <c r="H201" s="8" t="s">
        <v>11</v>
      </c>
      <c r="I201" s="7">
        <v>-142303</v>
      </c>
    </row>
    <row r="202" spans="2:9" ht="25" outlineLevel="2" x14ac:dyDescent="0.2">
      <c r="B202" s="8" t="s">
        <v>847</v>
      </c>
      <c r="C202" s="8" t="s">
        <v>8</v>
      </c>
      <c r="D202" s="8" t="s">
        <v>7</v>
      </c>
      <c r="E202" s="8" t="s">
        <v>6</v>
      </c>
      <c r="F202" s="8" t="s">
        <v>64</v>
      </c>
      <c r="G202" s="8" t="s">
        <v>851</v>
      </c>
      <c r="H202" s="8" t="s">
        <v>221</v>
      </c>
      <c r="I202" s="7">
        <v>142303</v>
      </c>
    </row>
    <row r="203" spans="2:9" outlineLevel="2" x14ac:dyDescent="0.2">
      <c r="B203" s="8"/>
      <c r="C203" s="8"/>
      <c r="D203" s="8"/>
      <c r="E203" s="8"/>
      <c r="F203" s="8"/>
      <c r="G203" s="8"/>
      <c r="H203" s="8"/>
      <c r="I203" s="7"/>
    </row>
    <row r="204" spans="2:9" ht="25" outlineLevel="2" x14ac:dyDescent="0.2">
      <c r="B204" s="8" t="s">
        <v>847</v>
      </c>
      <c r="C204" s="8" t="s">
        <v>8</v>
      </c>
      <c r="D204" s="8" t="s">
        <v>7</v>
      </c>
      <c r="E204" s="8" t="s">
        <v>6</v>
      </c>
      <c r="F204" s="8" t="s">
        <v>70</v>
      </c>
      <c r="G204" s="8" t="s">
        <v>850</v>
      </c>
      <c r="H204" s="8" t="s">
        <v>11</v>
      </c>
      <c r="I204" s="7">
        <v>-349550000</v>
      </c>
    </row>
    <row r="205" spans="2:9" ht="25" outlineLevel="2" x14ac:dyDescent="0.2">
      <c r="B205" s="8" t="s">
        <v>847</v>
      </c>
      <c r="C205" s="8" t="s">
        <v>8</v>
      </c>
      <c r="D205" s="8" t="s">
        <v>7</v>
      </c>
      <c r="E205" s="8" t="s">
        <v>6</v>
      </c>
      <c r="F205" s="8" t="s">
        <v>70</v>
      </c>
      <c r="G205" s="8" t="s">
        <v>850</v>
      </c>
      <c r="H205" s="8" t="s">
        <v>55</v>
      </c>
      <c r="I205" s="7">
        <v>349550000</v>
      </c>
    </row>
    <row r="206" spans="2:9" outlineLevel="2" x14ac:dyDescent="0.2">
      <c r="B206" s="8"/>
      <c r="C206" s="8"/>
      <c r="D206" s="8"/>
      <c r="E206" s="8"/>
      <c r="F206" s="8"/>
      <c r="G206" s="8"/>
      <c r="H206" s="8"/>
      <c r="I206" s="7"/>
    </row>
    <row r="207" spans="2:9" ht="25" outlineLevel="2" x14ac:dyDescent="0.2">
      <c r="B207" s="8" t="s">
        <v>847</v>
      </c>
      <c r="C207" s="8" t="s">
        <v>8</v>
      </c>
      <c r="D207" s="8" t="s">
        <v>7</v>
      </c>
      <c r="E207" s="8" t="s">
        <v>6</v>
      </c>
      <c r="F207" s="8" t="s">
        <v>70</v>
      </c>
      <c r="G207" s="8" t="s">
        <v>849</v>
      </c>
      <c r="H207" s="8" t="s">
        <v>11</v>
      </c>
      <c r="I207" s="7">
        <v>-115352</v>
      </c>
    </row>
    <row r="208" spans="2:9" ht="25" outlineLevel="2" x14ac:dyDescent="0.2">
      <c r="B208" s="8" t="s">
        <v>847</v>
      </c>
      <c r="C208" s="8" t="s">
        <v>8</v>
      </c>
      <c r="D208" s="8" t="s">
        <v>7</v>
      </c>
      <c r="E208" s="8" t="s">
        <v>6</v>
      </c>
      <c r="F208" s="8" t="s">
        <v>70</v>
      </c>
      <c r="G208" s="8" t="s">
        <v>849</v>
      </c>
      <c r="H208" s="8" t="s">
        <v>221</v>
      </c>
      <c r="I208" s="7">
        <v>115352</v>
      </c>
    </row>
    <row r="209" spans="2:9" outlineLevel="2" x14ac:dyDescent="0.2">
      <c r="B209" s="8"/>
      <c r="C209" s="8"/>
      <c r="D209" s="8"/>
      <c r="E209" s="8"/>
      <c r="F209" s="8"/>
      <c r="G209" s="8"/>
      <c r="H209" s="8"/>
      <c r="I209" s="7"/>
    </row>
    <row r="210" spans="2:9" ht="25" outlineLevel="2" x14ac:dyDescent="0.2">
      <c r="B210" s="8" t="s">
        <v>847</v>
      </c>
      <c r="C210" s="8" t="s">
        <v>8</v>
      </c>
      <c r="D210" s="8" t="s">
        <v>7</v>
      </c>
      <c r="E210" s="8" t="s">
        <v>6</v>
      </c>
      <c r="F210" s="8" t="s">
        <v>57</v>
      </c>
      <c r="G210" s="8" t="s">
        <v>848</v>
      </c>
      <c r="H210" s="8" t="s">
        <v>11</v>
      </c>
      <c r="I210" s="7">
        <v>-501350000</v>
      </c>
    </row>
    <row r="211" spans="2:9" ht="25" outlineLevel="2" x14ac:dyDescent="0.2">
      <c r="B211" s="8" t="s">
        <v>847</v>
      </c>
      <c r="C211" s="8" t="s">
        <v>8</v>
      </c>
      <c r="D211" s="8" t="s">
        <v>7</v>
      </c>
      <c r="E211" s="8" t="s">
        <v>6</v>
      </c>
      <c r="F211" s="8" t="s">
        <v>57</v>
      </c>
      <c r="G211" s="8" t="s">
        <v>848</v>
      </c>
      <c r="H211" s="8" t="s">
        <v>55</v>
      </c>
      <c r="I211" s="7">
        <v>501350000</v>
      </c>
    </row>
    <row r="212" spans="2:9" outlineLevel="2" x14ac:dyDescent="0.2">
      <c r="B212" s="8"/>
      <c r="C212" s="8"/>
      <c r="D212" s="8"/>
      <c r="E212" s="8"/>
      <c r="F212" s="8"/>
      <c r="G212" s="8"/>
      <c r="H212" s="8"/>
      <c r="I212" s="7"/>
    </row>
    <row r="213" spans="2:9" ht="25" outlineLevel="2" x14ac:dyDescent="0.2">
      <c r="B213" s="8" t="s">
        <v>847</v>
      </c>
      <c r="C213" s="8" t="s">
        <v>8</v>
      </c>
      <c r="D213" s="8" t="s">
        <v>7</v>
      </c>
      <c r="E213" s="8" t="s">
        <v>6</v>
      </c>
      <c r="F213" s="8" t="s">
        <v>57</v>
      </c>
      <c r="G213" s="8" t="s">
        <v>846</v>
      </c>
      <c r="H213" s="8" t="s">
        <v>11</v>
      </c>
      <c r="I213" s="7">
        <v>-220594</v>
      </c>
    </row>
    <row r="214" spans="2:9" ht="25" outlineLevel="2" x14ac:dyDescent="0.2">
      <c r="B214" s="8" t="s">
        <v>847</v>
      </c>
      <c r="C214" s="8" t="s">
        <v>8</v>
      </c>
      <c r="D214" s="8" t="s">
        <v>7</v>
      </c>
      <c r="E214" s="8" t="s">
        <v>6</v>
      </c>
      <c r="F214" s="8" t="s">
        <v>57</v>
      </c>
      <c r="G214" s="8" t="s">
        <v>846</v>
      </c>
      <c r="H214" s="8" t="s">
        <v>221</v>
      </c>
      <c r="I214" s="7">
        <v>220594</v>
      </c>
    </row>
    <row r="215" spans="2:9" outlineLevel="2" x14ac:dyDescent="0.2">
      <c r="B215" s="8"/>
      <c r="C215" s="8"/>
      <c r="D215" s="8"/>
      <c r="E215" s="8"/>
      <c r="F215" s="8"/>
      <c r="G215" s="8"/>
      <c r="H215" s="8"/>
      <c r="I215" s="7"/>
    </row>
    <row r="216" spans="2:9" outlineLevel="2" x14ac:dyDescent="0.2">
      <c r="B216" s="8" t="s">
        <v>845</v>
      </c>
      <c r="C216" s="8" t="s">
        <v>8</v>
      </c>
      <c r="D216" s="8" t="s">
        <v>7</v>
      </c>
      <c r="E216" s="8" t="s">
        <v>6</v>
      </c>
      <c r="F216" s="8" t="s">
        <v>727</v>
      </c>
      <c r="G216" s="8" t="s">
        <v>844</v>
      </c>
      <c r="H216" s="8" t="s">
        <v>11</v>
      </c>
      <c r="I216" s="7">
        <v>0</v>
      </c>
    </row>
    <row r="217" spans="2:9" outlineLevel="2" x14ac:dyDescent="0.2">
      <c r="B217" s="8" t="s">
        <v>845</v>
      </c>
      <c r="C217" s="8" t="s">
        <v>8</v>
      </c>
      <c r="D217" s="8" t="s">
        <v>7</v>
      </c>
      <c r="E217" s="8" t="s">
        <v>6</v>
      </c>
      <c r="F217" s="8" t="s">
        <v>727</v>
      </c>
      <c r="G217" s="8" t="s">
        <v>844</v>
      </c>
      <c r="H217" s="8" t="s">
        <v>46</v>
      </c>
      <c r="I217" s="7">
        <v>1848738</v>
      </c>
    </row>
    <row r="218" spans="2:9" outlineLevel="2" x14ac:dyDescent="0.2">
      <c r="B218" s="8" t="s">
        <v>845</v>
      </c>
      <c r="C218" s="8" t="s">
        <v>8</v>
      </c>
      <c r="D218" s="8" t="s">
        <v>7</v>
      </c>
      <c r="E218" s="8" t="s">
        <v>6</v>
      </c>
      <c r="F218" s="8" t="s">
        <v>727</v>
      </c>
      <c r="G218" s="8" t="s">
        <v>844</v>
      </c>
      <c r="H218" s="8" t="s">
        <v>55</v>
      </c>
      <c r="I218" s="7">
        <v>-1848738</v>
      </c>
    </row>
    <row r="219" spans="2:9" outlineLevel="2" x14ac:dyDescent="0.2">
      <c r="B219" s="8"/>
      <c r="C219" s="8"/>
      <c r="D219" s="8"/>
      <c r="E219" s="8"/>
      <c r="F219" s="8"/>
      <c r="G219" s="8"/>
      <c r="H219" s="8"/>
      <c r="I219" s="7"/>
    </row>
    <row r="220" spans="2:9" outlineLevel="2" x14ac:dyDescent="0.2">
      <c r="B220" s="8" t="s">
        <v>842</v>
      </c>
      <c r="C220" s="8" t="s">
        <v>664</v>
      </c>
      <c r="D220" s="8" t="s">
        <v>7</v>
      </c>
      <c r="E220" s="8" t="s">
        <v>6</v>
      </c>
      <c r="F220" s="8" t="s">
        <v>17</v>
      </c>
      <c r="G220" s="8" t="s">
        <v>843</v>
      </c>
      <c r="H220" s="8" t="s">
        <v>11</v>
      </c>
      <c r="I220" s="7">
        <v>842500</v>
      </c>
    </row>
    <row r="221" spans="2:9" outlineLevel="2" x14ac:dyDescent="0.2">
      <c r="B221" s="8" t="s">
        <v>842</v>
      </c>
      <c r="C221" s="8" t="s">
        <v>664</v>
      </c>
      <c r="D221" s="8" t="s">
        <v>7</v>
      </c>
      <c r="E221" s="8" t="s">
        <v>6</v>
      </c>
      <c r="F221" s="8" t="s">
        <v>17</v>
      </c>
      <c r="G221" s="8" t="s">
        <v>841</v>
      </c>
      <c r="H221" s="8" t="s">
        <v>205</v>
      </c>
      <c r="I221" s="7">
        <v>-842500</v>
      </c>
    </row>
    <row r="222" spans="2:9" outlineLevel="2" x14ac:dyDescent="0.2">
      <c r="B222" s="8"/>
      <c r="C222" s="8"/>
      <c r="D222" s="8"/>
      <c r="E222" s="8"/>
      <c r="F222" s="8"/>
      <c r="G222" s="8"/>
      <c r="H222" s="8"/>
      <c r="I222" s="7"/>
    </row>
    <row r="223" spans="2:9" outlineLevel="2" x14ac:dyDescent="0.2">
      <c r="B223" s="8" t="s">
        <v>836</v>
      </c>
      <c r="C223" s="8" t="s">
        <v>8</v>
      </c>
      <c r="D223" s="8" t="s">
        <v>7</v>
      </c>
      <c r="E223" s="8" t="s">
        <v>6</v>
      </c>
      <c r="F223" s="8" t="s">
        <v>838</v>
      </c>
      <c r="G223" s="8" t="s">
        <v>840</v>
      </c>
      <c r="H223" s="8" t="s">
        <v>11</v>
      </c>
      <c r="I223" s="7">
        <v>-1187584</v>
      </c>
    </row>
    <row r="224" spans="2:9" outlineLevel="2" x14ac:dyDescent="0.2">
      <c r="B224" s="8" t="s">
        <v>836</v>
      </c>
      <c r="C224" s="8" t="s">
        <v>8</v>
      </c>
      <c r="D224" s="8" t="s">
        <v>7</v>
      </c>
      <c r="E224" s="8" t="s">
        <v>6</v>
      </c>
      <c r="F224" s="8" t="s">
        <v>838</v>
      </c>
      <c r="G224" s="8" t="s">
        <v>840</v>
      </c>
      <c r="H224" s="8" t="s">
        <v>29</v>
      </c>
      <c r="I224" s="7">
        <v>1187584</v>
      </c>
    </row>
    <row r="225" spans="2:9" outlineLevel="2" x14ac:dyDescent="0.2">
      <c r="B225" s="8"/>
      <c r="C225" s="8"/>
      <c r="D225" s="8"/>
      <c r="E225" s="8"/>
      <c r="F225" s="8"/>
      <c r="G225" s="8"/>
      <c r="H225" s="8"/>
      <c r="I225" s="7"/>
    </row>
    <row r="226" spans="2:9" outlineLevel="2" x14ac:dyDescent="0.2">
      <c r="B226" s="8" t="s">
        <v>836</v>
      </c>
      <c r="C226" s="8" t="s">
        <v>8</v>
      </c>
      <c r="D226" s="8" t="s">
        <v>7</v>
      </c>
      <c r="E226" s="8" t="s">
        <v>6</v>
      </c>
      <c r="F226" s="8" t="s">
        <v>838</v>
      </c>
      <c r="G226" s="8" t="s">
        <v>839</v>
      </c>
      <c r="H226" s="8" t="s">
        <v>11</v>
      </c>
      <c r="I226" s="7">
        <v>-2</v>
      </c>
    </row>
    <row r="227" spans="2:9" outlineLevel="2" x14ac:dyDescent="0.2">
      <c r="B227" s="8" t="s">
        <v>836</v>
      </c>
      <c r="C227" s="8" t="s">
        <v>8</v>
      </c>
      <c r="D227" s="8" t="s">
        <v>7</v>
      </c>
      <c r="E227" s="8" t="s">
        <v>6</v>
      </c>
      <c r="F227" s="8" t="s">
        <v>838</v>
      </c>
      <c r="G227" s="8" t="s">
        <v>839</v>
      </c>
      <c r="H227" s="8" t="s">
        <v>29</v>
      </c>
      <c r="I227" s="7">
        <v>2</v>
      </c>
    </row>
    <row r="228" spans="2:9" outlineLevel="2" x14ac:dyDescent="0.2">
      <c r="B228" s="8"/>
      <c r="C228" s="8"/>
      <c r="D228" s="8"/>
      <c r="E228" s="8"/>
      <c r="F228" s="8"/>
      <c r="G228" s="8"/>
      <c r="H228" s="8"/>
      <c r="I228" s="7"/>
    </row>
    <row r="229" spans="2:9" outlineLevel="2" x14ac:dyDescent="0.2">
      <c r="B229" s="8" t="s">
        <v>836</v>
      </c>
      <c r="C229" s="8" t="s">
        <v>8</v>
      </c>
      <c r="D229" s="8" t="s">
        <v>7</v>
      </c>
      <c r="E229" s="8" t="s">
        <v>6</v>
      </c>
      <c r="F229" s="8" t="s">
        <v>838</v>
      </c>
      <c r="G229" s="8" t="s">
        <v>837</v>
      </c>
      <c r="H229" s="8" t="s">
        <v>11</v>
      </c>
      <c r="I229" s="7">
        <v>-6000000</v>
      </c>
    </row>
    <row r="230" spans="2:9" outlineLevel="2" x14ac:dyDescent="0.2">
      <c r="B230" s="8" t="s">
        <v>836</v>
      </c>
      <c r="C230" s="8" t="s">
        <v>8</v>
      </c>
      <c r="D230" s="8" t="s">
        <v>7</v>
      </c>
      <c r="E230" s="8" t="s">
        <v>6</v>
      </c>
      <c r="F230" s="8" t="s">
        <v>838</v>
      </c>
      <c r="G230" s="8" t="s">
        <v>837</v>
      </c>
      <c r="H230" s="8" t="s">
        <v>26</v>
      </c>
      <c r="I230" s="7">
        <v>-6000000</v>
      </c>
    </row>
    <row r="231" spans="2:9" outlineLevel="2" x14ac:dyDescent="0.2">
      <c r="B231" s="8"/>
      <c r="C231" s="8"/>
      <c r="D231" s="8"/>
      <c r="E231" s="8"/>
      <c r="F231" s="8"/>
      <c r="G231" s="8"/>
      <c r="H231" s="8"/>
      <c r="I231" s="7"/>
    </row>
    <row r="232" spans="2:9" ht="25" outlineLevel="2" x14ac:dyDescent="0.2">
      <c r="B232" s="8" t="s">
        <v>836</v>
      </c>
      <c r="C232" s="8" t="s">
        <v>8</v>
      </c>
      <c r="D232" s="8" t="s">
        <v>7</v>
      </c>
      <c r="E232" s="8" t="s">
        <v>6</v>
      </c>
      <c r="F232" s="8" t="s">
        <v>727</v>
      </c>
      <c r="G232" s="8" t="s">
        <v>835</v>
      </c>
      <c r="H232" s="8" t="s">
        <v>11</v>
      </c>
      <c r="I232" s="7">
        <v>0</v>
      </c>
    </row>
    <row r="233" spans="2:9" ht="25" outlineLevel="2" x14ac:dyDescent="0.2">
      <c r="B233" s="8" t="s">
        <v>836</v>
      </c>
      <c r="C233" s="8" t="s">
        <v>8</v>
      </c>
      <c r="D233" s="8" t="s">
        <v>7</v>
      </c>
      <c r="E233" s="8" t="s">
        <v>6</v>
      </c>
      <c r="F233" s="8" t="s">
        <v>727</v>
      </c>
      <c r="G233" s="8" t="s">
        <v>835</v>
      </c>
      <c r="H233" s="8" t="s">
        <v>29</v>
      </c>
      <c r="I233" s="7">
        <v>398800</v>
      </c>
    </row>
    <row r="234" spans="2:9" ht="25" outlineLevel="2" x14ac:dyDescent="0.2">
      <c r="B234" s="8" t="s">
        <v>836</v>
      </c>
      <c r="C234" s="8" t="s">
        <v>8</v>
      </c>
      <c r="D234" s="8" t="s">
        <v>7</v>
      </c>
      <c r="E234" s="8" t="s">
        <v>6</v>
      </c>
      <c r="F234" s="8" t="s">
        <v>727</v>
      </c>
      <c r="G234" s="8" t="s">
        <v>835</v>
      </c>
      <c r="H234" s="8" t="s">
        <v>55</v>
      </c>
      <c r="I234" s="7">
        <v>-398800</v>
      </c>
    </row>
    <row r="235" spans="2:9" outlineLevel="2" x14ac:dyDescent="0.2">
      <c r="B235" s="8"/>
      <c r="C235" s="8"/>
      <c r="D235" s="8"/>
      <c r="E235" s="8"/>
      <c r="F235" s="8"/>
      <c r="G235" s="8"/>
      <c r="H235" s="8"/>
      <c r="I235" s="7"/>
    </row>
    <row r="236" spans="2:9" ht="37" outlineLevel="2" x14ac:dyDescent="0.2">
      <c r="B236" s="8" t="s">
        <v>730</v>
      </c>
      <c r="C236" s="8" t="s">
        <v>8</v>
      </c>
      <c r="D236" s="8" t="s">
        <v>7</v>
      </c>
      <c r="E236" s="8" t="s">
        <v>6</v>
      </c>
      <c r="F236" s="8" t="s">
        <v>322</v>
      </c>
      <c r="G236" s="8" t="s">
        <v>834</v>
      </c>
      <c r="H236" s="8" t="s">
        <v>11</v>
      </c>
      <c r="I236" s="7">
        <v>-1050001</v>
      </c>
    </row>
    <row r="237" spans="2:9" ht="37" outlineLevel="2" x14ac:dyDescent="0.2">
      <c r="B237" s="8" t="s">
        <v>730</v>
      </c>
      <c r="C237" s="8" t="s">
        <v>8</v>
      </c>
      <c r="D237" s="8" t="s">
        <v>7</v>
      </c>
      <c r="E237" s="8" t="s">
        <v>6</v>
      </c>
      <c r="F237" s="8" t="s">
        <v>322</v>
      </c>
      <c r="G237" s="8" t="s">
        <v>834</v>
      </c>
      <c r="H237" s="8" t="s">
        <v>58</v>
      </c>
      <c r="I237" s="7">
        <v>1050001</v>
      </c>
    </row>
    <row r="238" spans="2:9" outlineLevel="2" x14ac:dyDescent="0.2">
      <c r="B238" s="8"/>
      <c r="C238" s="8"/>
      <c r="D238" s="8"/>
      <c r="E238" s="8"/>
      <c r="F238" s="8"/>
      <c r="G238" s="8"/>
      <c r="H238" s="8"/>
      <c r="I238" s="7"/>
    </row>
    <row r="239" spans="2:9" ht="25" outlineLevel="2" x14ac:dyDescent="0.2">
      <c r="B239" s="8" t="s">
        <v>730</v>
      </c>
      <c r="C239" s="8" t="s">
        <v>8</v>
      </c>
      <c r="D239" s="8" t="s">
        <v>7</v>
      </c>
      <c r="E239" s="8" t="s">
        <v>6</v>
      </c>
      <c r="F239" s="8" t="s">
        <v>322</v>
      </c>
      <c r="G239" s="8" t="s">
        <v>833</v>
      </c>
      <c r="H239" s="8" t="s">
        <v>11</v>
      </c>
      <c r="I239" s="7">
        <v>-11000</v>
      </c>
    </row>
    <row r="240" spans="2:9" ht="25" outlineLevel="2" x14ac:dyDescent="0.2">
      <c r="B240" s="8" t="s">
        <v>730</v>
      </c>
      <c r="C240" s="8" t="s">
        <v>8</v>
      </c>
      <c r="D240" s="8" t="s">
        <v>7</v>
      </c>
      <c r="E240" s="8" t="s">
        <v>6</v>
      </c>
      <c r="F240" s="8" t="s">
        <v>322</v>
      </c>
      <c r="G240" s="8" t="s">
        <v>833</v>
      </c>
      <c r="H240" s="8" t="s">
        <v>221</v>
      </c>
      <c r="I240" s="7">
        <v>11000</v>
      </c>
    </row>
    <row r="241" spans="2:9" outlineLevel="2" x14ac:dyDescent="0.2">
      <c r="B241" s="8"/>
      <c r="C241" s="8"/>
      <c r="D241" s="8"/>
      <c r="E241" s="8"/>
      <c r="F241" s="8"/>
      <c r="G241" s="8"/>
      <c r="H241" s="8"/>
      <c r="I241" s="7"/>
    </row>
    <row r="242" spans="2:9" ht="25" outlineLevel="2" x14ac:dyDescent="0.2">
      <c r="B242" s="8" t="s">
        <v>730</v>
      </c>
      <c r="C242" s="8" t="s">
        <v>8</v>
      </c>
      <c r="D242" s="8" t="s">
        <v>7</v>
      </c>
      <c r="E242" s="8" t="s">
        <v>6</v>
      </c>
      <c r="F242" s="8" t="s">
        <v>831</v>
      </c>
      <c r="G242" s="8" t="s">
        <v>832</v>
      </c>
      <c r="H242" s="8" t="s">
        <v>11</v>
      </c>
      <c r="I242" s="7">
        <v>-4527360</v>
      </c>
    </row>
    <row r="243" spans="2:9" ht="25" outlineLevel="2" x14ac:dyDescent="0.2">
      <c r="B243" s="8" t="s">
        <v>730</v>
      </c>
      <c r="C243" s="8" t="s">
        <v>8</v>
      </c>
      <c r="D243" s="8" t="s">
        <v>7</v>
      </c>
      <c r="E243" s="8" t="s">
        <v>6</v>
      </c>
      <c r="F243" s="8" t="s">
        <v>831</v>
      </c>
      <c r="G243" s="8" t="s">
        <v>832</v>
      </c>
      <c r="H243" s="8" t="s">
        <v>61</v>
      </c>
      <c r="I243" s="7">
        <v>4527360</v>
      </c>
    </row>
    <row r="244" spans="2:9" outlineLevel="2" x14ac:dyDescent="0.2">
      <c r="B244" s="8"/>
      <c r="C244" s="8"/>
      <c r="D244" s="8"/>
      <c r="E244" s="8"/>
      <c r="F244" s="8"/>
      <c r="G244" s="8"/>
      <c r="H244" s="8"/>
      <c r="I244" s="7"/>
    </row>
    <row r="245" spans="2:9" ht="25" outlineLevel="2" x14ac:dyDescent="0.2">
      <c r="B245" s="8" t="s">
        <v>730</v>
      </c>
      <c r="C245" s="8" t="s">
        <v>8</v>
      </c>
      <c r="D245" s="8" t="s">
        <v>7</v>
      </c>
      <c r="E245" s="8" t="s">
        <v>6</v>
      </c>
      <c r="F245" s="8" t="s">
        <v>831</v>
      </c>
      <c r="G245" s="8" t="s">
        <v>830</v>
      </c>
      <c r="H245" s="8" t="s">
        <v>11</v>
      </c>
      <c r="I245" s="7">
        <v>-22000</v>
      </c>
    </row>
    <row r="246" spans="2:9" ht="25" outlineLevel="2" x14ac:dyDescent="0.2">
      <c r="B246" s="8" t="s">
        <v>730</v>
      </c>
      <c r="C246" s="8" t="s">
        <v>8</v>
      </c>
      <c r="D246" s="8" t="s">
        <v>7</v>
      </c>
      <c r="E246" s="8" t="s">
        <v>6</v>
      </c>
      <c r="F246" s="8" t="s">
        <v>831</v>
      </c>
      <c r="G246" s="8" t="s">
        <v>830</v>
      </c>
      <c r="H246" s="8" t="s">
        <v>221</v>
      </c>
      <c r="I246" s="7">
        <v>22000</v>
      </c>
    </row>
    <row r="247" spans="2:9" outlineLevel="2" x14ac:dyDescent="0.2">
      <c r="B247" s="8"/>
      <c r="C247" s="8"/>
      <c r="D247" s="8"/>
      <c r="E247" s="8"/>
      <c r="F247" s="8"/>
      <c r="G247" s="8"/>
      <c r="H247" s="8"/>
      <c r="I247" s="7"/>
    </row>
    <row r="248" spans="2:9" ht="25" outlineLevel="2" x14ac:dyDescent="0.2">
      <c r="B248" s="8" t="s">
        <v>730</v>
      </c>
      <c r="C248" s="8" t="s">
        <v>8</v>
      </c>
      <c r="D248" s="8" t="s">
        <v>7</v>
      </c>
      <c r="E248" s="8" t="s">
        <v>6</v>
      </c>
      <c r="F248" s="8" t="s">
        <v>580</v>
      </c>
      <c r="G248" s="8" t="s">
        <v>829</v>
      </c>
      <c r="H248" s="8" t="s">
        <v>11</v>
      </c>
      <c r="I248" s="7">
        <v>-23625000</v>
      </c>
    </row>
    <row r="249" spans="2:9" ht="25" outlineLevel="2" x14ac:dyDescent="0.2">
      <c r="B249" s="8" t="s">
        <v>730</v>
      </c>
      <c r="C249" s="8" t="s">
        <v>8</v>
      </c>
      <c r="D249" s="8" t="s">
        <v>7</v>
      </c>
      <c r="E249" s="8" t="s">
        <v>6</v>
      </c>
      <c r="F249" s="8" t="s">
        <v>580</v>
      </c>
      <c r="G249" s="8" t="s">
        <v>829</v>
      </c>
      <c r="H249" s="8" t="s">
        <v>626</v>
      </c>
      <c r="I249" s="7">
        <v>26250000</v>
      </c>
    </row>
    <row r="250" spans="2:9" ht="25" outlineLevel="2" x14ac:dyDescent="0.2">
      <c r="B250" s="8" t="s">
        <v>730</v>
      </c>
      <c r="C250" s="8" t="s">
        <v>8</v>
      </c>
      <c r="D250" s="8" t="s">
        <v>7</v>
      </c>
      <c r="E250" s="8" t="s">
        <v>6</v>
      </c>
      <c r="F250" s="8" t="s">
        <v>580</v>
      </c>
      <c r="G250" s="8" t="s">
        <v>828</v>
      </c>
      <c r="H250" s="8" t="s">
        <v>26</v>
      </c>
      <c r="I250" s="7">
        <v>2625000</v>
      </c>
    </row>
    <row r="251" spans="2:9" outlineLevel="2" x14ac:dyDescent="0.2">
      <c r="B251" s="8"/>
      <c r="C251" s="8"/>
      <c r="D251" s="8"/>
      <c r="E251" s="8"/>
      <c r="F251" s="8"/>
      <c r="G251" s="8"/>
      <c r="H251" s="8"/>
      <c r="I251" s="7"/>
    </row>
    <row r="252" spans="2:9" ht="25" outlineLevel="2" x14ac:dyDescent="0.2">
      <c r="B252" s="8" t="s">
        <v>730</v>
      </c>
      <c r="C252" s="8" t="s">
        <v>8</v>
      </c>
      <c r="D252" s="8" t="s">
        <v>7</v>
      </c>
      <c r="E252" s="8" t="s">
        <v>6</v>
      </c>
      <c r="F252" s="8" t="s">
        <v>580</v>
      </c>
      <c r="G252" s="8" t="s">
        <v>827</v>
      </c>
      <c r="H252" s="8" t="s">
        <v>11</v>
      </c>
      <c r="I252" s="7">
        <v>-11000</v>
      </c>
    </row>
    <row r="253" spans="2:9" ht="25" outlineLevel="2" x14ac:dyDescent="0.2">
      <c r="B253" s="8" t="s">
        <v>730</v>
      </c>
      <c r="C253" s="8" t="s">
        <v>8</v>
      </c>
      <c r="D253" s="8" t="s">
        <v>7</v>
      </c>
      <c r="E253" s="8" t="s">
        <v>6</v>
      </c>
      <c r="F253" s="8" t="s">
        <v>580</v>
      </c>
      <c r="G253" s="8" t="s">
        <v>827</v>
      </c>
      <c r="H253" s="8" t="s">
        <v>221</v>
      </c>
      <c r="I253" s="7">
        <v>11000</v>
      </c>
    </row>
    <row r="254" spans="2:9" outlineLevel="2" x14ac:dyDescent="0.2">
      <c r="B254" s="8"/>
      <c r="C254" s="8"/>
      <c r="D254" s="8"/>
      <c r="E254" s="8"/>
      <c r="F254" s="8"/>
      <c r="G254" s="8"/>
      <c r="H254" s="8"/>
      <c r="I254" s="7"/>
    </row>
    <row r="255" spans="2:9" ht="49" outlineLevel="2" x14ac:dyDescent="0.2">
      <c r="B255" s="8" t="s">
        <v>730</v>
      </c>
      <c r="C255" s="8" t="s">
        <v>8</v>
      </c>
      <c r="D255" s="8" t="s">
        <v>7</v>
      </c>
      <c r="E255" s="8" t="s">
        <v>6</v>
      </c>
      <c r="F255" s="8" t="s">
        <v>48</v>
      </c>
      <c r="G255" s="8" t="s">
        <v>826</v>
      </c>
      <c r="H255" s="8" t="s">
        <v>11</v>
      </c>
      <c r="I255" s="7">
        <v>-11603050</v>
      </c>
    </row>
    <row r="256" spans="2:9" outlineLevel="2" x14ac:dyDescent="0.2">
      <c r="B256" s="8" t="s">
        <v>730</v>
      </c>
      <c r="C256" s="8" t="s">
        <v>8</v>
      </c>
      <c r="D256" s="8" t="s">
        <v>7</v>
      </c>
      <c r="E256" s="8" t="s">
        <v>6</v>
      </c>
      <c r="F256" s="8" t="s">
        <v>48</v>
      </c>
      <c r="G256" s="8" t="s">
        <v>825</v>
      </c>
      <c r="H256" s="8" t="s">
        <v>33</v>
      </c>
      <c r="I256" s="7">
        <v>5672350</v>
      </c>
    </row>
    <row r="257" spans="2:9" ht="25" outlineLevel="2" x14ac:dyDescent="0.2">
      <c r="B257" s="8" t="s">
        <v>730</v>
      </c>
      <c r="C257" s="8" t="s">
        <v>8</v>
      </c>
      <c r="D257" s="8" t="s">
        <v>7</v>
      </c>
      <c r="E257" s="8" t="s">
        <v>6</v>
      </c>
      <c r="F257" s="8" t="s">
        <v>48</v>
      </c>
      <c r="G257" s="8" t="s">
        <v>824</v>
      </c>
      <c r="H257" s="8" t="s">
        <v>58</v>
      </c>
      <c r="I257" s="7">
        <v>2242800</v>
      </c>
    </row>
    <row r="258" spans="2:9" ht="25" outlineLevel="2" x14ac:dyDescent="0.2">
      <c r="B258" s="8" t="s">
        <v>730</v>
      </c>
      <c r="C258" s="8" t="s">
        <v>8</v>
      </c>
      <c r="D258" s="8" t="s">
        <v>7</v>
      </c>
      <c r="E258" s="8" t="s">
        <v>6</v>
      </c>
      <c r="F258" s="8" t="s">
        <v>48</v>
      </c>
      <c r="G258" s="8" t="s">
        <v>823</v>
      </c>
      <c r="H258" s="8" t="s">
        <v>29</v>
      </c>
      <c r="I258" s="7">
        <v>3687900</v>
      </c>
    </row>
    <row r="259" spans="2:9" outlineLevel="2" x14ac:dyDescent="0.2">
      <c r="B259" s="8"/>
      <c r="C259" s="8"/>
      <c r="D259" s="8"/>
      <c r="E259" s="8"/>
      <c r="F259" s="8"/>
      <c r="G259" s="8"/>
      <c r="H259" s="8"/>
      <c r="I259" s="7"/>
    </row>
    <row r="260" spans="2:9" outlineLevel="2" x14ac:dyDescent="0.2">
      <c r="B260" s="8" t="s">
        <v>730</v>
      </c>
      <c r="C260" s="8" t="s">
        <v>8</v>
      </c>
      <c r="D260" s="8" t="s">
        <v>7</v>
      </c>
      <c r="E260" s="8" t="s">
        <v>6</v>
      </c>
      <c r="F260" s="8" t="s">
        <v>48</v>
      </c>
      <c r="G260" s="8" t="s">
        <v>822</v>
      </c>
      <c r="H260" s="8" t="s">
        <v>11</v>
      </c>
      <c r="I260" s="7">
        <v>-22000</v>
      </c>
    </row>
    <row r="261" spans="2:9" outlineLevel="2" x14ac:dyDescent="0.2">
      <c r="B261" s="8" t="s">
        <v>730</v>
      </c>
      <c r="C261" s="8" t="s">
        <v>8</v>
      </c>
      <c r="D261" s="8" t="s">
        <v>7</v>
      </c>
      <c r="E261" s="8" t="s">
        <v>6</v>
      </c>
      <c r="F261" s="8" t="s">
        <v>48</v>
      </c>
      <c r="G261" s="8" t="s">
        <v>822</v>
      </c>
      <c r="H261" s="8" t="s">
        <v>221</v>
      </c>
      <c r="I261" s="7">
        <v>22000</v>
      </c>
    </row>
    <row r="262" spans="2:9" outlineLevel="2" x14ac:dyDescent="0.2">
      <c r="B262" s="8"/>
      <c r="C262" s="8"/>
      <c r="D262" s="8"/>
      <c r="E262" s="8"/>
      <c r="F262" s="8"/>
      <c r="G262" s="8"/>
      <c r="H262" s="8"/>
      <c r="I262" s="7"/>
    </row>
    <row r="263" spans="2:9" ht="25" outlineLevel="2" x14ac:dyDescent="0.2">
      <c r="B263" s="8" t="s">
        <v>730</v>
      </c>
      <c r="C263" s="8" t="s">
        <v>8</v>
      </c>
      <c r="D263" s="8" t="s">
        <v>7</v>
      </c>
      <c r="E263" s="8" t="s">
        <v>6</v>
      </c>
      <c r="F263" s="8" t="s">
        <v>453</v>
      </c>
      <c r="G263" s="8" t="s">
        <v>821</v>
      </c>
      <c r="H263" s="8" t="s">
        <v>11</v>
      </c>
      <c r="I263" s="7">
        <v>-5990000</v>
      </c>
    </row>
    <row r="264" spans="2:9" ht="25" outlineLevel="2" x14ac:dyDescent="0.2">
      <c r="B264" s="8" t="s">
        <v>730</v>
      </c>
      <c r="C264" s="8" t="s">
        <v>8</v>
      </c>
      <c r="D264" s="8" t="s">
        <v>7</v>
      </c>
      <c r="E264" s="8" t="s">
        <v>6</v>
      </c>
      <c r="F264" s="8" t="s">
        <v>453</v>
      </c>
      <c r="G264" s="8" t="s">
        <v>820</v>
      </c>
      <c r="H264" s="8" t="s">
        <v>61</v>
      </c>
      <c r="I264" s="7">
        <v>4190000</v>
      </c>
    </row>
    <row r="265" spans="2:9" ht="25" outlineLevel="2" x14ac:dyDescent="0.2">
      <c r="B265" s="8" t="s">
        <v>730</v>
      </c>
      <c r="C265" s="8" t="s">
        <v>8</v>
      </c>
      <c r="D265" s="8" t="s">
        <v>7</v>
      </c>
      <c r="E265" s="8" t="s">
        <v>6</v>
      </c>
      <c r="F265" s="8" t="s">
        <v>453</v>
      </c>
      <c r="G265" s="8" t="s">
        <v>819</v>
      </c>
      <c r="H265" s="8" t="s">
        <v>619</v>
      </c>
      <c r="I265" s="7">
        <v>1800000</v>
      </c>
    </row>
    <row r="266" spans="2:9" outlineLevel="2" x14ac:dyDescent="0.2">
      <c r="B266" s="8"/>
      <c r="C266" s="8"/>
      <c r="D266" s="8"/>
      <c r="E266" s="8"/>
      <c r="F266" s="8"/>
      <c r="G266" s="8"/>
      <c r="H266" s="8"/>
      <c r="I266" s="7"/>
    </row>
    <row r="267" spans="2:9" outlineLevel="2" x14ac:dyDescent="0.2">
      <c r="B267" s="8" t="s">
        <v>730</v>
      </c>
      <c r="C267" s="8" t="s">
        <v>8</v>
      </c>
      <c r="D267" s="8" t="s">
        <v>7</v>
      </c>
      <c r="E267" s="8" t="s">
        <v>6</v>
      </c>
      <c r="F267" s="8" t="s">
        <v>453</v>
      </c>
      <c r="G267" s="8" t="s">
        <v>818</v>
      </c>
      <c r="H267" s="8" t="s">
        <v>11</v>
      </c>
      <c r="I267" s="7">
        <v>-11000</v>
      </c>
    </row>
    <row r="268" spans="2:9" outlineLevel="2" x14ac:dyDescent="0.2">
      <c r="B268" s="8" t="s">
        <v>730</v>
      </c>
      <c r="C268" s="8" t="s">
        <v>8</v>
      </c>
      <c r="D268" s="8" t="s">
        <v>7</v>
      </c>
      <c r="E268" s="8" t="s">
        <v>6</v>
      </c>
      <c r="F268" s="8" t="s">
        <v>453</v>
      </c>
      <c r="G268" s="8" t="s">
        <v>818</v>
      </c>
      <c r="H268" s="8" t="s">
        <v>221</v>
      </c>
      <c r="I268" s="7">
        <v>11000</v>
      </c>
    </row>
    <row r="269" spans="2:9" outlineLevel="2" x14ac:dyDescent="0.2">
      <c r="B269" s="8"/>
      <c r="C269" s="8"/>
      <c r="D269" s="8"/>
      <c r="E269" s="8"/>
      <c r="F269" s="8"/>
      <c r="G269" s="8"/>
      <c r="H269" s="8"/>
      <c r="I269" s="7"/>
    </row>
    <row r="270" spans="2:9" ht="37" outlineLevel="2" x14ac:dyDescent="0.2">
      <c r="B270" s="8" t="s">
        <v>730</v>
      </c>
      <c r="C270" s="8" t="s">
        <v>8</v>
      </c>
      <c r="D270" s="8" t="s">
        <v>7</v>
      </c>
      <c r="E270" s="8" t="s">
        <v>6</v>
      </c>
      <c r="F270" s="8" t="s">
        <v>810</v>
      </c>
      <c r="G270" s="8" t="s">
        <v>817</v>
      </c>
      <c r="H270" s="8" t="s">
        <v>11</v>
      </c>
      <c r="I270" s="7">
        <v>-4218400</v>
      </c>
    </row>
    <row r="271" spans="2:9" outlineLevel="2" x14ac:dyDescent="0.2">
      <c r="B271" s="8" t="s">
        <v>730</v>
      </c>
      <c r="C271" s="8" t="s">
        <v>8</v>
      </c>
      <c r="D271" s="8" t="s">
        <v>7</v>
      </c>
      <c r="E271" s="8" t="s">
        <v>6</v>
      </c>
      <c r="F271" s="8" t="s">
        <v>810</v>
      </c>
      <c r="G271" s="8" t="s">
        <v>816</v>
      </c>
      <c r="H271" s="8" t="s">
        <v>43</v>
      </c>
      <c r="I271" s="7">
        <v>369400</v>
      </c>
    </row>
    <row r="272" spans="2:9" ht="25" outlineLevel="2" x14ac:dyDescent="0.2">
      <c r="B272" s="8" t="s">
        <v>730</v>
      </c>
      <c r="C272" s="8" t="s">
        <v>8</v>
      </c>
      <c r="D272" s="8" t="s">
        <v>7</v>
      </c>
      <c r="E272" s="8" t="s">
        <v>6</v>
      </c>
      <c r="F272" s="8" t="s">
        <v>810</v>
      </c>
      <c r="G272" s="8" t="s">
        <v>815</v>
      </c>
      <c r="H272" s="8" t="s">
        <v>33</v>
      </c>
      <c r="I272" s="7">
        <v>3849000</v>
      </c>
    </row>
    <row r="273" spans="2:9" outlineLevel="2" x14ac:dyDescent="0.2">
      <c r="B273" s="8"/>
      <c r="C273" s="8"/>
      <c r="D273" s="8"/>
      <c r="E273" s="8"/>
      <c r="F273" s="8"/>
      <c r="G273" s="8"/>
      <c r="H273" s="8"/>
      <c r="I273" s="7"/>
    </row>
    <row r="274" spans="2:9" ht="37" outlineLevel="2" x14ac:dyDescent="0.2">
      <c r="B274" s="8" t="s">
        <v>730</v>
      </c>
      <c r="C274" s="8" t="s">
        <v>8</v>
      </c>
      <c r="D274" s="8" t="s">
        <v>7</v>
      </c>
      <c r="E274" s="8" t="s">
        <v>6</v>
      </c>
      <c r="F274" s="8" t="s">
        <v>52</v>
      </c>
      <c r="G274" s="8" t="s">
        <v>814</v>
      </c>
      <c r="H274" s="8" t="s">
        <v>11</v>
      </c>
      <c r="I274" s="7">
        <v>-6178594</v>
      </c>
    </row>
    <row r="275" spans="2:9" outlineLevel="2" x14ac:dyDescent="0.2">
      <c r="B275" s="8" t="s">
        <v>730</v>
      </c>
      <c r="C275" s="8" t="s">
        <v>8</v>
      </c>
      <c r="D275" s="8" t="s">
        <v>7</v>
      </c>
      <c r="E275" s="8" t="s">
        <v>6</v>
      </c>
      <c r="F275" s="8" t="s">
        <v>52</v>
      </c>
      <c r="G275" s="8" t="s">
        <v>813</v>
      </c>
      <c r="H275" s="8" t="s">
        <v>29</v>
      </c>
      <c r="I275" s="7">
        <v>872050</v>
      </c>
    </row>
    <row r="276" spans="2:9" outlineLevel="2" x14ac:dyDescent="0.2">
      <c r="B276" s="8" t="s">
        <v>730</v>
      </c>
      <c r="C276" s="8" t="s">
        <v>8</v>
      </c>
      <c r="D276" s="8" t="s">
        <v>7</v>
      </c>
      <c r="E276" s="8" t="s">
        <v>6</v>
      </c>
      <c r="F276" s="8" t="s">
        <v>52</v>
      </c>
      <c r="G276" s="8" t="s">
        <v>812</v>
      </c>
      <c r="H276" s="8" t="s">
        <v>43</v>
      </c>
      <c r="I276" s="7">
        <v>253170</v>
      </c>
    </row>
    <row r="277" spans="2:9" outlineLevel="2" x14ac:dyDescent="0.2">
      <c r="B277" s="8" t="s">
        <v>730</v>
      </c>
      <c r="C277" s="8" t="s">
        <v>8</v>
      </c>
      <c r="D277" s="8" t="s">
        <v>7</v>
      </c>
      <c r="E277" s="8" t="s">
        <v>6</v>
      </c>
      <c r="F277" s="8" t="s">
        <v>52</v>
      </c>
      <c r="G277" s="8" t="s">
        <v>811</v>
      </c>
      <c r="H277" s="8" t="s">
        <v>29</v>
      </c>
      <c r="I277" s="7">
        <v>5053374</v>
      </c>
    </row>
    <row r="278" spans="2:9" outlineLevel="2" x14ac:dyDescent="0.2">
      <c r="B278" s="8"/>
      <c r="C278" s="8"/>
      <c r="D278" s="8"/>
      <c r="E278" s="8"/>
      <c r="F278" s="8"/>
      <c r="G278" s="8"/>
      <c r="H278" s="8"/>
      <c r="I278" s="7"/>
    </row>
    <row r="279" spans="2:9" outlineLevel="2" x14ac:dyDescent="0.2">
      <c r="B279" s="8" t="s">
        <v>730</v>
      </c>
      <c r="C279" s="8" t="s">
        <v>8</v>
      </c>
      <c r="D279" s="8" t="s">
        <v>7</v>
      </c>
      <c r="E279" s="8" t="s">
        <v>6</v>
      </c>
      <c r="F279" s="8" t="s">
        <v>810</v>
      </c>
      <c r="G279" s="8" t="s">
        <v>809</v>
      </c>
      <c r="H279" s="8" t="s">
        <v>11</v>
      </c>
      <c r="I279" s="7">
        <v>-11000</v>
      </c>
    </row>
    <row r="280" spans="2:9" outlineLevel="2" x14ac:dyDescent="0.2">
      <c r="B280" s="8" t="s">
        <v>730</v>
      </c>
      <c r="C280" s="8" t="s">
        <v>8</v>
      </c>
      <c r="D280" s="8" t="s">
        <v>7</v>
      </c>
      <c r="E280" s="8" t="s">
        <v>6</v>
      </c>
      <c r="F280" s="8" t="s">
        <v>810</v>
      </c>
      <c r="G280" s="8" t="s">
        <v>809</v>
      </c>
      <c r="H280" s="8" t="s">
        <v>221</v>
      </c>
      <c r="I280" s="7">
        <v>11000</v>
      </c>
    </row>
    <row r="281" spans="2:9" outlineLevel="2" x14ac:dyDescent="0.2">
      <c r="B281" s="8"/>
      <c r="C281" s="8"/>
      <c r="D281" s="8"/>
      <c r="E281" s="8"/>
      <c r="F281" s="8"/>
      <c r="G281" s="8"/>
      <c r="H281" s="8"/>
      <c r="I281" s="7"/>
    </row>
    <row r="282" spans="2:9" outlineLevel="2" x14ac:dyDescent="0.2">
      <c r="B282" s="8" t="s">
        <v>730</v>
      </c>
      <c r="C282" s="8" t="s">
        <v>8</v>
      </c>
      <c r="D282" s="8" t="s">
        <v>7</v>
      </c>
      <c r="E282" s="8" t="s">
        <v>6</v>
      </c>
      <c r="F282" s="8" t="s">
        <v>52</v>
      </c>
      <c r="G282" s="8" t="s">
        <v>808</v>
      </c>
      <c r="H282" s="8" t="s">
        <v>11</v>
      </c>
      <c r="I282" s="7">
        <v>-11000</v>
      </c>
    </row>
    <row r="283" spans="2:9" outlineLevel="2" x14ac:dyDescent="0.2">
      <c r="B283" s="8" t="s">
        <v>730</v>
      </c>
      <c r="C283" s="8" t="s">
        <v>8</v>
      </c>
      <c r="D283" s="8" t="s">
        <v>7</v>
      </c>
      <c r="E283" s="8" t="s">
        <v>6</v>
      </c>
      <c r="F283" s="8" t="s">
        <v>52</v>
      </c>
      <c r="G283" s="8" t="s">
        <v>808</v>
      </c>
      <c r="H283" s="8" t="s">
        <v>221</v>
      </c>
      <c r="I283" s="7">
        <v>11000</v>
      </c>
    </row>
    <row r="284" spans="2:9" outlineLevel="2" x14ac:dyDescent="0.2">
      <c r="B284" s="8"/>
      <c r="C284" s="8"/>
      <c r="D284" s="8"/>
      <c r="E284" s="8"/>
      <c r="F284" s="8"/>
      <c r="G284" s="8"/>
      <c r="H284" s="8"/>
      <c r="I284" s="7"/>
    </row>
    <row r="285" spans="2:9" ht="25" outlineLevel="2" x14ac:dyDescent="0.2">
      <c r="B285" s="8" t="s">
        <v>730</v>
      </c>
      <c r="C285" s="8" t="s">
        <v>8</v>
      </c>
      <c r="D285" s="8" t="s">
        <v>7</v>
      </c>
      <c r="E285" s="8" t="s">
        <v>6</v>
      </c>
      <c r="F285" s="8" t="s">
        <v>805</v>
      </c>
      <c r="G285" s="8" t="s">
        <v>807</v>
      </c>
      <c r="H285" s="8" t="s">
        <v>11</v>
      </c>
      <c r="I285" s="7">
        <v>-365000</v>
      </c>
    </row>
    <row r="286" spans="2:9" ht="25" outlineLevel="2" x14ac:dyDescent="0.2">
      <c r="B286" s="8" t="s">
        <v>730</v>
      </c>
      <c r="C286" s="8" t="s">
        <v>8</v>
      </c>
      <c r="D286" s="8" t="s">
        <v>7</v>
      </c>
      <c r="E286" s="8" t="s">
        <v>6</v>
      </c>
      <c r="F286" s="8" t="s">
        <v>805</v>
      </c>
      <c r="G286" s="8" t="s">
        <v>807</v>
      </c>
      <c r="H286" s="8" t="s">
        <v>29</v>
      </c>
      <c r="I286" s="7">
        <v>365000</v>
      </c>
    </row>
    <row r="287" spans="2:9" outlineLevel="2" x14ac:dyDescent="0.2">
      <c r="B287" s="8"/>
      <c r="C287" s="8"/>
      <c r="D287" s="8"/>
      <c r="E287" s="8"/>
      <c r="F287" s="8"/>
      <c r="G287" s="8"/>
      <c r="H287" s="8"/>
      <c r="I287" s="7"/>
    </row>
    <row r="288" spans="2:9" outlineLevel="2" x14ac:dyDescent="0.2">
      <c r="B288" s="8" t="s">
        <v>730</v>
      </c>
      <c r="C288" s="8" t="s">
        <v>8</v>
      </c>
      <c r="D288" s="8" t="s">
        <v>7</v>
      </c>
      <c r="E288" s="8" t="s">
        <v>6</v>
      </c>
      <c r="F288" s="8" t="s">
        <v>805</v>
      </c>
      <c r="G288" s="8" t="s">
        <v>806</v>
      </c>
      <c r="H288" s="8" t="s">
        <v>11</v>
      </c>
      <c r="I288" s="7">
        <v>-3037000</v>
      </c>
    </row>
    <row r="289" spans="2:9" ht="25" outlineLevel="2" x14ac:dyDescent="0.2">
      <c r="B289" s="8" t="s">
        <v>730</v>
      </c>
      <c r="C289" s="8" t="s">
        <v>8</v>
      </c>
      <c r="D289" s="8" t="s">
        <v>7</v>
      </c>
      <c r="E289" s="8" t="s">
        <v>6</v>
      </c>
      <c r="F289" s="8" t="s">
        <v>805</v>
      </c>
      <c r="G289" s="8" t="s">
        <v>806</v>
      </c>
      <c r="H289" s="8" t="s">
        <v>58</v>
      </c>
      <c r="I289" s="7">
        <v>3037000</v>
      </c>
    </row>
    <row r="290" spans="2:9" outlineLevel="2" x14ac:dyDescent="0.2">
      <c r="B290" s="8"/>
      <c r="C290" s="8"/>
      <c r="D290" s="8"/>
      <c r="E290" s="8"/>
      <c r="F290" s="8"/>
      <c r="G290" s="8"/>
      <c r="H290" s="8"/>
      <c r="I290" s="7"/>
    </row>
    <row r="291" spans="2:9" ht="25" outlineLevel="2" x14ac:dyDescent="0.2">
      <c r="B291" s="8" t="s">
        <v>730</v>
      </c>
      <c r="C291" s="8" t="s">
        <v>8</v>
      </c>
      <c r="D291" s="8" t="s">
        <v>7</v>
      </c>
      <c r="E291" s="8" t="s">
        <v>6</v>
      </c>
      <c r="F291" s="8" t="s">
        <v>805</v>
      </c>
      <c r="G291" s="8" t="s">
        <v>804</v>
      </c>
      <c r="H291" s="8" t="s">
        <v>11</v>
      </c>
      <c r="I291" s="7">
        <v>-11000</v>
      </c>
    </row>
    <row r="292" spans="2:9" ht="25" outlineLevel="2" x14ac:dyDescent="0.2">
      <c r="B292" s="8" t="s">
        <v>730</v>
      </c>
      <c r="C292" s="8" t="s">
        <v>8</v>
      </c>
      <c r="D292" s="8" t="s">
        <v>7</v>
      </c>
      <c r="E292" s="8" t="s">
        <v>6</v>
      </c>
      <c r="F292" s="8" t="s">
        <v>805</v>
      </c>
      <c r="G292" s="8" t="s">
        <v>804</v>
      </c>
      <c r="H292" s="8" t="s">
        <v>221</v>
      </c>
      <c r="I292" s="7">
        <v>11000</v>
      </c>
    </row>
    <row r="293" spans="2:9" outlineLevel="2" x14ac:dyDescent="0.2">
      <c r="B293" s="8"/>
      <c r="C293" s="8"/>
      <c r="D293" s="8"/>
      <c r="E293" s="8"/>
      <c r="F293" s="8"/>
      <c r="G293" s="8"/>
      <c r="H293" s="8"/>
      <c r="I293" s="7"/>
    </row>
    <row r="294" spans="2:9" outlineLevel="2" x14ac:dyDescent="0.2">
      <c r="B294" s="8" t="s">
        <v>730</v>
      </c>
      <c r="C294" s="8" t="s">
        <v>8</v>
      </c>
      <c r="D294" s="8" t="s">
        <v>7</v>
      </c>
      <c r="E294" s="8" t="s">
        <v>6</v>
      </c>
      <c r="F294" s="8" t="s">
        <v>802</v>
      </c>
      <c r="G294" s="8" t="s">
        <v>803</v>
      </c>
      <c r="H294" s="8" t="s">
        <v>11</v>
      </c>
      <c r="I294" s="7">
        <v>-826350</v>
      </c>
    </row>
    <row r="295" spans="2:9" ht="25" outlineLevel="2" x14ac:dyDescent="0.2">
      <c r="B295" s="8" t="s">
        <v>730</v>
      </c>
      <c r="C295" s="8" t="s">
        <v>8</v>
      </c>
      <c r="D295" s="8" t="s">
        <v>7</v>
      </c>
      <c r="E295" s="8" t="s">
        <v>6</v>
      </c>
      <c r="F295" s="8" t="s">
        <v>802</v>
      </c>
      <c r="G295" s="8" t="s">
        <v>803</v>
      </c>
      <c r="H295" s="8" t="s">
        <v>58</v>
      </c>
      <c r="I295" s="7">
        <v>826350</v>
      </c>
    </row>
    <row r="296" spans="2:9" outlineLevel="2" x14ac:dyDescent="0.2">
      <c r="B296" s="8"/>
      <c r="C296" s="8"/>
      <c r="D296" s="8"/>
      <c r="E296" s="8"/>
      <c r="F296" s="8"/>
      <c r="G296" s="8"/>
      <c r="H296" s="8"/>
      <c r="I296" s="7"/>
    </row>
    <row r="297" spans="2:9" outlineLevel="2" x14ac:dyDescent="0.2">
      <c r="B297" s="8" t="s">
        <v>730</v>
      </c>
      <c r="C297" s="8" t="s">
        <v>8</v>
      </c>
      <c r="D297" s="8" t="s">
        <v>7</v>
      </c>
      <c r="E297" s="8" t="s">
        <v>6</v>
      </c>
      <c r="F297" s="8" t="s">
        <v>802</v>
      </c>
      <c r="G297" s="8" t="s">
        <v>801</v>
      </c>
      <c r="H297" s="8" t="s">
        <v>11</v>
      </c>
      <c r="I297" s="7">
        <v>-22000</v>
      </c>
    </row>
    <row r="298" spans="2:9" outlineLevel="2" x14ac:dyDescent="0.2">
      <c r="B298" s="8" t="s">
        <v>730</v>
      </c>
      <c r="C298" s="8" t="s">
        <v>8</v>
      </c>
      <c r="D298" s="8" t="s">
        <v>7</v>
      </c>
      <c r="E298" s="8" t="s">
        <v>6</v>
      </c>
      <c r="F298" s="8" t="s">
        <v>802</v>
      </c>
      <c r="G298" s="8" t="s">
        <v>801</v>
      </c>
      <c r="H298" s="8" t="s">
        <v>221</v>
      </c>
      <c r="I298" s="7">
        <v>22000</v>
      </c>
    </row>
    <row r="299" spans="2:9" outlineLevel="2" x14ac:dyDescent="0.2">
      <c r="B299" s="8"/>
      <c r="C299" s="8"/>
      <c r="D299" s="8"/>
      <c r="E299" s="8"/>
      <c r="F299" s="8"/>
      <c r="G299" s="8"/>
      <c r="H299" s="8"/>
      <c r="I299" s="7"/>
    </row>
    <row r="300" spans="2:9" ht="25" outlineLevel="2" x14ac:dyDescent="0.2">
      <c r="B300" s="8" t="s">
        <v>730</v>
      </c>
      <c r="C300" s="8" t="s">
        <v>8</v>
      </c>
      <c r="D300" s="8" t="s">
        <v>7</v>
      </c>
      <c r="E300" s="8" t="s">
        <v>6</v>
      </c>
      <c r="F300" s="8" t="s">
        <v>531</v>
      </c>
      <c r="G300" s="8" t="s">
        <v>800</v>
      </c>
      <c r="H300" s="8" t="s">
        <v>11</v>
      </c>
      <c r="I300" s="7">
        <v>-15189000</v>
      </c>
    </row>
    <row r="301" spans="2:9" ht="25" outlineLevel="2" x14ac:dyDescent="0.2">
      <c r="B301" s="8" t="s">
        <v>730</v>
      </c>
      <c r="C301" s="8" t="s">
        <v>8</v>
      </c>
      <c r="D301" s="8" t="s">
        <v>7</v>
      </c>
      <c r="E301" s="8" t="s">
        <v>6</v>
      </c>
      <c r="F301" s="8" t="s">
        <v>531</v>
      </c>
      <c r="G301" s="8" t="s">
        <v>800</v>
      </c>
      <c r="H301" s="8" t="s">
        <v>61</v>
      </c>
      <c r="I301" s="7">
        <v>15189000</v>
      </c>
    </row>
    <row r="302" spans="2:9" outlineLevel="2" x14ac:dyDescent="0.2">
      <c r="B302" s="8"/>
      <c r="C302" s="8"/>
      <c r="D302" s="8"/>
      <c r="E302" s="8"/>
      <c r="F302" s="8"/>
      <c r="G302" s="8"/>
      <c r="H302" s="8"/>
      <c r="I302" s="7"/>
    </row>
    <row r="303" spans="2:9" ht="25" outlineLevel="2" x14ac:dyDescent="0.2">
      <c r="B303" s="8" t="s">
        <v>730</v>
      </c>
      <c r="C303" s="8" t="s">
        <v>8</v>
      </c>
      <c r="D303" s="8" t="s">
        <v>7</v>
      </c>
      <c r="E303" s="8" t="s">
        <v>6</v>
      </c>
      <c r="F303" s="8" t="s">
        <v>531</v>
      </c>
      <c r="G303" s="8" t="s">
        <v>799</v>
      </c>
      <c r="H303" s="8" t="s">
        <v>11</v>
      </c>
      <c r="I303" s="7">
        <v>-11000</v>
      </c>
    </row>
    <row r="304" spans="2:9" ht="25" outlineLevel="2" x14ac:dyDescent="0.2">
      <c r="B304" s="8" t="s">
        <v>730</v>
      </c>
      <c r="C304" s="8" t="s">
        <v>8</v>
      </c>
      <c r="D304" s="8" t="s">
        <v>7</v>
      </c>
      <c r="E304" s="8" t="s">
        <v>6</v>
      </c>
      <c r="F304" s="8" t="s">
        <v>531</v>
      </c>
      <c r="G304" s="8" t="s">
        <v>799</v>
      </c>
      <c r="H304" s="8" t="s">
        <v>221</v>
      </c>
      <c r="I304" s="7">
        <v>11000</v>
      </c>
    </row>
    <row r="305" spans="2:9" outlineLevel="2" x14ac:dyDescent="0.2">
      <c r="B305" s="8"/>
      <c r="C305" s="8"/>
      <c r="D305" s="8"/>
      <c r="E305" s="8"/>
      <c r="F305" s="8"/>
      <c r="G305" s="8"/>
      <c r="H305" s="8"/>
      <c r="I305" s="7"/>
    </row>
    <row r="306" spans="2:9" ht="25" outlineLevel="2" x14ac:dyDescent="0.2">
      <c r="B306" s="8" t="s">
        <v>730</v>
      </c>
      <c r="C306" s="8" t="s">
        <v>8</v>
      </c>
      <c r="D306" s="8" t="s">
        <v>7</v>
      </c>
      <c r="E306" s="8" t="s">
        <v>6</v>
      </c>
      <c r="F306" s="8" t="s">
        <v>399</v>
      </c>
      <c r="G306" s="8" t="s">
        <v>798</v>
      </c>
      <c r="H306" s="8" t="s">
        <v>11</v>
      </c>
      <c r="I306" s="7">
        <v>-10074601</v>
      </c>
    </row>
    <row r="307" spans="2:9" ht="25" outlineLevel="2" x14ac:dyDescent="0.2">
      <c r="B307" s="8" t="s">
        <v>730</v>
      </c>
      <c r="C307" s="8" t="s">
        <v>8</v>
      </c>
      <c r="D307" s="8" t="s">
        <v>7</v>
      </c>
      <c r="E307" s="8" t="s">
        <v>6</v>
      </c>
      <c r="F307" s="8" t="s">
        <v>399</v>
      </c>
      <c r="G307" s="8" t="s">
        <v>798</v>
      </c>
      <c r="H307" s="8" t="s">
        <v>61</v>
      </c>
      <c r="I307" s="7">
        <v>10074601</v>
      </c>
    </row>
    <row r="308" spans="2:9" outlineLevel="2" x14ac:dyDescent="0.2">
      <c r="B308" s="8"/>
      <c r="C308" s="8"/>
      <c r="D308" s="8"/>
      <c r="E308" s="8"/>
      <c r="F308" s="8"/>
      <c r="G308" s="8"/>
      <c r="H308" s="8"/>
      <c r="I308" s="7"/>
    </row>
    <row r="309" spans="2:9" ht="25" outlineLevel="2" x14ac:dyDescent="0.2">
      <c r="B309" s="8" t="s">
        <v>730</v>
      </c>
      <c r="C309" s="8" t="s">
        <v>8</v>
      </c>
      <c r="D309" s="8" t="s">
        <v>7</v>
      </c>
      <c r="E309" s="8" t="s">
        <v>6</v>
      </c>
      <c r="F309" s="8" t="s">
        <v>399</v>
      </c>
      <c r="G309" s="8" t="s">
        <v>797</v>
      </c>
      <c r="H309" s="8" t="s">
        <v>11</v>
      </c>
      <c r="I309" s="7">
        <v>-11000</v>
      </c>
    </row>
    <row r="310" spans="2:9" ht="25" outlineLevel="2" x14ac:dyDescent="0.2">
      <c r="B310" s="8" t="s">
        <v>730</v>
      </c>
      <c r="C310" s="8" t="s">
        <v>8</v>
      </c>
      <c r="D310" s="8" t="s">
        <v>7</v>
      </c>
      <c r="E310" s="8" t="s">
        <v>6</v>
      </c>
      <c r="F310" s="8" t="s">
        <v>399</v>
      </c>
      <c r="G310" s="8" t="s">
        <v>797</v>
      </c>
      <c r="H310" s="8" t="s">
        <v>221</v>
      </c>
      <c r="I310" s="7">
        <v>11000</v>
      </c>
    </row>
    <row r="311" spans="2:9" outlineLevel="2" x14ac:dyDescent="0.2">
      <c r="B311" s="8"/>
      <c r="C311" s="8"/>
      <c r="D311" s="8"/>
      <c r="E311" s="8"/>
      <c r="F311" s="8"/>
      <c r="G311" s="8"/>
      <c r="H311" s="8"/>
      <c r="I311" s="7"/>
    </row>
    <row r="312" spans="2:9" ht="49" outlineLevel="2" x14ac:dyDescent="0.2">
      <c r="B312" s="8" t="s">
        <v>730</v>
      </c>
      <c r="C312" s="8" t="s">
        <v>8</v>
      </c>
      <c r="D312" s="8" t="s">
        <v>7</v>
      </c>
      <c r="E312" s="8" t="s">
        <v>6</v>
      </c>
      <c r="F312" s="8" t="s">
        <v>25</v>
      </c>
      <c r="G312" s="8" t="s">
        <v>796</v>
      </c>
      <c r="H312" s="8" t="s">
        <v>11</v>
      </c>
      <c r="I312" s="7">
        <v>-14980000</v>
      </c>
    </row>
    <row r="313" spans="2:9" ht="37" outlineLevel="2" x14ac:dyDescent="0.2">
      <c r="B313" s="8" t="s">
        <v>730</v>
      </c>
      <c r="C313" s="8" t="s">
        <v>8</v>
      </c>
      <c r="D313" s="8" t="s">
        <v>7</v>
      </c>
      <c r="E313" s="8" t="s">
        <v>6</v>
      </c>
      <c r="F313" s="8" t="s">
        <v>25</v>
      </c>
      <c r="G313" s="8" t="s">
        <v>795</v>
      </c>
      <c r="H313" s="8" t="s">
        <v>61</v>
      </c>
      <c r="I313" s="7">
        <v>7040000</v>
      </c>
    </row>
    <row r="314" spans="2:9" ht="25" outlineLevel="2" x14ac:dyDescent="0.2">
      <c r="B314" s="8" t="s">
        <v>730</v>
      </c>
      <c r="C314" s="8" t="s">
        <v>8</v>
      </c>
      <c r="D314" s="8" t="s">
        <v>7</v>
      </c>
      <c r="E314" s="8" t="s">
        <v>6</v>
      </c>
      <c r="F314" s="8" t="s">
        <v>25</v>
      </c>
      <c r="G314" s="8" t="s">
        <v>794</v>
      </c>
      <c r="H314" s="8" t="s">
        <v>61</v>
      </c>
      <c r="I314" s="7">
        <v>7940000</v>
      </c>
    </row>
    <row r="315" spans="2:9" outlineLevel="2" x14ac:dyDescent="0.2">
      <c r="B315" s="8"/>
      <c r="C315" s="8"/>
      <c r="D315" s="8"/>
      <c r="E315" s="8"/>
      <c r="F315" s="8"/>
      <c r="G315" s="8"/>
      <c r="H315" s="8"/>
      <c r="I315" s="7"/>
    </row>
    <row r="316" spans="2:9" ht="37" outlineLevel="2" x14ac:dyDescent="0.2">
      <c r="B316" s="8" t="s">
        <v>730</v>
      </c>
      <c r="C316" s="8" t="s">
        <v>8</v>
      </c>
      <c r="D316" s="8" t="s">
        <v>7</v>
      </c>
      <c r="E316" s="8" t="s">
        <v>6</v>
      </c>
      <c r="F316" s="8" t="s">
        <v>25</v>
      </c>
      <c r="G316" s="8" t="s">
        <v>793</v>
      </c>
      <c r="H316" s="8" t="s">
        <v>11</v>
      </c>
      <c r="I316" s="7">
        <v>-11000</v>
      </c>
    </row>
    <row r="317" spans="2:9" ht="37" outlineLevel="2" x14ac:dyDescent="0.2">
      <c r="B317" s="8" t="s">
        <v>730</v>
      </c>
      <c r="C317" s="8" t="s">
        <v>8</v>
      </c>
      <c r="D317" s="8" t="s">
        <v>7</v>
      </c>
      <c r="E317" s="8" t="s">
        <v>6</v>
      </c>
      <c r="F317" s="8" t="s">
        <v>25</v>
      </c>
      <c r="G317" s="8" t="s">
        <v>793</v>
      </c>
      <c r="H317" s="8" t="s">
        <v>221</v>
      </c>
      <c r="I317" s="7">
        <v>11000</v>
      </c>
    </row>
    <row r="318" spans="2:9" outlineLevel="2" x14ac:dyDescent="0.2">
      <c r="B318" s="8"/>
      <c r="C318" s="8"/>
      <c r="D318" s="8"/>
      <c r="E318" s="8"/>
      <c r="F318" s="8"/>
      <c r="G318" s="8"/>
      <c r="H318" s="8"/>
      <c r="I318" s="7"/>
    </row>
    <row r="319" spans="2:9" ht="25" outlineLevel="2" x14ac:dyDescent="0.2">
      <c r="B319" s="8" t="s">
        <v>730</v>
      </c>
      <c r="C319" s="8" t="s">
        <v>8</v>
      </c>
      <c r="D319" s="8" t="s">
        <v>7</v>
      </c>
      <c r="E319" s="8" t="s">
        <v>6</v>
      </c>
      <c r="F319" s="8" t="s">
        <v>23</v>
      </c>
      <c r="G319" s="8" t="s">
        <v>792</v>
      </c>
      <c r="H319" s="8" t="s">
        <v>11</v>
      </c>
      <c r="I319" s="7">
        <v>-850000</v>
      </c>
    </row>
    <row r="320" spans="2:9" ht="25" outlineLevel="2" x14ac:dyDescent="0.2">
      <c r="B320" s="8" t="s">
        <v>730</v>
      </c>
      <c r="C320" s="8" t="s">
        <v>8</v>
      </c>
      <c r="D320" s="8" t="s">
        <v>7</v>
      </c>
      <c r="E320" s="8" t="s">
        <v>6</v>
      </c>
      <c r="F320" s="8" t="s">
        <v>23</v>
      </c>
      <c r="G320" s="8" t="s">
        <v>792</v>
      </c>
      <c r="H320" s="8" t="s">
        <v>61</v>
      </c>
      <c r="I320" s="7">
        <v>850000</v>
      </c>
    </row>
    <row r="321" spans="2:9" outlineLevel="2" x14ac:dyDescent="0.2">
      <c r="B321" s="8"/>
      <c r="C321" s="8"/>
      <c r="D321" s="8"/>
      <c r="E321" s="8"/>
      <c r="F321" s="8"/>
      <c r="G321" s="8"/>
      <c r="H321" s="8"/>
      <c r="I321" s="7"/>
    </row>
    <row r="322" spans="2:9" ht="25" outlineLevel="2" x14ac:dyDescent="0.2">
      <c r="B322" s="8" t="s">
        <v>730</v>
      </c>
      <c r="C322" s="8" t="s">
        <v>8</v>
      </c>
      <c r="D322" s="8" t="s">
        <v>7</v>
      </c>
      <c r="E322" s="8" t="s">
        <v>6</v>
      </c>
      <c r="F322" s="8" t="s">
        <v>23</v>
      </c>
      <c r="G322" s="8" t="s">
        <v>791</v>
      </c>
      <c r="H322" s="8" t="s">
        <v>11</v>
      </c>
      <c r="I322" s="7">
        <v>-11000</v>
      </c>
    </row>
    <row r="323" spans="2:9" ht="25" outlineLevel="2" x14ac:dyDescent="0.2">
      <c r="B323" s="8" t="s">
        <v>730</v>
      </c>
      <c r="C323" s="8" t="s">
        <v>8</v>
      </c>
      <c r="D323" s="8" t="s">
        <v>7</v>
      </c>
      <c r="E323" s="8" t="s">
        <v>6</v>
      </c>
      <c r="F323" s="8" t="s">
        <v>23</v>
      </c>
      <c r="G323" s="8" t="s">
        <v>791</v>
      </c>
      <c r="H323" s="8" t="s">
        <v>221</v>
      </c>
      <c r="I323" s="7">
        <v>11000</v>
      </c>
    </row>
    <row r="324" spans="2:9" outlineLevel="2" x14ac:dyDescent="0.2">
      <c r="B324" s="8"/>
      <c r="C324" s="8"/>
      <c r="D324" s="8"/>
      <c r="E324" s="8"/>
      <c r="F324" s="8"/>
      <c r="G324" s="8"/>
      <c r="H324" s="8"/>
      <c r="I324" s="7"/>
    </row>
    <row r="325" spans="2:9" ht="25" outlineLevel="2" x14ac:dyDescent="0.2">
      <c r="B325" s="8" t="s">
        <v>730</v>
      </c>
      <c r="C325" s="8" t="s">
        <v>8</v>
      </c>
      <c r="D325" s="8" t="s">
        <v>7</v>
      </c>
      <c r="E325" s="8" t="s">
        <v>6</v>
      </c>
      <c r="F325" s="8" t="s">
        <v>590</v>
      </c>
      <c r="G325" s="8" t="s">
        <v>790</v>
      </c>
      <c r="H325" s="8" t="s">
        <v>11</v>
      </c>
      <c r="I325" s="7">
        <v>-583200</v>
      </c>
    </row>
    <row r="326" spans="2:9" ht="25" outlineLevel="2" x14ac:dyDescent="0.2">
      <c r="B326" s="8" t="s">
        <v>730</v>
      </c>
      <c r="C326" s="8" t="s">
        <v>8</v>
      </c>
      <c r="D326" s="8" t="s">
        <v>7</v>
      </c>
      <c r="E326" s="8" t="s">
        <v>6</v>
      </c>
      <c r="F326" s="8" t="s">
        <v>590</v>
      </c>
      <c r="G326" s="8" t="s">
        <v>790</v>
      </c>
      <c r="H326" s="8" t="s">
        <v>33</v>
      </c>
      <c r="I326" s="7">
        <v>583200</v>
      </c>
    </row>
    <row r="327" spans="2:9" outlineLevel="2" x14ac:dyDescent="0.2">
      <c r="B327" s="8"/>
      <c r="C327" s="8"/>
      <c r="D327" s="8"/>
      <c r="E327" s="8"/>
      <c r="F327" s="8"/>
      <c r="G327" s="8"/>
      <c r="H327" s="8"/>
      <c r="I327" s="7"/>
    </row>
    <row r="328" spans="2:9" ht="25" outlineLevel="2" x14ac:dyDescent="0.2">
      <c r="B328" s="8" t="s">
        <v>730</v>
      </c>
      <c r="C328" s="8" t="s">
        <v>8</v>
      </c>
      <c r="D328" s="8" t="s">
        <v>7</v>
      </c>
      <c r="E328" s="8" t="s">
        <v>6</v>
      </c>
      <c r="F328" s="8" t="s">
        <v>590</v>
      </c>
      <c r="G328" s="8" t="s">
        <v>789</v>
      </c>
      <c r="H328" s="8" t="s">
        <v>11</v>
      </c>
      <c r="I328" s="7">
        <v>-22000</v>
      </c>
    </row>
    <row r="329" spans="2:9" ht="25" outlineLevel="2" x14ac:dyDescent="0.2">
      <c r="B329" s="8" t="s">
        <v>730</v>
      </c>
      <c r="C329" s="8" t="s">
        <v>8</v>
      </c>
      <c r="D329" s="8" t="s">
        <v>7</v>
      </c>
      <c r="E329" s="8" t="s">
        <v>6</v>
      </c>
      <c r="F329" s="8" t="s">
        <v>590</v>
      </c>
      <c r="G329" s="8" t="s">
        <v>789</v>
      </c>
      <c r="H329" s="8" t="s">
        <v>221</v>
      </c>
      <c r="I329" s="7">
        <v>22000</v>
      </c>
    </row>
    <row r="330" spans="2:9" outlineLevel="2" x14ac:dyDescent="0.2">
      <c r="B330" s="8"/>
      <c r="C330" s="8"/>
      <c r="D330" s="8"/>
      <c r="E330" s="8"/>
      <c r="F330" s="8"/>
      <c r="G330" s="8"/>
      <c r="H330" s="8"/>
      <c r="I330" s="7"/>
    </row>
    <row r="331" spans="2:9" ht="37" outlineLevel="2" x14ac:dyDescent="0.2">
      <c r="B331" s="8" t="s">
        <v>730</v>
      </c>
      <c r="C331" s="8" t="s">
        <v>8</v>
      </c>
      <c r="D331" s="8" t="s">
        <v>7</v>
      </c>
      <c r="E331" s="8" t="s">
        <v>6</v>
      </c>
      <c r="F331" s="8" t="s">
        <v>430</v>
      </c>
      <c r="G331" s="8" t="s">
        <v>788</v>
      </c>
      <c r="H331" s="8" t="s">
        <v>11</v>
      </c>
      <c r="I331" s="7">
        <v>-13719780</v>
      </c>
    </row>
    <row r="332" spans="2:9" ht="25" outlineLevel="2" x14ac:dyDescent="0.2">
      <c r="B332" s="8" t="s">
        <v>730</v>
      </c>
      <c r="C332" s="8" t="s">
        <v>8</v>
      </c>
      <c r="D332" s="8" t="s">
        <v>7</v>
      </c>
      <c r="E332" s="8" t="s">
        <v>6</v>
      </c>
      <c r="F332" s="8" t="s">
        <v>430</v>
      </c>
      <c r="G332" s="8" t="s">
        <v>787</v>
      </c>
      <c r="H332" s="8" t="s">
        <v>58</v>
      </c>
      <c r="I332" s="7">
        <v>13304600</v>
      </c>
    </row>
    <row r="333" spans="2:9" ht="25" outlineLevel="2" x14ac:dyDescent="0.2">
      <c r="B333" s="8" t="s">
        <v>730</v>
      </c>
      <c r="C333" s="8" t="s">
        <v>8</v>
      </c>
      <c r="D333" s="8" t="s">
        <v>7</v>
      </c>
      <c r="E333" s="8" t="s">
        <v>6</v>
      </c>
      <c r="F333" s="8" t="s">
        <v>430</v>
      </c>
      <c r="G333" s="8" t="s">
        <v>786</v>
      </c>
      <c r="H333" s="8" t="s">
        <v>29</v>
      </c>
      <c r="I333" s="7">
        <v>415180</v>
      </c>
    </row>
    <row r="334" spans="2:9" outlineLevel="2" x14ac:dyDescent="0.2">
      <c r="B334" s="8"/>
      <c r="C334" s="8"/>
      <c r="D334" s="8"/>
      <c r="E334" s="8"/>
      <c r="F334" s="8"/>
      <c r="G334" s="8"/>
      <c r="H334" s="8"/>
      <c r="I334" s="7"/>
    </row>
    <row r="335" spans="2:9" ht="25" outlineLevel="2" x14ac:dyDescent="0.2">
      <c r="B335" s="8" t="s">
        <v>730</v>
      </c>
      <c r="C335" s="8" t="s">
        <v>8</v>
      </c>
      <c r="D335" s="8" t="s">
        <v>7</v>
      </c>
      <c r="E335" s="8" t="s">
        <v>6</v>
      </c>
      <c r="F335" s="8" t="s">
        <v>430</v>
      </c>
      <c r="G335" s="8" t="s">
        <v>785</v>
      </c>
      <c r="H335" s="8" t="s">
        <v>11</v>
      </c>
      <c r="I335" s="7">
        <v>-11000</v>
      </c>
    </row>
    <row r="336" spans="2:9" ht="25" outlineLevel="2" x14ac:dyDescent="0.2">
      <c r="B336" s="8" t="s">
        <v>730</v>
      </c>
      <c r="C336" s="8" t="s">
        <v>8</v>
      </c>
      <c r="D336" s="8" t="s">
        <v>7</v>
      </c>
      <c r="E336" s="8" t="s">
        <v>6</v>
      </c>
      <c r="F336" s="8" t="s">
        <v>430</v>
      </c>
      <c r="G336" s="8" t="s">
        <v>785</v>
      </c>
      <c r="H336" s="8" t="s">
        <v>221</v>
      </c>
      <c r="I336" s="7">
        <v>11000</v>
      </c>
    </row>
    <row r="337" spans="2:9" outlineLevel="2" x14ac:dyDescent="0.2">
      <c r="B337" s="8"/>
      <c r="C337" s="8"/>
      <c r="D337" s="8"/>
      <c r="E337" s="8"/>
      <c r="F337" s="8"/>
      <c r="G337" s="8"/>
      <c r="H337" s="8"/>
      <c r="I337" s="7"/>
    </row>
    <row r="338" spans="2:9" outlineLevel="2" x14ac:dyDescent="0.2">
      <c r="B338" s="8" t="s">
        <v>730</v>
      </c>
      <c r="C338" s="8" t="s">
        <v>8</v>
      </c>
      <c r="D338" s="8" t="s">
        <v>7</v>
      </c>
      <c r="E338" s="8" t="s">
        <v>6</v>
      </c>
      <c r="F338" s="8" t="s">
        <v>783</v>
      </c>
      <c r="G338" s="8" t="s">
        <v>784</v>
      </c>
      <c r="H338" s="8" t="s">
        <v>11</v>
      </c>
      <c r="I338" s="7">
        <v>-297000</v>
      </c>
    </row>
    <row r="339" spans="2:9" outlineLevel="2" x14ac:dyDescent="0.2">
      <c r="B339" s="8" t="s">
        <v>730</v>
      </c>
      <c r="C339" s="8" t="s">
        <v>8</v>
      </c>
      <c r="D339" s="8" t="s">
        <v>7</v>
      </c>
      <c r="E339" s="8" t="s">
        <v>6</v>
      </c>
      <c r="F339" s="8" t="s">
        <v>783</v>
      </c>
      <c r="G339" s="8" t="s">
        <v>784</v>
      </c>
      <c r="H339" s="8" t="s">
        <v>29</v>
      </c>
      <c r="I339" s="7">
        <v>297000</v>
      </c>
    </row>
    <row r="340" spans="2:9" outlineLevel="2" x14ac:dyDescent="0.2">
      <c r="B340" s="8"/>
      <c r="C340" s="8"/>
      <c r="D340" s="8"/>
      <c r="E340" s="8"/>
      <c r="F340" s="8"/>
      <c r="G340" s="8"/>
      <c r="H340" s="8"/>
      <c r="I340" s="7"/>
    </row>
    <row r="341" spans="2:9" outlineLevel="2" x14ac:dyDescent="0.2">
      <c r="B341" s="8" t="s">
        <v>730</v>
      </c>
      <c r="C341" s="8" t="s">
        <v>8</v>
      </c>
      <c r="D341" s="8" t="s">
        <v>7</v>
      </c>
      <c r="E341" s="8" t="s">
        <v>6</v>
      </c>
      <c r="F341" s="8" t="s">
        <v>783</v>
      </c>
      <c r="G341" s="8" t="s">
        <v>782</v>
      </c>
      <c r="H341" s="8" t="s">
        <v>11</v>
      </c>
      <c r="I341" s="7">
        <v>-22000</v>
      </c>
    </row>
    <row r="342" spans="2:9" outlineLevel="2" x14ac:dyDescent="0.2">
      <c r="B342" s="8" t="s">
        <v>730</v>
      </c>
      <c r="C342" s="8" t="s">
        <v>8</v>
      </c>
      <c r="D342" s="8" t="s">
        <v>7</v>
      </c>
      <c r="E342" s="8" t="s">
        <v>6</v>
      </c>
      <c r="F342" s="8" t="s">
        <v>783</v>
      </c>
      <c r="G342" s="8" t="s">
        <v>782</v>
      </c>
      <c r="H342" s="8" t="s">
        <v>221</v>
      </c>
      <c r="I342" s="7">
        <v>22000</v>
      </c>
    </row>
    <row r="343" spans="2:9" outlineLevel="2" x14ac:dyDescent="0.2">
      <c r="B343" s="8"/>
      <c r="C343" s="8"/>
      <c r="D343" s="8"/>
      <c r="E343" s="8"/>
      <c r="F343" s="8"/>
      <c r="G343" s="8"/>
      <c r="H343" s="8"/>
      <c r="I343" s="7"/>
    </row>
    <row r="344" spans="2:9" ht="37" outlineLevel="2" x14ac:dyDescent="0.2">
      <c r="B344" s="8" t="s">
        <v>730</v>
      </c>
      <c r="C344" s="8" t="s">
        <v>8</v>
      </c>
      <c r="D344" s="8" t="s">
        <v>7</v>
      </c>
      <c r="E344" s="8" t="s">
        <v>6</v>
      </c>
      <c r="F344" s="8" t="s">
        <v>389</v>
      </c>
      <c r="G344" s="8" t="s">
        <v>781</v>
      </c>
      <c r="H344" s="8" t="s">
        <v>11</v>
      </c>
      <c r="I344" s="7">
        <v>-4468621</v>
      </c>
    </row>
    <row r="345" spans="2:9" outlineLevel="2" x14ac:dyDescent="0.2">
      <c r="B345" s="8" t="s">
        <v>730</v>
      </c>
      <c r="C345" s="8" t="s">
        <v>8</v>
      </c>
      <c r="D345" s="8" t="s">
        <v>7</v>
      </c>
      <c r="E345" s="8" t="s">
        <v>6</v>
      </c>
      <c r="F345" s="8" t="s">
        <v>389</v>
      </c>
      <c r="G345" s="8" t="s">
        <v>780</v>
      </c>
      <c r="H345" s="8" t="s">
        <v>29</v>
      </c>
      <c r="I345" s="7">
        <v>3823200</v>
      </c>
    </row>
    <row r="346" spans="2:9" outlineLevel="2" x14ac:dyDescent="0.2">
      <c r="B346" s="8" t="s">
        <v>730</v>
      </c>
      <c r="C346" s="8" t="s">
        <v>8</v>
      </c>
      <c r="D346" s="8" t="s">
        <v>7</v>
      </c>
      <c r="E346" s="8" t="s">
        <v>6</v>
      </c>
      <c r="F346" s="8" t="s">
        <v>389</v>
      </c>
      <c r="G346" s="8" t="s">
        <v>779</v>
      </c>
      <c r="H346" s="8" t="s">
        <v>29</v>
      </c>
      <c r="I346" s="7">
        <v>162000</v>
      </c>
    </row>
    <row r="347" spans="2:9" outlineLevel="2" x14ac:dyDescent="0.2">
      <c r="B347" s="8" t="s">
        <v>730</v>
      </c>
      <c r="C347" s="8" t="s">
        <v>8</v>
      </c>
      <c r="D347" s="8" t="s">
        <v>7</v>
      </c>
      <c r="E347" s="8" t="s">
        <v>6</v>
      </c>
      <c r="F347" s="8" t="s">
        <v>389</v>
      </c>
      <c r="G347" s="8" t="s">
        <v>778</v>
      </c>
      <c r="H347" s="8" t="s">
        <v>43</v>
      </c>
      <c r="I347" s="7">
        <v>483421</v>
      </c>
    </row>
    <row r="348" spans="2:9" outlineLevel="2" x14ac:dyDescent="0.2">
      <c r="B348" s="8"/>
      <c r="C348" s="8"/>
      <c r="D348" s="8"/>
      <c r="E348" s="8"/>
      <c r="F348" s="8"/>
      <c r="G348" s="8"/>
      <c r="H348" s="8"/>
      <c r="I348" s="7"/>
    </row>
    <row r="349" spans="2:9" outlineLevel="2" x14ac:dyDescent="0.2">
      <c r="B349" s="8" t="s">
        <v>730</v>
      </c>
      <c r="C349" s="8" t="s">
        <v>8</v>
      </c>
      <c r="D349" s="8" t="s">
        <v>7</v>
      </c>
      <c r="E349" s="8" t="s">
        <v>6</v>
      </c>
      <c r="F349" s="8" t="s">
        <v>389</v>
      </c>
      <c r="G349" s="8" t="s">
        <v>777</v>
      </c>
      <c r="H349" s="8" t="s">
        <v>11</v>
      </c>
      <c r="I349" s="7">
        <v>-11000</v>
      </c>
    </row>
    <row r="350" spans="2:9" outlineLevel="2" x14ac:dyDescent="0.2">
      <c r="B350" s="8" t="s">
        <v>730</v>
      </c>
      <c r="C350" s="8" t="s">
        <v>8</v>
      </c>
      <c r="D350" s="8" t="s">
        <v>7</v>
      </c>
      <c r="E350" s="8" t="s">
        <v>6</v>
      </c>
      <c r="F350" s="8" t="s">
        <v>389</v>
      </c>
      <c r="G350" s="8" t="s">
        <v>777</v>
      </c>
      <c r="H350" s="8" t="s">
        <v>221</v>
      </c>
      <c r="I350" s="7">
        <v>11000</v>
      </c>
    </row>
    <row r="351" spans="2:9" outlineLevel="2" x14ac:dyDescent="0.2">
      <c r="B351" s="8"/>
      <c r="C351" s="8"/>
      <c r="D351" s="8"/>
      <c r="E351" s="8"/>
      <c r="F351" s="8"/>
      <c r="G351" s="8"/>
      <c r="H351" s="8"/>
      <c r="I351" s="7"/>
    </row>
    <row r="352" spans="2:9" ht="25" outlineLevel="2" x14ac:dyDescent="0.2">
      <c r="B352" s="8" t="s">
        <v>730</v>
      </c>
      <c r="C352" s="8" t="s">
        <v>8</v>
      </c>
      <c r="D352" s="8" t="s">
        <v>7</v>
      </c>
      <c r="E352" s="8" t="s">
        <v>6</v>
      </c>
      <c r="F352" s="8" t="s">
        <v>239</v>
      </c>
      <c r="G352" s="8" t="s">
        <v>776</v>
      </c>
      <c r="H352" s="8" t="s">
        <v>11</v>
      </c>
      <c r="I352" s="7">
        <v>-1980000</v>
      </c>
    </row>
    <row r="353" spans="2:9" ht="25" outlineLevel="2" x14ac:dyDescent="0.2">
      <c r="B353" s="8" t="s">
        <v>730</v>
      </c>
      <c r="C353" s="8" t="s">
        <v>8</v>
      </c>
      <c r="D353" s="8" t="s">
        <v>7</v>
      </c>
      <c r="E353" s="8" t="s">
        <v>6</v>
      </c>
      <c r="F353" s="8" t="s">
        <v>239</v>
      </c>
      <c r="G353" s="8" t="s">
        <v>776</v>
      </c>
      <c r="H353" s="8" t="s">
        <v>61</v>
      </c>
      <c r="I353" s="7">
        <v>1980000</v>
      </c>
    </row>
    <row r="354" spans="2:9" outlineLevel="2" x14ac:dyDescent="0.2">
      <c r="B354" s="8"/>
      <c r="C354" s="8"/>
      <c r="D354" s="8"/>
      <c r="E354" s="8"/>
      <c r="F354" s="8"/>
      <c r="G354" s="8"/>
      <c r="H354" s="8"/>
      <c r="I354" s="7"/>
    </row>
    <row r="355" spans="2:9" ht="25" outlineLevel="2" x14ac:dyDescent="0.2">
      <c r="B355" s="8" t="s">
        <v>730</v>
      </c>
      <c r="C355" s="8" t="s">
        <v>8</v>
      </c>
      <c r="D355" s="8" t="s">
        <v>7</v>
      </c>
      <c r="E355" s="8" t="s">
        <v>6</v>
      </c>
      <c r="F355" s="8" t="s">
        <v>239</v>
      </c>
      <c r="G355" s="8" t="s">
        <v>774</v>
      </c>
      <c r="H355" s="8" t="s">
        <v>11</v>
      </c>
      <c r="I355" s="7">
        <v>-11000</v>
      </c>
    </row>
    <row r="356" spans="2:9" ht="25" outlineLevel="2" x14ac:dyDescent="0.2">
      <c r="B356" s="8" t="s">
        <v>730</v>
      </c>
      <c r="C356" s="8" t="s">
        <v>8</v>
      </c>
      <c r="D356" s="8" t="s">
        <v>7</v>
      </c>
      <c r="E356" s="8" t="s">
        <v>6</v>
      </c>
      <c r="F356" s="8" t="s">
        <v>239</v>
      </c>
      <c r="G356" s="8" t="s">
        <v>774</v>
      </c>
      <c r="H356" s="8" t="s">
        <v>221</v>
      </c>
      <c r="I356" s="7">
        <v>11000</v>
      </c>
    </row>
    <row r="357" spans="2:9" outlineLevel="2" x14ac:dyDescent="0.2">
      <c r="B357" s="8"/>
      <c r="C357" s="8"/>
      <c r="D357" s="8"/>
      <c r="E357" s="8"/>
      <c r="F357" s="8"/>
      <c r="G357" s="8"/>
      <c r="H357" s="8"/>
      <c r="I357" s="7"/>
    </row>
    <row r="358" spans="2:9" ht="25" outlineLevel="2" x14ac:dyDescent="0.2">
      <c r="B358" s="8" t="s">
        <v>730</v>
      </c>
      <c r="C358" s="8" t="s">
        <v>8</v>
      </c>
      <c r="D358" s="8" t="s">
        <v>7</v>
      </c>
      <c r="E358" s="8" t="s">
        <v>6</v>
      </c>
      <c r="F358" s="8" t="s">
        <v>744</v>
      </c>
      <c r="G358" s="8" t="s">
        <v>775</v>
      </c>
      <c r="H358" s="8" t="s">
        <v>11</v>
      </c>
      <c r="I358" s="7">
        <v>-2592000</v>
      </c>
    </row>
    <row r="359" spans="2:9" ht="25" outlineLevel="2" x14ac:dyDescent="0.2">
      <c r="B359" s="8" t="s">
        <v>730</v>
      </c>
      <c r="C359" s="8" t="s">
        <v>8</v>
      </c>
      <c r="D359" s="8" t="s">
        <v>7</v>
      </c>
      <c r="E359" s="8" t="s">
        <v>6</v>
      </c>
      <c r="F359" s="8" t="s">
        <v>744</v>
      </c>
      <c r="G359" s="8" t="s">
        <v>775</v>
      </c>
      <c r="H359" s="8" t="s">
        <v>61</v>
      </c>
      <c r="I359" s="7">
        <v>2592000</v>
      </c>
    </row>
    <row r="360" spans="2:9" outlineLevel="2" x14ac:dyDescent="0.2">
      <c r="B360" s="8"/>
      <c r="C360" s="8"/>
      <c r="D360" s="8"/>
      <c r="E360" s="8"/>
      <c r="F360" s="8"/>
      <c r="G360" s="8"/>
      <c r="H360" s="8"/>
      <c r="I360" s="7"/>
    </row>
    <row r="361" spans="2:9" ht="25" outlineLevel="2" x14ac:dyDescent="0.2">
      <c r="B361" s="8" t="s">
        <v>730</v>
      </c>
      <c r="C361" s="8" t="s">
        <v>8</v>
      </c>
      <c r="D361" s="8" t="s">
        <v>7</v>
      </c>
      <c r="E361" s="8" t="s">
        <v>6</v>
      </c>
      <c r="F361" s="8" t="s">
        <v>744</v>
      </c>
      <c r="G361" s="8" t="s">
        <v>774</v>
      </c>
      <c r="H361" s="8" t="s">
        <v>11</v>
      </c>
      <c r="I361" s="7">
        <v>-11000</v>
      </c>
    </row>
    <row r="362" spans="2:9" ht="25" outlineLevel="2" x14ac:dyDescent="0.2">
      <c r="B362" s="8" t="s">
        <v>730</v>
      </c>
      <c r="C362" s="8" t="s">
        <v>8</v>
      </c>
      <c r="D362" s="8" t="s">
        <v>7</v>
      </c>
      <c r="E362" s="8" t="s">
        <v>6</v>
      </c>
      <c r="F362" s="8" t="s">
        <v>744</v>
      </c>
      <c r="G362" s="8" t="s">
        <v>774</v>
      </c>
      <c r="H362" s="8" t="s">
        <v>221</v>
      </c>
      <c r="I362" s="7">
        <v>11000</v>
      </c>
    </row>
    <row r="363" spans="2:9" outlineLevel="2" x14ac:dyDescent="0.2">
      <c r="B363" s="8"/>
      <c r="C363" s="8"/>
      <c r="D363" s="8"/>
      <c r="E363" s="8"/>
      <c r="F363" s="8"/>
      <c r="G363" s="8"/>
      <c r="H363" s="8"/>
      <c r="I363" s="7"/>
    </row>
    <row r="364" spans="2:9" ht="25" outlineLevel="2" x14ac:dyDescent="0.2">
      <c r="B364" s="8" t="s">
        <v>730</v>
      </c>
      <c r="C364" s="8" t="s">
        <v>8</v>
      </c>
      <c r="D364" s="8" t="s">
        <v>7</v>
      </c>
      <c r="E364" s="8" t="s">
        <v>6</v>
      </c>
      <c r="F364" s="8" t="s">
        <v>204</v>
      </c>
      <c r="G364" s="8" t="s">
        <v>773</v>
      </c>
      <c r="H364" s="8" t="s">
        <v>11</v>
      </c>
      <c r="I364" s="7">
        <v>-30590100</v>
      </c>
    </row>
    <row r="365" spans="2:9" ht="25" outlineLevel="2" x14ac:dyDescent="0.2">
      <c r="B365" s="8" t="s">
        <v>730</v>
      </c>
      <c r="C365" s="8" t="s">
        <v>8</v>
      </c>
      <c r="D365" s="8" t="s">
        <v>7</v>
      </c>
      <c r="E365" s="8" t="s">
        <v>6</v>
      </c>
      <c r="F365" s="8" t="s">
        <v>204</v>
      </c>
      <c r="G365" s="8" t="s">
        <v>773</v>
      </c>
      <c r="H365" s="8" t="s">
        <v>61</v>
      </c>
      <c r="I365" s="7">
        <v>33989000</v>
      </c>
    </row>
    <row r="366" spans="2:9" ht="25" outlineLevel="2" x14ac:dyDescent="0.2">
      <c r="B366" s="8" t="s">
        <v>730</v>
      </c>
      <c r="C366" s="8" t="s">
        <v>8</v>
      </c>
      <c r="D366" s="8" t="s">
        <v>7</v>
      </c>
      <c r="E366" s="8" t="s">
        <v>6</v>
      </c>
      <c r="F366" s="8" t="s">
        <v>204</v>
      </c>
      <c r="G366" s="8" t="s">
        <v>772</v>
      </c>
      <c r="H366" s="8" t="s">
        <v>205</v>
      </c>
      <c r="I366" s="7">
        <v>201100</v>
      </c>
    </row>
    <row r="367" spans="2:9" ht="25" outlineLevel="2" x14ac:dyDescent="0.2">
      <c r="B367" s="8" t="s">
        <v>730</v>
      </c>
      <c r="C367" s="8" t="s">
        <v>8</v>
      </c>
      <c r="D367" s="8" t="s">
        <v>7</v>
      </c>
      <c r="E367" s="8" t="s">
        <v>6</v>
      </c>
      <c r="F367" s="8" t="s">
        <v>204</v>
      </c>
      <c r="G367" s="8" t="s">
        <v>771</v>
      </c>
      <c r="H367" s="8" t="s">
        <v>26</v>
      </c>
      <c r="I367" s="7">
        <v>332000</v>
      </c>
    </row>
    <row r="368" spans="2:9" ht="25" outlineLevel="2" x14ac:dyDescent="0.2">
      <c r="B368" s="8" t="s">
        <v>730</v>
      </c>
      <c r="C368" s="8" t="s">
        <v>8</v>
      </c>
      <c r="D368" s="8" t="s">
        <v>7</v>
      </c>
      <c r="E368" s="8" t="s">
        <v>6</v>
      </c>
      <c r="F368" s="8" t="s">
        <v>204</v>
      </c>
      <c r="G368" s="8" t="s">
        <v>770</v>
      </c>
      <c r="H368" s="8" t="s">
        <v>26</v>
      </c>
      <c r="I368" s="7">
        <v>990000</v>
      </c>
    </row>
    <row r="369" spans="2:9" ht="25" outlineLevel="2" x14ac:dyDescent="0.2">
      <c r="B369" s="8" t="s">
        <v>730</v>
      </c>
      <c r="C369" s="8" t="s">
        <v>8</v>
      </c>
      <c r="D369" s="8" t="s">
        <v>7</v>
      </c>
      <c r="E369" s="8" t="s">
        <v>6</v>
      </c>
      <c r="F369" s="8" t="s">
        <v>204</v>
      </c>
      <c r="G369" s="8" t="s">
        <v>769</v>
      </c>
      <c r="H369" s="8" t="s">
        <v>26</v>
      </c>
      <c r="I369" s="7">
        <v>378000</v>
      </c>
    </row>
    <row r="370" spans="2:9" ht="25" outlineLevel="2" x14ac:dyDescent="0.2">
      <c r="B370" s="8" t="s">
        <v>730</v>
      </c>
      <c r="C370" s="8" t="s">
        <v>8</v>
      </c>
      <c r="D370" s="8" t="s">
        <v>7</v>
      </c>
      <c r="E370" s="8" t="s">
        <v>6</v>
      </c>
      <c r="F370" s="8" t="s">
        <v>204</v>
      </c>
      <c r="G370" s="8" t="s">
        <v>768</v>
      </c>
      <c r="H370" s="8" t="s">
        <v>26</v>
      </c>
      <c r="I370" s="7">
        <v>940000</v>
      </c>
    </row>
    <row r="371" spans="2:9" ht="25" outlineLevel="2" x14ac:dyDescent="0.2">
      <c r="B371" s="8" t="s">
        <v>730</v>
      </c>
      <c r="C371" s="8" t="s">
        <v>8</v>
      </c>
      <c r="D371" s="8" t="s">
        <v>7</v>
      </c>
      <c r="E371" s="8" t="s">
        <v>6</v>
      </c>
      <c r="F371" s="8" t="s">
        <v>204</v>
      </c>
      <c r="G371" s="8" t="s">
        <v>767</v>
      </c>
      <c r="H371" s="8" t="s">
        <v>205</v>
      </c>
      <c r="I371" s="7">
        <v>-960000</v>
      </c>
    </row>
    <row r="372" spans="2:9" outlineLevel="2" x14ac:dyDescent="0.2">
      <c r="B372" s="8"/>
      <c r="C372" s="8"/>
      <c r="D372" s="8"/>
      <c r="E372" s="8"/>
      <c r="F372" s="8"/>
      <c r="G372" s="8"/>
      <c r="H372" s="8"/>
      <c r="I372" s="7"/>
    </row>
    <row r="373" spans="2:9" ht="25" outlineLevel="2" x14ac:dyDescent="0.2">
      <c r="B373" s="8" t="s">
        <v>730</v>
      </c>
      <c r="C373" s="8" t="s">
        <v>8</v>
      </c>
      <c r="D373" s="8" t="s">
        <v>7</v>
      </c>
      <c r="E373" s="8" t="s">
        <v>6</v>
      </c>
      <c r="F373" s="8" t="s">
        <v>204</v>
      </c>
      <c r="G373" s="8" t="s">
        <v>766</v>
      </c>
      <c r="H373" s="8" t="s">
        <v>11</v>
      </c>
      <c r="I373" s="7">
        <v>-11000</v>
      </c>
    </row>
    <row r="374" spans="2:9" ht="25" outlineLevel="2" x14ac:dyDescent="0.2">
      <c r="B374" s="8" t="s">
        <v>730</v>
      </c>
      <c r="C374" s="8" t="s">
        <v>8</v>
      </c>
      <c r="D374" s="8" t="s">
        <v>7</v>
      </c>
      <c r="E374" s="8" t="s">
        <v>6</v>
      </c>
      <c r="F374" s="8" t="s">
        <v>204</v>
      </c>
      <c r="G374" s="8" t="s">
        <v>766</v>
      </c>
      <c r="H374" s="8" t="s">
        <v>221</v>
      </c>
      <c r="I374" s="7">
        <v>11000</v>
      </c>
    </row>
    <row r="375" spans="2:9" outlineLevel="2" x14ac:dyDescent="0.2">
      <c r="B375" s="8"/>
      <c r="C375" s="8"/>
      <c r="D375" s="8"/>
      <c r="E375" s="8"/>
      <c r="F375" s="8"/>
      <c r="G375" s="8"/>
      <c r="H375" s="8"/>
      <c r="I375" s="7"/>
    </row>
    <row r="376" spans="2:9" ht="25" outlineLevel="2" x14ac:dyDescent="0.2">
      <c r="B376" s="8" t="s">
        <v>730</v>
      </c>
      <c r="C376" s="8" t="s">
        <v>8</v>
      </c>
      <c r="D376" s="8" t="s">
        <v>7</v>
      </c>
      <c r="E376" s="8" t="s">
        <v>6</v>
      </c>
      <c r="F376" s="8" t="s">
        <v>565</v>
      </c>
      <c r="G376" s="8" t="s">
        <v>765</v>
      </c>
      <c r="H376" s="8" t="s">
        <v>11</v>
      </c>
      <c r="I376" s="7">
        <v>-22250000</v>
      </c>
    </row>
    <row r="377" spans="2:9" ht="25" outlineLevel="2" x14ac:dyDescent="0.2">
      <c r="B377" s="8" t="s">
        <v>730</v>
      </c>
      <c r="C377" s="8" t="s">
        <v>8</v>
      </c>
      <c r="D377" s="8" t="s">
        <v>7</v>
      </c>
      <c r="E377" s="8" t="s">
        <v>6</v>
      </c>
      <c r="F377" s="8" t="s">
        <v>565</v>
      </c>
      <c r="G377" s="8" t="s">
        <v>765</v>
      </c>
      <c r="H377" s="8" t="s">
        <v>61</v>
      </c>
      <c r="I377" s="7">
        <v>22250000</v>
      </c>
    </row>
    <row r="378" spans="2:9" outlineLevel="2" x14ac:dyDescent="0.2">
      <c r="B378" s="8"/>
      <c r="C378" s="8"/>
      <c r="D378" s="8"/>
      <c r="E378" s="8"/>
      <c r="F378" s="8"/>
      <c r="G378" s="8"/>
      <c r="H378" s="8"/>
      <c r="I378" s="7"/>
    </row>
    <row r="379" spans="2:9" ht="25" outlineLevel="2" x14ac:dyDescent="0.2">
      <c r="B379" s="8" t="s">
        <v>730</v>
      </c>
      <c r="C379" s="8" t="s">
        <v>8</v>
      </c>
      <c r="D379" s="8" t="s">
        <v>7</v>
      </c>
      <c r="E379" s="8" t="s">
        <v>6</v>
      </c>
      <c r="F379" s="8" t="s">
        <v>565</v>
      </c>
      <c r="G379" s="8" t="s">
        <v>764</v>
      </c>
      <c r="H379" s="8" t="s">
        <v>11</v>
      </c>
      <c r="I379" s="7">
        <v>-22000</v>
      </c>
    </row>
    <row r="380" spans="2:9" ht="25" outlineLevel="2" x14ac:dyDescent="0.2">
      <c r="B380" s="8" t="s">
        <v>730</v>
      </c>
      <c r="C380" s="8" t="s">
        <v>8</v>
      </c>
      <c r="D380" s="8" t="s">
        <v>7</v>
      </c>
      <c r="E380" s="8" t="s">
        <v>6</v>
      </c>
      <c r="F380" s="8" t="s">
        <v>565</v>
      </c>
      <c r="G380" s="8" t="s">
        <v>764</v>
      </c>
      <c r="H380" s="8" t="s">
        <v>221</v>
      </c>
      <c r="I380" s="7">
        <v>22000</v>
      </c>
    </row>
    <row r="381" spans="2:9" outlineLevel="2" x14ac:dyDescent="0.2">
      <c r="B381" s="8"/>
      <c r="C381" s="8"/>
      <c r="D381" s="8"/>
      <c r="E381" s="8"/>
      <c r="F381" s="8"/>
      <c r="G381" s="8"/>
      <c r="H381" s="8"/>
      <c r="I381" s="7"/>
    </row>
    <row r="382" spans="2:9" ht="25" outlineLevel="2" x14ac:dyDescent="0.2">
      <c r="B382" s="8" t="s">
        <v>730</v>
      </c>
      <c r="C382" s="8" t="s">
        <v>8</v>
      </c>
      <c r="D382" s="8" t="s">
        <v>7</v>
      </c>
      <c r="E382" s="8" t="s">
        <v>6</v>
      </c>
      <c r="F382" s="8" t="s">
        <v>408</v>
      </c>
      <c r="G382" s="8" t="s">
        <v>763</v>
      </c>
      <c r="H382" s="8" t="s">
        <v>11</v>
      </c>
      <c r="I382" s="7">
        <v>-8538200</v>
      </c>
    </row>
    <row r="383" spans="2:9" ht="25" outlineLevel="2" x14ac:dyDescent="0.2">
      <c r="B383" s="8" t="s">
        <v>730</v>
      </c>
      <c r="C383" s="8" t="s">
        <v>8</v>
      </c>
      <c r="D383" s="8" t="s">
        <v>7</v>
      </c>
      <c r="E383" s="8" t="s">
        <v>6</v>
      </c>
      <c r="F383" s="8" t="s">
        <v>408</v>
      </c>
      <c r="G383" s="8" t="s">
        <v>763</v>
      </c>
      <c r="H383" s="8" t="s">
        <v>33</v>
      </c>
      <c r="I383" s="7">
        <v>8538200</v>
      </c>
    </row>
    <row r="384" spans="2:9" outlineLevel="2" x14ac:dyDescent="0.2">
      <c r="B384" s="8"/>
      <c r="C384" s="8"/>
      <c r="D384" s="8"/>
      <c r="E384" s="8"/>
      <c r="F384" s="8"/>
      <c r="G384" s="8"/>
      <c r="H384" s="8"/>
      <c r="I384" s="7"/>
    </row>
    <row r="385" spans="2:9" ht="25" outlineLevel="2" x14ac:dyDescent="0.2">
      <c r="B385" s="8" t="s">
        <v>730</v>
      </c>
      <c r="C385" s="8" t="s">
        <v>8</v>
      </c>
      <c r="D385" s="8" t="s">
        <v>7</v>
      </c>
      <c r="E385" s="8" t="s">
        <v>6</v>
      </c>
      <c r="F385" s="8" t="s">
        <v>408</v>
      </c>
      <c r="G385" s="8" t="s">
        <v>762</v>
      </c>
      <c r="H385" s="8" t="s">
        <v>11</v>
      </c>
      <c r="I385" s="7">
        <v>-11000</v>
      </c>
    </row>
    <row r="386" spans="2:9" ht="25" outlineLevel="2" x14ac:dyDescent="0.2">
      <c r="B386" s="8" t="s">
        <v>730</v>
      </c>
      <c r="C386" s="8" t="s">
        <v>8</v>
      </c>
      <c r="D386" s="8" t="s">
        <v>7</v>
      </c>
      <c r="E386" s="8" t="s">
        <v>6</v>
      </c>
      <c r="F386" s="8" t="s">
        <v>408</v>
      </c>
      <c r="G386" s="8" t="s">
        <v>762</v>
      </c>
      <c r="H386" s="8" t="s">
        <v>221</v>
      </c>
      <c r="I386" s="7">
        <v>11000</v>
      </c>
    </row>
    <row r="387" spans="2:9" outlineLevel="2" x14ac:dyDescent="0.2">
      <c r="B387" s="8"/>
      <c r="C387" s="8"/>
      <c r="D387" s="8"/>
      <c r="E387" s="8"/>
      <c r="F387" s="8"/>
      <c r="G387" s="8"/>
      <c r="H387" s="8"/>
      <c r="I387" s="7"/>
    </row>
    <row r="388" spans="2:9" ht="25" outlineLevel="2" x14ac:dyDescent="0.2">
      <c r="B388" s="8" t="s">
        <v>730</v>
      </c>
      <c r="C388" s="8" t="s">
        <v>8</v>
      </c>
      <c r="D388" s="8" t="s">
        <v>7</v>
      </c>
      <c r="E388" s="8" t="s">
        <v>6</v>
      </c>
      <c r="F388" s="8" t="s">
        <v>531</v>
      </c>
      <c r="G388" s="8" t="s">
        <v>761</v>
      </c>
      <c r="H388" s="8" t="s">
        <v>11</v>
      </c>
      <c r="I388" s="7">
        <v>-5286000</v>
      </c>
    </row>
    <row r="389" spans="2:9" ht="25" outlineLevel="2" x14ac:dyDescent="0.2">
      <c r="B389" s="8" t="s">
        <v>730</v>
      </c>
      <c r="C389" s="8" t="s">
        <v>8</v>
      </c>
      <c r="D389" s="8" t="s">
        <v>7</v>
      </c>
      <c r="E389" s="8" t="s">
        <v>6</v>
      </c>
      <c r="F389" s="8" t="s">
        <v>531</v>
      </c>
      <c r="G389" s="8" t="s">
        <v>761</v>
      </c>
      <c r="H389" s="8" t="s">
        <v>33</v>
      </c>
      <c r="I389" s="7">
        <v>5286000</v>
      </c>
    </row>
    <row r="390" spans="2:9" outlineLevel="2" x14ac:dyDescent="0.2">
      <c r="B390" s="8"/>
      <c r="C390" s="8"/>
      <c r="D390" s="8"/>
      <c r="E390" s="8"/>
      <c r="F390" s="8"/>
      <c r="G390" s="8"/>
      <c r="H390" s="8"/>
      <c r="I390" s="7"/>
    </row>
    <row r="391" spans="2:9" ht="25" outlineLevel="2" x14ac:dyDescent="0.2">
      <c r="B391" s="8" t="s">
        <v>730</v>
      </c>
      <c r="C391" s="8" t="s">
        <v>8</v>
      </c>
      <c r="D391" s="8" t="s">
        <v>7</v>
      </c>
      <c r="E391" s="8" t="s">
        <v>6</v>
      </c>
      <c r="F391" s="8" t="s">
        <v>531</v>
      </c>
      <c r="G391" s="8" t="s">
        <v>760</v>
      </c>
      <c r="H391" s="8" t="s">
        <v>11</v>
      </c>
      <c r="I391" s="7">
        <v>-11000</v>
      </c>
    </row>
    <row r="392" spans="2:9" ht="25" outlineLevel="2" x14ac:dyDescent="0.2">
      <c r="B392" s="8" t="s">
        <v>730</v>
      </c>
      <c r="C392" s="8" t="s">
        <v>8</v>
      </c>
      <c r="D392" s="8" t="s">
        <v>7</v>
      </c>
      <c r="E392" s="8" t="s">
        <v>6</v>
      </c>
      <c r="F392" s="8" t="s">
        <v>531</v>
      </c>
      <c r="G392" s="8" t="s">
        <v>760</v>
      </c>
      <c r="H392" s="8" t="s">
        <v>221</v>
      </c>
      <c r="I392" s="7">
        <v>11000</v>
      </c>
    </row>
    <row r="393" spans="2:9" outlineLevel="2" x14ac:dyDescent="0.2">
      <c r="B393" s="8"/>
      <c r="C393" s="8"/>
      <c r="D393" s="8"/>
      <c r="E393" s="8"/>
      <c r="F393" s="8"/>
      <c r="G393" s="8"/>
      <c r="H393" s="8"/>
      <c r="I393" s="7"/>
    </row>
    <row r="394" spans="2:9" ht="25" outlineLevel="2" x14ac:dyDescent="0.2">
      <c r="B394" s="8" t="s">
        <v>730</v>
      </c>
      <c r="C394" s="8" t="s">
        <v>8</v>
      </c>
      <c r="D394" s="8" t="s">
        <v>7</v>
      </c>
      <c r="E394" s="8" t="s">
        <v>6</v>
      </c>
      <c r="F394" s="8" t="s">
        <v>590</v>
      </c>
      <c r="G394" s="8" t="s">
        <v>759</v>
      </c>
      <c r="H394" s="8" t="s">
        <v>11</v>
      </c>
      <c r="I394" s="7">
        <v>-2106000</v>
      </c>
    </row>
    <row r="395" spans="2:9" ht="25" outlineLevel="2" x14ac:dyDescent="0.2">
      <c r="B395" s="8" t="s">
        <v>730</v>
      </c>
      <c r="C395" s="8" t="s">
        <v>8</v>
      </c>
      <c r="D395" s="8" t="s">
        <v>7</v>
      </c>
      <c r="E395" s="8" t="s">
        <v>6</v>
      </c>
      <c r="F395" s="8" t="s">
        <v>590</v>
      </c>
      <c r="G395" s="8" t="s">
        <v>759</v>
      </c>
      <c r="H395" s="8" t="s">
        <v>33</v>
      </c>
      <c r="I395" s="7">
        <v>2106000</v>
      </c>
    </row>
    <row r="396" spans="2:9" outlineLevel="2" x14ac:dyDescent="0.2">
      <c r="B396" s="8"/>
      <c r="C396" s="8"/>
      <c r="D396" s="8"/>
      <c r="E396" s="8"/>
      <c r="F396" s="8"/>
      <c r="G396" s="8"/>
      <c r="H396" s="8"/>
      <c r="I396" s="7"/>
    </row>
    <row r="397" spans="2:9" ht="25" outlineLevel="2" x14ac:dyDescent="0.2">
      <c r="B397" s="8" t="s">
        <v>730</v>
      </c>
      <c r="C397" s="8" t="s">
        <v>8</v>
      </c>
      <c r="D397" s="8" t="s">
        <v>7</v>
      </c>
      <c r="E397" s="8" t="s">
        <v>6</v>
      </c>
      <c r="F397" s="8" t="s">
        <v>590</v>
      </c>
      <c r="G397" s="8" t="s">
        <v>758</v>
      </c>
      <c r="H397" s="8" t="s">
        <v>11</v>
      </c>
      <c r="I397" s="7">
        <v>-22000</v>
      </c>
    </row>
    <row r="398" spans="2:9" ht="25" outlineLevel="2" x14ac:dyDescent="0.2">
      <c r="B398" s="8" t="s">
        <v>730</v>
      </c>
      <c r="C398" s="8" t="s">
        <v>8</v>
      </c>
      <c r="D398" s="8" t="s">
        <v>7</v>
      </c>
      <c r="E398" s="8" t="s">
        <v>6</v>
      </c>
      <c r="F398" s="8" t="s">
        <v>590</v>
      </c>
      <c r="G398" s="8" t="s">
        <v>758</v>
      </c>
      <c r="H398" s="8" t="s">
        <v>221</v>
      </c>
      <c r="I398" s="7">
        <v>22000</v>
      </c>
    </row>
    <row r="399" spans="2:9" outlineLevel="2" x14ac:dyDescent="0.2">
      <c r="B399" s="8"/>
      <c r="C399" s="8"/>
      <c r="D399" s="8"/>
      <c r="E399" s="8"/>
      <c r="F399" s="8"/>
      <c r="G399" s="8"/>
      <c r="H399" s="8"/>
      <c r="I399" s="7"/>
    </row>
    <row r="400" spans="2:9" ht="25" outlineLevel="2" x14ac:dyDescent="0.2">
      <c r="B400" s="8" t="s">
        <v>730</v>
      </c>
      <c r="C400" s="8" t="s">
        <v>8</v>
      </c>
      <c r="D400" s="8" t="s">
        <v>7</v>
      </c>
      <c r="E400" s="8" t="s">
        <v>6</v>
      </c>
      <c r="F400" s="8" t="s">
        <v>754</v>
      </c>
      <c r="G400" s="8" t="s">
        <v>757</v>
      </c>
      <c r="H400" s="8" t="s">
        <v>11</v>
      </c>
      <c r="I400" s="7">
        <v>-48380000</v>
      </c>
    </row>
    <row r="401" spans="2:9" ht="25" outlineLevel="2" x14ac:dyDescent="0.2">
      <c r="B401" s="8" t="s">
        <v>730</v>
      </c>
      <c r="C401" s="8" t="s">
        <v>8</v>
      </c>
      <c r="D401" s="8" t="s">
        <v>7</v>
      </c>
      <c r="E401" s="8" t="s">
        <v>6</v>
      </c>
      <c r="F401" s="8" t="s">
        <v>754</v>
      </c>
      <c r="G401" s="8" t="s">
        <v>757</v>
      </c>
      <c r="H401" s="8" t="s">
        <v>29</v>
      </c>
      <c r="I401" s="7">
        <v>48380000</v>
      </c>
    </row>
    <row r="402" spans="2:9" ht="25" outlineLevel="2" x14ac:dyDescent="0.2">
      <c r="B402" s="8" t="s">
        <v>730</v>
      </c>
      <c r="C402" s="8" t="s">
        <v>8</v>
      </c>
      <c r="D402" s="8" t="s">
        <v>7</v>
      </c>
      <c r="E402" s="8" t="s">
        <v>6</v>
      </c>
      <c r="F402" s="8" t="s">
        <v>754</v>
      </c>
      <c r="G402" s="8" t="s">
        <v>756</v>
      </c>
      <c r="H402" s="8" t="s">
        <v>29</v>
      </c>
      <c r="I402" s="7">
        <v>-48380000</v>
      </c>
    </row>
    <row r="403" spans="2:9" ht="25" outlineLevel="2" x14ac:dyDescent="0.2">
      <c r="B403" s="8" t="s">
        <v>730</v>
      </c>
      <c r="C403" s="8" t="s">
        <v>8</v>
      </c>
      <c r="D403" s="8" t="s">
        <v>7</v>
      </c>
      <c r="E403" s="8" t="s">
        <v>6</v>
      </c>
      <c r="F403" s="8" t="s">
        <v>754</v>
      </c>
      <c r="G403" s="8" t="s">
        <v>755</v>
      </c>
      <c r="H403" s="8" t="s">
        <v>38</v>
      </c>
      <c r="I403" s="7">
        <v>48380000</v>
      </c>
    </row>
    <row r="404" spans="2:9" outlineLevel="2" x14ac:dyDescent="0.2">
      <c r="B404" s="8"/>
      <c r="C404" s="8"/>
      <c r="D404" s="8"/>
      <c r="E404" s="8"/>
      <c r="F404" s="8"/>
      <c r="G404" s="8"/>
      <c r="H404" s="8"/>
      <c r="I404" s="7"/>
    </row>
    <row r="405" spans="2:9" ht="25" outlineLevel="2" x14ac:dyDescent="0.2">
      <c r="B405" s="8" t="s">
        <v>730</v>
      </c>
      <c r="C405" s="8" t="s">
        <v>8</v>
      </c>
      <c r="D405" s="8" t="s">
        <v>7</v>
      </c>
      <c r="E405" s="8" t="s">
        <v>6</v>
      </c>
      <c r="F405" s="8" t="s">
        <v>754</v>
      </c>
      <c r="G405" s="8" t="s">
        <v>753</v>
      </c>
      <c r="H405" s="8" t="s">
        <v>11</v>
      </c>
      <c r="I405" s="7">
        <v>-11000</v>
      </c>
    </row>
    <row r="406" spans="2:9" ht="25" outlineLevel="2" x14ac:dyDescent="0.2">
      <c r="B406" s="8" t="s">
        <v>730</v>
      </c>
      <c r="C406" s="8" t="s">
        <v>8</v>
      </c>
      <c r="D406" s="8" t="s">
        <v>7</v>
      </c>
      <c r="E406" s="8" t="s">
        <v>6</v>
      </c>
      <c r="F406" s="8" t="s">
        <v>754</v>
      </c>
      <c r="G406" s="8" t="s">
        <v>753</v>
      </c>
      <c r="H406" s="8" t="s">
        <v>221</v>
      </c>
      <c r="I406" s="7">
        <v>11000</v>
      </c>
    </row>
    <row r="407" spans="2:9" outlineLevel="2" x14ac:dyDescent="0.2">
      <c r="B407" s="8"/>
      <c r="C407" s="8"/>
      <c r="D407" s="8"/>
      <c r="E407" s="8"/>
      <c r="F407" s="8"/>
      <c r="G407" s="8"/>
      <c r="H407" s="8"/>
      <c r="I407" s="7"/>
    </row>
    <row r="408" spans="2:9" outlineLevel="2" x14ac:dyDescent="0.2">
      <c r="B408" s="8" t="s">
        <v>730</v>
      </c>
      <c r="C408" s="8" t="s">
        <v>8</v>
      </c>
      <c r="D408" s="8" t="s">
        <v>7</v>
      </c>
      <c r="E408" s="8" t="s">
        <v>6</v>
      </c>
      <c r="F408" s="8" t="s">
        <v>28</v>
      </c>
      <c r="G408" s="8" t="s">
        <v>30</v>
      </c>
      <c r="H408" s="8" t="s">
        <v>11</v>
      </c>
      <c r="I408" s="7">
        <v>-1296000</v>
      </c>
    </row>
    <row r="409" spans="2:9" outlineLevel="2" x14ac:dyDescent="0.2">
      <c r="B409" s="8" t="s">
        <v>730</v>
      </c>
      <c r="C409" s="8" t="s">
        <v>8</v>
      </c>
      <c r="D409" s="8" t="s">
        <v>7</v>
      </c>
      <c r="E409" s="8" t="s">
        <v>6</v>
      </c>
      <c r="F409" s="8" t="s">
        <v>28</v>
      </c>
      <c r="G409" s="8" t="s">
        <v>30</v>
      </c>
      <c r="H409" s="8" t="s">
        <v>29</v>
      </c>
      <c r="I409" s="7">
        <v>1296000</v>
      </c>
    </row>
    <row r="410" spans="2:9" outlineLevel="2" x14ac:dyDescent="0.2">
      <c r="B410" s="8"/>
      <c r="C410" s="8"/>
      <c r="D410" s="8"/>
      <c r="E410" s="8"/>
      <c r="F410" s="8"/>
      <c r="G410" s="8"/>
      <c r="H410" s="8"/>
      <c r="I410" s="7"/>
    </row>
    <row r="411" spans="2:9" outlineLevel="2" x14ac:dyDescent="0.2">
      <c r="B411" s="8" t="s">
        <v>730</v>
      </c>
      <c r="C411" s="8" t="s">
        <v>8</v>
      </c>
      <c r="D411" s="8" t="s">
        <v>7</v>
      </c>
      <c r="E411" s="8" t="s">
        <v>6</v>
      </c>
      <c r="F411" s="8" t="s">
        <v>28</v>
      </c>
      <c r="G411" s="8" t="s">
        <v>752</v>
      </c>
      <c r="H411" s="8" t="s">
        <v>11</v>
      </c>
      <c r="I411" s="7">
        <v>-22000</v>
      </c>
    </row>
    <row r="412" spans="2:9" outlineLevel="2" x14ac:dyDescent="0.2">
      <c r="B412" s="8" t="s">
        <v>730</v>
      </c>
      <c r="C412" s="8" t="s">
        <v>8</v>
      </c>
      <c r="D412" s="8" t="s">
        <v>7</v>
      </c>
      <c r="E412" s="8" t="s">
        <v>6</v>
      </c>
      <c r="F412" s="8" t="s">
        <v>28</v>
      </c>
      <c r="G412" s="8" t="s">
        <v>752</v>
      </c>
      <c r="H412" s="8" t="s">
        <v>221</v>
      </c>
      <c r="I412" s="7">
        <v>22000</v>
      </c>
    </row>
    <row r="413" spans="2:9" outlineLevel="2" x14ac:dyDescent="0.2">
      <c r="B413" s="8"/>
      <c r="C413" s="8"/>
      <c r="D413" s="8"/>
      <c r="E413" s="8"/>
      <c r="F413" s="8"/>
      <c r="G413" s="8"/>
      <c r="H413" s="8"/>
      <c r="I413" s="7"/>
    </row>
    <row r="414" spans="2:9" ht="25" outlineLevel="2" x14ac:dyDescent="0.2">
      <c r="B414" s="8" t="s">
        <v>730</v>
      </c>
      <c r="C414" s="8" t="s">
        <v>8</v>
      </c>
      <c r="D414" s="8" t="s">
        <v>7</v>
      </c>
      <c r="E414" s="8" t="s">
        <v>6</v>
      </c>
      <c r="F414" s="8" t="s">
        <v>408</v>
      </c>
      <c r="G414" s="8" t="s">
        <v>751</v>
      </c>
      <c r="H414" s="8" t="s">
        <v>11</v>
      </c>
      <c r="I414" s="7">
        <v>-5253880</v>
      </c>
    </row>
    <row r="415" spans="2:9" ht="25" outlineLevel="2" x14ac:dyDescent="0.2">
      <c r="B415" s="8" t="s">
        <v>730</v>
      </c>
      <c r="C415" s="8" t="s">
        <v>8</v>
      </c>
      <c r="D415" s="8" t="s">
        <v>7</v>
      </c>
      <c r="E415" s="8" t="s">
        <v>6</v>
      </c>
      <c r="F415" s="8" t="s">
        <v>408</v>
      </c>
      <c r="G415" s="8" t="s">
        <v>751</v>
      </c>
      <c r="H415" s="8" t="s">
        <v>33</v>
      </c>
      <c r="I415" s="7">
        <v>5253880</v>
      </c>
    </row>
    <row r="416" spans="2:9" outlineLevel="2" x14ac:dyDescent="0.2">
      <c r="B416" s="8"/>
      <c r="C416" s="8"/>
      <c r="D416" s="8"/>
      <c r="E416" s="8"/>
      <c r="F416" s="8"/>
      <c r="G416" s="8"/>
      <c r="H416" s="8"/>
      <c r="I416" s="7"/>
    </row>
    <row r="417" spans="2:9" ht="25" outlineLevel="2" x14ac:dyDescent="0.2">
      <c r="B417" s="8" t="s">
        <v>730</v>
      </c>
      <c r="C417" s="8" t="s">
        <v>8</v>
      </c>
      <c r="D417" s="8" t="s">
        <v>7</v>
      </c>
      <c r="E417" s="8" t="s">
        <v>6</v>
      </c>
      <c r="F417" s="8" t="s">
        <v>408</v>
      </c>
      <c r="G417" s="8" t="s">
        <v>750</v>
      </c>
      <c r="H417" s="8" t="s">
        <v>11</v>
      </c>
      <c r="I417" s="7">
        <v>-11000</v>
      </c>
    </row>
    <row r="418" spans="2:9" ht="25" outlineLevel="2" x14ac:dyDescent="0.2">
      <c r="B418" s="8" t="s">
        <v>730</v>
      </c>
      <c r="C418" s="8" t="s">
        <v>8</v>
      </c>
      <c r="D418" s="8" t="s">
        <v>7</v>
      </c>
      <c r="E418" s="8" t="s">
        <v>6</v>
      </c>
      <c r="F418" s="8" t="s">
        <v>408</v>
      </c>
      <c r="G418" s="8" t="s">
        <v>750</v>
      </c>
      <c r="H418" s="8" t="s">
        <v>221</v>
      </c>
      <c r="I418" s="7">
        <v>11000</v>
      </c>
    </row>
    <row r="419" spans="2:9" outlineLevel="2" x14ac:dyDescent="0.2">
      <c r="B419" s="8"/>
      <c r="C419" s="8"/>
      <c r="D419" s="8"/>
      <c r="E419" s="8"/>
      <c r="F419" s="8"/>
      <c r="G419" s="8"/>
      <c r="H419" s="8"/>
      <c r="I419" s="7"/>
    </row>
    <row r="420" spans="2:9" ht="25" outlineLevel="2" x14ac:dyDescent="0.2">
      <c r="B420" s="8" t="s">
        <v>730</v>
      </c>
      <c r="C420" s="8" t="s">
        <v>8</v>
      </c>
      <c r="D420" s="8" t="s">
        <v>7</v>
      </c>
      <c r="E420" s="8" t="s">
        <v>6</v>
      </c>
      <c r="F420" s="8" t="s">
        <v>531</v>
      </c>
      <c r="G420" s="8" t="s">
        <v>749</v>
      </c>
      <c r="H420" s="8" t="s">
        <v>11</v>
      </c>
      <c r="I420" s="7">
        <v>-5435000</v>
      </c>
    </row>
    <row r="421" spans="2:9" ht="25" outlineLevel="2" x14ac:dyDescent="0.2">
      <c r="B421" s="8" t="s">
        <v>730</v>
      </c>
      <c r="C421" s="8" t="s">
        <v>8</v>
      </c>
      <c r="D421" s="8" t="s">
        <v>7</v>
      </c>
      <c r="E421" s="8" t="s">
        <v>6</v>
      </c>
      <c r="F421" s="8" t="s">
        <v>531</v>
      </c>
      <c r="G421" s="8" t="s">
        <v>749</v>
      </c>
      <c r="H421" s="8" t="s">
        <v>33</v>
      </c>
      <c r="I421" s="7">
        <v>5435000</v>
      </c>
    </row>
    <row r="422" spans="2:9" outlineLevel="2" x14ac:dyDescent="0.2">
      <c r="B422" s="8"/>
      <c r="C422" s="8"/>
      <c r="D422" s="8"/>
      <c r="E422" s="8"/>
      <c r="F422" s="8"/>
      <c r="G422" s="8"/>
      <c r="H422" s="8"/>
      <c r="I422" s="7"/>
    </row>
    <row r="423" spans="2:9" ht="25" outlineLevel="2" x14ac:dyDescent="0.2">
      <c r="B423" s="8" t="s">
        <v>730</v>
      </c>
      <c r="C423" s="8" t="s">
        <v>8</v>
      </c>
      <c r="D423" s="8" t="s">
        <v>7</v>
      </c>
      <c r="E423" s="8" t="s">
        <v>6</v>
      </c>
      <c r="F423" s="8" t="s">
        <v>531</v>
      </c>
      <c r="G423" s="8" t="s">
        <v>748</v>
      </c>
      <c r="H423" s="8" t="s">
        <v>11</v>
      </c>
      <c r="I423" s="7">
        <v>-11000</v>
      </c>
    </row>
    <row r="424" spans="2:9" ht="25" outlineLevel="2" x14ac:dyDescent="0.2">
      <c r="B424" s="8" t="s">
        <v>730</v>
      </c>
      <c r="C424" s="8" t="s">
        <v>8</v>
      </c>
      <c r="D424" s="8" t="s">
        <v>7</v>
      </c>
      <c r="E424" s="8" t="s">
        <v>6</v>
      </c>
      <c r="F424" s="8" t="s">
        <v>531</v>
      </c>
      <c r="G424" s="8" t="s">
        <v>748</v>
      </c>
      <c r="H424" s="8" t="s">
        <v>221</v>
      </c>
      <c r="I424" s="7">
        <v>11000</v>
      </c>
    </row>
    <row r="425" spans="2:9" outlineLevel="2" x14ac:dyDescent="0.2">
      <c r="B425" s="8"/>
      <c r="C425" s="8"/>
      <c r="D425" s="8"/>
      <c r="E425" s="8"/>
      <c r="F425" s="8"/>
      <c r="G425" s="8"/>
      <c r="H425" s="8"/>
      <c r="I425" s="7"/>
    </row>
    <row r="426" spans="2:9" ht="25" outlineLevel="2" x14ac:dyDescent="0.2">
      <c r="B426" s="8" t="s">
        <v>730</v>
      </c>
      <c r="C426" s="8" t="s">
        <v>8</v>
      </c>
      <c r="D426" s="8" t="s">
        <v>7</v>
      </c>
      <c r="E426" s="8" t="s">
        <v>6</v>
      </c>
      <c r="F426" s="8" t="s">
        <v>590</v>
      </c>
      <c r="G426" s="8" t="s">
        <v>747</v>
      </c>
      <c r="H426" s="8" t="s">
        <v>11</v>
      </c>
      <c r="I426" s="7">
        <v>-5184000</v>
      </c>
    </row>
    <row r="427" spans="2:9" ht="25" outlineLevel="2" x14ac:dyDescent="0.2">
      <c r="B427" s="8" t="s">
        <v>730</v>
      </c>
      <c r="C427" s="8" t="s">
        <v>8</v>
      </c>
      <c r="D427" s="8" t="s">
        <v>7</v>
      </c>
      <c r="E427" s="8" t="s">
        <v>6</v>
      </c>
      <c r="F427" s="8" t="s">
        <v>590</v>
      </c>
      <c r="G427" s="8" t="s">
        <v>747</v>
      </c>
      <c r="H427" s="8" t="s">
        <v>33</v>
      </c>
      <c r="I427" s="7">
        <v>5184000</v>
      </c>
    </row>
    <row r="428" spans="2:9" outlineLevel="2" x14ac:dyDescent="0.2">
      <c r="B428" s="8"/>
      <c r="C428" s="8"/>
      <c r="D428" s="8"/>
      <c r="E428" s="8"/>
      <c r="F428" s="8"/>
      <c r="G428" s="8"/>
      <c r="H428" s="8"/>
      <c r="I428" s="7"/>
    </row>
    <row r="429" spans="2:9" ht="25" outlineLevel="2" x14ac:dyDescent="0.2">
      <c r="B429" s="8" t="s">
        <v>730</v>
      </c>
      <c r="C429" s="8" t="s">
        <v>8</v>
      </c>
      <c r="D429" s="8" t="s">
        <v>7</v>
      </c>
      <c r="E429" s="8" t="s">
        <v>6</v>
      </c>
      <c r="F429" s="8" t="s">
        <v>590</v>
      </c>
      <c r="G429" s="8" t="s">
        <v>746</v>
      </c>
      <c r="H429" s="8" t="s">
        <v>11</v>
      </c>
      <c r="I429" s="7">
        <v>-22000</v>
      </c>
    </row>
    <row r="430" spans="2:9" ht="25" outlineLevel="2" x14ac:dyDescent="0.2">
      <c r="B430" s="8" t="s">
        <v>730</v>
      </c>
      <c r="C430" s="8" t="s">
        <v>8</v>
      </c>
      <c r="D430" s="8" t="s">
        <v>7</v>
      </c>
      <c r="E430" s="8" t="s">
        <v>6</v>
      </c>
      <c r="F430" s="8" t="s">
        <v>590</v>
      </c>
      <c r="G430" s="8" t="s">
        <v>746</v>
      </c>
      <c r="H430" s="8" t="s">
        <v>221</v>
      </c>
      <c r="I430" s="7">
        <v>22000</v>
      </c>
    </row>
    <row r="431" spans="2:9" outlineLevel="2" x14ac:dyDescent="0.2">
      <c r="B431" s="8"/>
      <c r="C431" s="8"/>
      <c r="D431" s="8"/>
      <c r="E431" s="8"/>
      <c r="F431" s="8"/>
      <c r="G431" s="8"/>
      <c r="H431" s="8"/>
      <c r="I431" s="7"/>
    </row>
    <row r="432" spans="2:9" ht="25" outlineLevel="2" x14ac:dyDescent="0.2">
      <c r="B432" s="8" t="s">
        <v>730</v>
      </c>
      <c r="C432" s="8" t="s">
        <v>8</v>
      </c>
      <c r="D432" s="8" t="s">
        <v>7</v>
      </c>
      <c r="E432" s="8" t="s">
        <v>6</v>
      </c>
      <c r="F432" s="8" t="s">
        <v>744</v>
      </c>
      <c r="G432" s="8" t="s">
        <v>745</v>
      </c>
      <c r="H432" s="8" t="s">
        <v>11</v>
      </c>
      <c r="I432" s="7">
        <v>-1728000</v>
      </c>
    </row>
    <row r="433" spans="2:9" ht="25" outlineLevel="2" x14ac:dyDescent="0.2">
      <c r="B433" s="8" t="s">
        <v>730</v>
      </c>
      <c r="C433" s="8" t="s">
        <v>8</v>
      </c>
      <c r="D433" s="8" t="s">
        <v>7</v>
      </c>
      <c r="E433" s="8" t="s">
        <v>6</v>
      </c>
      <c r="F433" s="8" t="s">
        <v>744</v>
      </c>
      <c r="G433" s="8" t="s">
        <v>745</v>
      </c>
      <c r="H433" s="8" t="s">
        <v>33</v>
      </c>
      <c r="I433" s="7">
        <v>1728000</v>
      </c>
    </row>
    <row r="434" spans="2:9" outlineLevel="2" x14ac:dyDescent="0.2">
      <c r="B434" s="8"/>
      <c r="C434" s="8"/>
      <c r="D434" s="8"/>
      <c r="E434" s="8"/>
      <c r="F434" s="8"/>
      <c r="G434" s="8"/>
      <c r="H434" s="8"/>
      <c r="I434" s="7"/>
    </row>
    <row r="435" spans="2:9" ht="25" outlineLevel="2" x14ac:dyDescent="0.2">
      <c r="B435" s="8" t="s">
        <v>730</v>
      </c>
      <c r="C435" s="8" t="s">
        <v>8</v>
      </c>
      <c r="D435" s="8" t="s">
        <v>7</v>
      </c>
      <c r="E435" s="8" t="s">
        <v>6</v>
      </c>
      <c r="F435" s="8" t="s">
        <v>744</v>
      </c>
      <c r="G435" s="8" t="s">
        <v>743</v>
      </c>
      <c r="H435" s="8" t="s">
        <v>11</v>
      </c>
      <c r="I435" s="7">
        <v>-11000</v>
      </c>
    </row>
    <row r="436" spans="2:9" ht="25" outlineLevel="2" x14ac:dyDescent="0.2">
      <c r="B436" s="8" t="s">
        <v>730</v>
      </c>
      <c r="C436" s="8" t="s">
        <v>8</v>
      </c>
      <c r="D436" s="8" t="s">
        <v>7</v>
      </c>
      <c r="E436" s="8" t="s">
        <v>6</v>
      </c>
      <c r="F436" s="8" t="s">
        <v>744</v>
      </c>
      <c r="G436" s="8" t="s">
        <v>743</v>
      </c>
      <c r="H436" s="8" t="s">
        <v>221</v>
      </c>
      <c r="I436" s="7">
        <v>11000</v>
      </c>
    </row>
    <row r="437" spans="2:9" outlineLevel="2" x14ac:dyDescent="0.2">
      <c r="B437" s="8"/>
      <c r="C437" s="8"/>
      <c r="D437" s="8"/>
      <c r="E437" s="8"/>
      <c r="F437" s="8"/>
      <c r="G437" s="8"/>
      <c r="H437" s="8"/>
      <c r="I437" s="7"/>
    </row>
    <row r="438" spans="2:9" ht="25" outlineLevel="2" x14ac:dyDescent="0.2">
      <c r="B438" s="8" t="s">
        <v>730</v>
      </c>
      <c r="C438" s="8" t="s">
        <v>8</v>
      </c>
      <c r="D438" s="8" t="s">
        <v>7</v>
      </c>
      <c r="E438" s="8" t="s">
        <v>6</v>
      </c>
      <c r="F438" s="8" t="s">
        <v>48</v>
      </c>
      <c r="G438" s="8" t="s">
        <v>742</v>
      </c>
      <c r="H438" s="8" t="s">
        <v>11</v>
      </c>
      <c r="I438" s="7">
        <v>-672000</v>
      </c>
    </row>
    <row r="439" spans="2:9" ht="25" outlineLevel="2" x14ac:dyDescent="0.2">
      <c r="B439" s="8" t="s">
        <v>730</v>
      </c>
      <c r="C439" s="8" t="s">
        <v>8</v>
      </c>
      <c r="D439" s="8" t="s">
        <v>7</v>
      </c>
      <c r="E439" s="8" t="s">
        <v>6</v>
      </c>
      <c r="F439" s="8" t="s">
        <v>48</v>
      </c>
      <c r="G439" s="8" t="s">
        <v>742</v>
      </c>
      <c r="H439" s="8" t="s">
        <v>58</v>
      </c>
      <c r="I439" s="7">
        <v>672000</v>
      </c>
    </row>
    <row r="440" spans="2:9" outlineLevel="2" x14ac:dyDescent="0.2">
      <c r="B440" s="8"/>
      <c r="C440" s="8"/>
      <c r="D440" s="8"/>
      <c r="E440" s="8"/>
      <c r="F440" s="8"/>
      <c r="G440" s="8"/>
      <c r="H440" s="8"/>
      <c r="I440" s="7"/>
    </row>
    <row r="441" spans="2:9" ht="25" outlineLevel="2" x14ac:dyDescent="0.2">
      <c r="B441" s="8" t="s">
        <v>730</v>
      </c>
      <c r="C441" s="8" t="s">
        <v>8</v>
      </c>
      <c r="D441" s="8" t="s">
        <v>7</v>
      </c>
      <c r="E441" s="8" t="s">
        <v>6</v>
      </c>
      <c r="F441" s="8" t="s">
        <v>48</v>
      </c>
      <c r="G441" s="8" t="s">
        <v>741</v>
      </c>
      <c r="H441" s="8" t="s">
        <v>11</v>
      </c>
      <c r="I441" s="7">
        <v>-22000</v>
      </c>
    </row>
    <row r="442" spans="2:9" ht="25" outlineLevel="2" x14ac:dyDescent="0.2">
      <c r="B442" s="8" t="s">
        <v>730</v>
      </c>
      <c r="C442" s="8" t="s">
        <v>8</v>
      </c>
      <c r="D442" s="8" t="s">
        <v>7</v>
      </c>
      <c r="E442" s="8" t="s">
        <v>6</v>
      </c>
      <c r="F442" s="8" t="s">
        <v>48</v>
      </c>
      <c r="G442" s="8" t="s">
        <v>741</v>
      </c>
      <c r="H442" s="8" t="s">
        <v>221</v>
      </c>
      <c r="I442" s="7">
        <v>22000</v>
      </c>
    </row>
    <row r="443" spans="2:9" outlineLevel="2" x14ac:dyDescent="0.2">
      <c r="B443" s="8"/>
      <c r="C443" s="8"/>
      <c r="D443" s="8"/>
      <c r="E443" s="8"/>
      <c r="F443" s="8"/>
      <c r="G443" s="8"/>
      <c r="H443" s="8"/>
      <c r="I443" s="7"/>
    </row>
    <row r="444" spans="2:9" ht="25" outlineLevel="2" x14ac:dyDescent="0.2">
      <c r="B444" s="8" t="s">
        <v>730</v>
      </c>
      <c r="C444" s="8" t="s">
        <v>8</v>
      </c>
      <c r="D444" s="8" t="s">
        <v>7</v>
      </c>
      <c r="E444" s="8" t="s">
        <v>6</v>
      </c>
      <c r="F444" s="8" t="s">
        <v>737</v>
      </c>
      <c r="G444" s="8" t="s">
        <v>740</v>
      </c>
      <c r="H444" s="8" t="s">
        <v>11</v>
      </c>
      <c r="I444" s="7">
        <v>-4250000</v>
      </c>
    </row>
    <row r="445" spans="2:9" ht="25" outlineLevel="2" x14ac:dyDescent="0.2">
      <c r="B445" s="8" t="s">
        <v>730</v>
      </c>
      <c r="C445" s="8" t="s">
        <v>8</v>
      </c>
      <c r="D445" s="8" t="s">
        <v>7</v>
      </c>
      <c r="E445" s="8" t="s">
        <v>6</v>
      </c>
      <c r="F445" s="8" t="s">
        <v>737</v>
      </c>
      <c r="G445" s="8" t="s">
        <v>740</v>
      </c>
      <c r="H445" s="8" t="s">
        <v>29</v>
      </c>
      <c r="I445" s="7">
        <v>4250000</v>
      </c>
    </row>
    <row r="446" spans="2:9" ht="25" outlineLevel="2" x14ac:dyDescent="0.2">
      <c r="B446" s="8" t="s">
        <v>730</v>
      </c>
      <c r="C446" s="8" t="s">
        <v>8</v>
      </c>
      <c r="D446" s="8" t="s">
        <v>7</v>
      </c>
      <c r="E446" s="8" t="s">
        <v>6</v>
      </c>
      <c r="F446" s="8" t="s">
        <v>737</v>
      </c>
      <c r="G446" s="8" t="s">
        <v>739</v>
      </c>
      <c r="H446" s="8" t="s">
        <v>29</v>
      </c>
      <c r="I446" s="7">
        <v>-4250000</v>
      </c>
    </row>
    <row r="447" spans="2:9" ht="25" outlineLevel="2" x14ac:dyDescent="0.2">
      <c r="B447" s="8" t="s">
        <v>730</v>
      </c>
      <c r="C447" s="8" t="s">
        <v>8</v>
      </c>
      <c r="D447" s="8" t="s">
        <v>7</v>
      </c>
      <c r="E447" s="8" t="s">
        <v>6</v>
      </c>
      <c r="F447" s="8" t="s">
        <v>737</v>
      </c>
      <c r="G447" s="8" t="s">
        <v>738</v>
      </c>
      <c r="H447" s="8" t="s">
        <v>38</v>
      </c>
      <c r="I447" s="7">
        <v>4250000</v>
      </c>
    </row>
    <row r="448" spans="2:9" outlineLevel="2" x14ac:dyDescent="0.2">
      <c r="B448" s="8"/>
      <c r="C448" s="8"/>
      <c r="D448" s="8"/>
      <c r="E448" s="8"/>
      <c r="F448" s="8"/>
      <c r="G448" s="8"/>
      <c r="H448" s="8"/>
      <c r="I448" s="7"/>
    </row>
    <row r="449" spans="2:9" ht="25" outlineLevel="2" x14ac:dyDescent="0.2">
      <c r="B449" s="8" t="s">
        <v>730</v>
      </c>
      <c r="C449" s="8" t="s">
        <v>8</v>
      </c>
      <c r="D449" s="8" t="s">
        <v>7</v>
      </c>
      <c r="E449" s="8" t="s">
        <v>6</v>
      </c>
      <c r="F449" s="8" t="s">
        <v>737</v>
      </c>
      <c r="G449" s="8" t="s">
        <v>736</v>
      </c>
      <c r="H449" s="8" t="s">
        <v>11</v>
      </c>
      <c r="I449" s="7">
        <v>-11000</v>
      </c>
    </row>
    <row r="450" spans="2:9" ht="25" outlineLevel="2" x14ac:dyDescent="0.2">
      <c r="B450" s="8" t="s">
        <v>730</v>
      </c>
      <c r="C450" s="8" t="s">
        <v>8</v>
      </c>
      <c r="D450" s="8" t="s">
        <v>7</v>
      </c>
      <c r="E450" s="8" t="s">
        <v>6</v>
      </c>
      <c r="F450" s="8" t="s">
        <v>737</v>
      </c>
      <c r="G450" s="8" t="s">
        <v>736</v>
      </c>
      <c r="H450" s="8" t="s">
        <v>221</v>
      </c>
      <c r="I450" s="7">
        <v>11000</v>
      </c>
    </row>
    <row r="451" spans="2:9" outlineLevel="2" x14ac:dyDescent="0.2">
      <c r="B451" s="8"/>
      <c r="C451" s="8"/>
      <c r="D451" s="8"/>
      <c r="E451" s="8"/>
      <c r="F451" s="8"/>
      <c r="G451" s="8"/>
      <c r="H451" s="8"/>
      <c r="I451" s="7"/>
    </row>
    <row r="452" spans="2:9" ht="25" outlineLevel="2" x14ac:dyDescent="0.2">
      <c r="B452" s="8" t="s">
        <v>730</v>
      </c>
      <c r="C452" s="8" t="s">
        <v>8</v>
      </c>
      <c r="D452" s="8" t="s">
        <v>7</v>
      </c>
      <c r="E452" s="8" t="s">
        <v>6</v>
      </c>
      <c r="F452" s="8" t="s">
        <v>322</v>
      </c>
      <c r="G452" s="8" t="s">
        <v>735</v>
      </c>
      <c r="H452" s="8" t="s">
        <v>11</v>
      </c>
      <c r="I452" s="7">
        <v>-7583200</v>
      </c>
    </row>
    <row r="453" spans="2:9" ht="25" outlineLevel="2" x14ac:dyDescent="0.2">
      <c r="B453" s="8" t="s">
        <v>730</v>
      </c>
      <c r="C453" s="8" t="s">
        <v>8</v>
      </c>
      <c r="D453" s="8" t="s">
        <v>7</v>
      </c>
      <c r="E453" s="8" t="s">
        <v>6</v>
      </c>
      <c r="F453" s="8" t="s">
        <v>322</v>
      </c>
      <c r="G453" s="8" t="s">
        <v>735</v>
      </c>
      <c r="H453" s="8" t="s">
        <v>55</v>
      </c>
      <c r="I453" s="7">
        <v>7583200</v>
      </c>
    </row>
    <row r="454" spans="2:9" outlineLevel="2" x14ac:dyDescent="0.2">
      <c r="B454" s="8"/>
      <c r="C454" s="8"/>
      <c r="D454" s="8"/>
      <c r="E454" s="8"/>
      <c r="F454" s="8"/>
      <c r="G454" s="8"/>
      <c r="H454" s="8"/>
      <c r="I454" s="7"/>
    </row>
    <row r="455" spans="2:9" ht="25" outlineLevel="2" x14ac:dyDescent="0.2">
      <c r="B455" s="8" t="s">
        <v>730</v>
      </c>
      <c r="C455" s="8" t="s">
        <v>8</v>
      </c>
      <c r="D455" s="8" t="s">
        <v>7</v>
      </c>
      <c r="E455" s="8" t="s">
        <v>6</v>
      </c>
      <c r="F455" s="8" t="s">
        <v>322</v>
      </c>
      <c r="G455" s="8" t="s">
        <v>734</v>
      </c>
      <c r="H455" s="8" t="s">
        <v>11</v>
      </c>
      <c r="I455" s="7">
        <v>-11000</v>
      </c>
    </row>
    <row r="456" spans="2:9" ht="25" outlineLevel="2" x14ac:dyDescent="0.2">
      <c r="B456" s="8" t="s">
        <v>730</v>
      </c>
      <c r="C456" s="8" t="s">
        <v>8</v>
      </c>
      <c r="D456" s="8" t="s">
        <v>7</v>
      </c>
      <c r="E456" s="8" t="s">
        <v>6</v>
      </c>
      <c r="F456" s="8" t="s">
        <v>322</v>
      </c>
      <c r="G456" s="8" t="s">
        <v>734</v>
      </c>
      <c r="H456" s="8" t="s">
        <v>221</v>
      </c>
      <c r="I456" s="7">
        <v>11000</v>
      </c>
    </row>
    <row r="457" spans="2:9" outlineLevel="2" x14ac:dyDescent="0.2">
      <c r="B457" s="8"/>
      <c r="C457" s="8"/>
      <c r="D457" s="8"/>
      <c r="E457" s="8"/>
      <c r="F457" s="8"/>
      <c r="G457" s="8"/>
      <c r="H457" s="8"/>
      <c r="I457" s="7"/>
    </row>
    <row r="458" spans="2:9" ht="25" outlineLevel="2" x14ac:dyDescent="0.2">
      <c r="B458" s="8" t="s">
        <v>730</v>
      </c>
      <c r="C458" s="8" t="s">
        <v>8</v>
      </c>
      <c r="D458" s="8" t="s">
        <v>7</v>
      </c>
      <c r="E458" s="8" t="s">
        <v>6</v>
      </c>
      <c r="F458" s="8" t="s">
        <v>408</v>
      </c>
      <c r="G458" s="8" t="s">
        <v>733</v>
      </c>
      <c r="H458" s="8" t="s">
        <v>11</v>
      </c>
      <c r="I458" s="7">
        <v>-17284000</v>
      </c>
    </row>
    <row r="459" spans="2:9" ht="25" outlineLevel="2" x14ac:dyDescent="0.2">
      <c r="B459" s="8" t="s">
        <v>730</v>
      </c>
      <c r="C459" s="8" t="s">
        <v>8</v>
      </c>
      <c r="D459" s="8" t="s">
        <v>7</v>
      </c>
      <c r="E459" s="8" t="s">
        <v>6</v>
      </c>
      <c r="F459" s="8" t="s">
        <v>408</v>
      </c>
      <c r="G459" s="8" t="s">
        <v>733</v>
      </c>
      <c r="H459" s="8" t="s">
        <v>55</v>
      </c>
      <c r="I459" s="7">
        <v>17284000</v>
      </c>
    </row>
    <row r="460" spans="2:9" outlineLevel="2" x14ac:dyDescent="0.2">
      <c r="B460" s="8"/>
      <c r="C460" s="8"/>
      <c r="D460" s="8"/>
      <c r="E460" s="8"/>
      <c r="F460" s="8"/>
      <c r="G460" s="8"/>
      <c r="H460" s="8"/>
      <c r="I460" s="7"/>
    </row>
    <row r="461" spans="2:9" ht="25" outlineLevel="2" x14ac:dyDescent="0.2">
      <c r="B461" s="8" t="s">
        <v>730</v>
      </c>
      <c r="C461" s="8" t="s">
        <v>8</v>
      </c>
      <c r="D461" s="8" t="s">
        <v>7</v>
      </c>
      <c r="E461" s="8" t="s">
        <v>6</v>
      </c>
      <c r="F461" s="8" t="s">
        <v>408</v>
      </c>
      <c r="G461" s="8" t="s">
        <v>732</v>
      </c>
      <c r="H461" s="8" t="s">
        <v>11</v>
      </c>
      <c r="I461" s="7">
        <v>-11000</v>
      </c>
    </row>
    <row r="462" spans="2:9" ht="25" outlineLevel="2" x14ac:dyDescent="0.2">
      <c r="B462" s="8" t="s">
        <v>730</v>
      </c>
      <c r="C462" s="8" t="s">
        <v>8</v>
      </c>
      <c r="D462" s="8" t="s">
        <v>7</v>
      </c>
      <c r="E462" s="8" t="s">
        <v>6</v>
      </c>
      <c r="F462" s="8" t="s">
        <v>408</v>
      </c>
      <c r="G462" s="8" t="s">
        <v>732</v>
      </c>
      <c r="H462" s="8" t="s">
        <v>221</v>
      </c>
      <c r="I462" s="7">
        <v>11000</v>
      </c>
    </row>
    <row r="463" spans="2:9" outlineLevel="2" x14ac:dyDescent="0.2">
      <c r="B463" s="8"/>
      <c r="C463" s="8"/>
      <c r="D463" s="8"/>
      <c r="E463" s="8"/>
      <c r="F463" s="8"/>
      <c r="G463" s="8"/>
      <c r="H463" s="8"/>
      <c r="I463" s="7"/>
    </row>
    <row r="464" spans="2:9" ht="25" outlineLevel="2" x14ac:dyDescent="0.2">
      <c r="B464" s="8" t="s">
        <v>730</v>
      </c>
      <c r="C464" s="8" t="s">
        <v>8</v>
      </c>
      <c r="D464" s="8" t="s">
        <v>7</v>
      </c>
      <c r="E464" s="8" t="s">
        <v>6</v>
      </c>
      <c r="F464" s="8" t="s">
        <v>531</v>
      </c>
      <c r="G464" s="8" t="s">
        <v>731</v>
      </c>
      <c r="H464" s="8" t="s">
        <v>11</v>
      </c>
      <c r="I464" s="7">
        <v>-3284000</v>
      </c>
    </row>
    <row r="465" spans="2:9" ht="25" outlineLevel="2" x14ac:dyDescent="0.2">
      <c r="B465" s="8" t="s">
        <v>730</v>
      </c>
      <c r="C465" s="8" t="s">
        <v>8</v>
      </c>
      <c r="D465" s="8" t="s">
        <v>7</v>
      </c>
      <c r="E465" s="8" t="s">
        <v>6</v>
      </c>
      <c r="F465" s="8" t="s">
        <v>531</v>
      </c>
      <c r="G465" s="8" t="s">
        <v>731</v>
      </c>
      <c r="H465" s="8" t="s">
        <v>33</v>
      </c>
      <c r="I465" s="7">
        <v>3284000</v>
      </c>
    </row>
    <row r="466" spans="2:9" outlineLevel="2" x14ac:dyDescent="0.2">
      <c r="B466" s="8"/>
      <c r="C466" s="8"/>
      <c r="D466" s="8"/>
      <c r="E466" s="8"/>
      <c r="F466" s="8"/>
      <c r="G466" s="8"/>
      <c r="H466" s="8"/>
      <c r="I466" s="7"/>
    </row>
    <row r="467" spans="2:9" ht="25" outlineLevel="2" x14ac:dyDescent="0.2">
      <c r="B467" s="8" t="s">
        <v>730</v>
      </c>
      <c r="C467" s="8" t="s">
        <v>8</v>
      </c>
      <c r="D467" s="8" t="s">
        <v>7</v>
      </c>
      <c r="E467" s="8" t="s">
        <v>6</v>
      </c>
      <c r="F467" s="8" t="s">
        <v>531</v>
      </c>
      <c r="G467" s="8" t="s">
        <v>729</v>
      </c>
      <c r="H467" s="8" t="s">
        <v>11</v>
      </c>
      <c r="I467" s="7">
        <v>-11000</v>
      </c>
    </row>
    <row r="468" spans="2:9" ht="25" outlineLevel="2" x14ac:dyDescent="0.2">
      <c r="B468" s="8" t="s">
        <v>730</v>
      </c>
      <c r="C468" s="8" t="s">
        <v>8</v>
      </c>
      <c r="D468" s="8" t="s">
        <v>7</v>
      </c>
      <c r="E468" s="8" t="s">
        <v>6</v>
      </c>
      <c r="F468" s="8" t="s">
        <v>531</v>
      </c>
      <c r="G468" s="8" t="s">
        <v>729</v>
      </c>
      <c r="H468" s="8" t="s">
        <v>221</v>
      </c>
      <c r="I468" s="7">
        <v>11000</v>
      </c>
    </row>
    <row r="469" spans="2:9" outlineLevel="2" x14ac:dyDescent="0.2">
      <c r="B469" s="8"/>
      <c r="C469" s="8"/>
      <c r="D469" s="8"/>
      <c r="E469" s="8"/>
      <c r="F469" s="8"/>
      <c r="G469" s="8"/>
      <c r="H469" s="8"/>
      <c r="I469" s="7"/>
    </row>
    <row r="470" spans="2:9" outlineLevel="2" x14ac:dyDescent="0.2">
      <c r="B470" s="8" t="s">
        <v>728</v>
      </c>
      <c r="C470" s="8" t="s">
        <v>8</v>
      </c>
      <c r="D470" s="8" t="s">
        <v>7</v>
      </c>
      <c r="E470" s="8" t="s">
        <v>6</v>
      </c>
      <c r="F470" s="8" t="s">
        <v>727</v>
      </c>
      <c r="G470" s="8" t="s">
        <v>726</v>
      </c>
      <c r="H470" s="8" t="s">
        <v>11</v>
      </c>
      <c r="I470" s="7">
        <v>0</v>
      </c>
    </row>
    <row r="471" spans="2:9" outlineLevel="2" x14ac:dyDescent="0.2">
      <c r="B471" s="8" t="s">
        <v>728</v>
      </c>
      <c r="C471" s="8" t="s">
        <v>8</v>
      </c>
      <c r="D471" s="8" t="s">
        <v>7</v>
      </c>
      <c r="E471" s="8" t="s">
        <v>6</v>
      </c>
      <c r="F471" s="8" t="s">
        <v>727</v>
      </c>
      <c r="G471" s="8" t="s">
        <v>726</v>
      </c>
      <c r="H471" s="8" t="s">
        <v>29</v>
      </c>
      <c r="I471" s="7">
        <v>918000</v>
      </c>
    </row>
    <row r="472" spans="2:9" outlineLevel="2" x14ac:dyDescent="0.2">
      <c r="B472" s="8" t="s">
        <v>728</v>
      </c>
      <c r="C472" s="8" t="s">
        <v>8</v>
      </c>
      <c r="D472" s="8" t="s">
        <v>7</v>
      </c>
      <c r="E472" s="8" t="s">
        <v>6</v>
      </c>
      <c r="F472" s="8" t="s">
        <v>727</v>
      </c>
      <c r="G472" s="8" t="s">
        <v>726</v>
      </c>
      <c r="H472" s="8" t="s">
        <v>55</v>
      </c>
      <c r="I472" s="7">
        <v>-918000</v>
      </c>
    </row>
    <row r="473" spans="2:9" outlineLevel="2" x14ac:dyDescent="0.2">
      <c r="B473" s="8"/>
      <c r="C473" s="8"/>
      <c r="D473" s="8"/>
      <c r="E473" s="8"/>
      <c r="F473" s="8"/>
      <c r="G473" s="8"/>
      <c r="H473" s="8"/>
      <c r="I473" s="7"/>
    </row>
    <row r="474" spans="2:9" outlineLevel="2" x14ac:dyDescent="0.2">
      <c r="B474" s="8" t="s">
        <v>725</v>
      </c>
      <c r="C474" s="8" t="s">
        <v>8</v>
      </c>
      <c r="D474" s="8" t="s">
        <v>7</v>
      </c>
      <c r="E474" s="8" t="s">
        <v>6</v>
      </c>
      <c r="F474" s="8" t="s">
        <v>516</v>
      </c>
      <c r="G474" s="8" t="s">
        <v>724</v>
      </c>
      <c r="H474" s="8" t="s">
        <v>11</v>
      </c>
      <c r="I474" s="7">
        <v>-22000</v>
      </c>
    </row>
    <row r="475" spans="2:9" outlineLevel="2" x14ac:dyDescent="0.2">
      <c r="B475" s="8" t="s">
        <v>725</v>
      </c>
      <c r="C475" s="8" t="s">
        <v>8</v>
      </c>
      <c r="D475" s="8" t="s">
        <v>7</v>
      </c>
      <c r="E475" s="8" t="s">
        <v>6</v>
      </c>
      <c r="F475" s="8" t="s">
        <v>516</v>
      </c>
      <c r="G475" s="8" t="s">
        <v>724</v>
      </c>
      <c r="H475" s="8" t="s">
        <v>221</v>
      </c>
      <c r="I475" s="7">
        <v>22000</v>
      </c>
    </row>
    <row r="476" spans="2:9" outlineLevel="2" x14ac:dyDescent="0.2">
      <c r="B476" s="8"/>
      <c r="C476" s="8"/>
      <c r="D476" s="8"/>
      <c r="E476" s="8"/>
      <c r="F476" s="8"/>
      <c r="G476" s="8"/>
      <c r="H476" s="8"/>
      <c r="I476" s="7"/>
    </row>
    <row r="477" spans="2:9" outlineLevel="2" x14ac:dyDescent="0.2">
      <c r="B477" s="8" t="s">
        <v>722</v>
      </c>
      <c r="C477" s="8" t="s">
        <v>8</v>
      </c>
      <c r="D477" s="8" t="s">
        <v>7</v>
      </c>
      <c r="E477" s="8" t="s">
        <v>6</v>
      </c>
      <c r="F477" s="8" t="s">
        <v>721</v>
      </c>
      <c r="G477" s="8" t="s">
        <v>723</v>
      </c>
      <c r="H477" s="8" t="s">
        <v>11</v>
      </c>
      <c r="I477" s="7">
        <v>-235096633</v>
      </c>
    </row>
    <row r="478" spans="2:9" outlineLevel="2" x14ac:dyDescent="0.2">
      <c r="B478" s="8" t="s">
        <v>722</v>
      </c>
      <c r="C478" s="8" t="s">
        <v>8</v>
      </c>
      <c r="D478" s="8" t="s">
        <v>7</v>
      </c>
      <c r="E478" s="8" t="s">
        <v>6</v>
      </c>
      <c r="F478" s="8" t="s">
        <v>721</v>
      </c>
      <c r="G478" s="8" t="s">
        <v>723</v>
      </c>
      <c r="H478" s="8" t="s">
        <v>26</v>
      </c>
      <c r="I478" s="7">
        <v>-235096633</v>
      </c>
    </row>
    <row r="479" spans="2:9" outlineLevel="2" x14ac:dyDescent="0.2">
      <c r="B479" s="8"/>
      <c r="C479" s="8"/>
      <c r="D479" s="8"/>
      <c r="E479" s="8"/>
      <c r="F479" s="8"/>
      <c r="G479" s="8"/>
      <c r="H479" s="8"/>
      <c r="I479" s="7"/>
    </row>
    <row r="480" spans="2:9" outlineLevel="2" x14ac:dyDescent="0.2">
      <c r="B480" s="8" t="s">
        <v>722</v>
      </c>
      <c r="C480" s="8" t="s">
        <v>8</v>
      </c>
      <c r="D480" s="8" t="s">
        <v>7</v>
      </c>
      <c r="E480" s="8" t="s">
        <v>6</v>
      </c>
      <c r="F480" s="8" t="s">
        <v>721</v>
      </c>
      <c r="G480" s="8" t="s">
        <v>720</v>
      </c>
      <c r="H480" s="8" t="s">
        <v>11</v>
      </c>
      <c r="I480" s="7">
        <v>-11000</v>
      </c>
    </row>
    <row r="481" spans="2:9" outlineLevel="2" x14ac:dyDescent="0.2">
      <c r="B481" s="8" t="s">
        <v>722</v>
      </c>
      <c r="C481" s="8" t="s">
        <v>8</v>
      </c>
      <c r="D481" s="8" t="s">
        <v>7</v>
      </c>
      <c r="E481" s="8" t="s">
        <v>6</v>
      </c>
      <c r="F481" s="8" t="s">
        <v>721</v>
      </c>
      <c r="G481" s="8" t="s">
        <v>720</v>
      </c>
      <c r="H481" s="8" t="s">
        <v>221</v>
      </c>
      <c r="I481" s="7">
        <v>11000</v>
      </c>
    </row>
    <row r="482" spans="2:9" outlineLevel="2" x14ac:dyDescent="0.2">
      <c r="B482" s="8"/>
      <c r="C482" s="8"/>
      <c r="D482" s="8"/>
      <c r="E482" s="8"/>
      <c r="F482" s="8"/>
      <c r="G482" s="8"/>
      <c r="H482" s="8"/>
      <c r="I482" s="7"/>
    </row>
    <row r="483" spans="2:9" ht="49" outlineLevel="2" x14ac:dyDescent="0.2">
      <c r="B483" s="8" t="s">
        <v>670</v>
      </c>
      <c r="C483" s="8" t="s">
        <v>8</v>
      </c>
      <c r="D483" s="8" t="s">
        <v>7</v>
      </c>
      <c r="E483" s="8" t="s">
        <v>6</v>
      </c>
      <c r="F483" s="8" t="s">
        <v>32</v>
      </c>
      <c r="G483" s="8" t="s">
        <v>719</v>
      </c>
      <c r="H483" s="8" t="s">
        <v>11</v>
      </c>
      <c r="I483" s="7">
        <v>-3923217</v>
      </c>
    </row>
    <row r="484" spans="2:9" outlineLevel="2" x14ac:dyDescent="0.2">
      <c r="B484" s="8" t="s">
        <v>670</v>
      </c>
      <c r="C484" s="8" t="s">
        <v>8</v>
      </c>
      <c r="D484" s="8" t="s">
        <v>7</v>
      </c>
      <c r="E484" s="8" t="s">
        <v>6</v>
      </c>
      <c r="F484" s="8" t="s">
        <v>32</v>
      </c>
      <c r="G484" s="8" t="s">
        <v>718</v>
      </c>
      <c r="H484" s="8" t="s">
        <v>43</v>
      </c>
      <c r="I484" s="7">
        <v>688217</v>
      </c>
    </row>
    <row r="485" spans="2:9" ht="25" outlineLevel="2" x14ac:dyDescent="0.2">
      <c r="B485" s="8" t="s">
        <v>670</v>
      </c>
      <c r="C485" s="8" t="s">
        <v>8</v>
      </c>
      <c r="D485" s="8" t="s">
        <v>7</v>
      </c>
      <c r="E485" s="8" t="s">
        <v>6</v>
      </c>
      <c r="F485" s="8" t="s">
        <v>32</v>
      </c>
      <c r="G485" s="8" t="s">
        <v>717</v>
      </c>
      <c r="H485" s="8" t="s">
        <v>33</v>
      </c>
      <c r="I485" s="7">
        <v>1617500</v>
      </c>
    </row>
    <row r="486" spans="2:9" ht="25" outlineLevel="2" x14ac:dyDescent="0.2">
      <c r="B486" s="8" t="s">
        <v>670</v>
      </c>
      <c r="C486" s="8" t="s">
        <v>8</v>
      </c>
      <c r="D486" s="8" t="s">
        <v>7</v>
      </c>
      <c r="E486" s="8" t="s">
        <v>6</v>
      </c>
      <c r="F486" s="8" t="s">
        <v>32</v>
      </c>
      <c r="G486" s="8" t="s">
        <v>716</v>
      </c>
      <c r="H486" s="8" t="s">
        <v>33</v>
      </c>
      <c r="I486" s="7">
        <v>1617500</v>
      </c>
    </row>
    <row r="487" spans="2:9" outlineLevel="2" x14ac:dyDescent="0.2">
      <c r="B487" s="8"/>
      <c r="C487" s="8"/>
      <c r="D487" s="8"/>
      <c r="E487" s="8"/>
      <c r="F487" s="8"/>
      <c r="G487" s="8"/>
      <c r="H487" s="8"/>
      <c r="I487" s="7"/>
    </row>
    <row r="488" spans="2:9" ht="25" outlineLevel="2" x14ac:dyDescent="0.2">
      <c r="B488" s="8" t="s">
        <v>670</v>
      </c>
      <c r="C488" s="8" t="s">
        <v>8</v>
      </c>
      <c r="D488" s="8" t="s">
        <v>7</v>
      </c>
      <c r="E488" s="8" t="s">
        <v>6</v>
      </c>
      <c r="F488" s="8" t="s">
        <v>32</v>
      </c>
      <c r="G488" s="8" t="s">
        <v>715</v>
      </c>
      <c r="H488" s="8" t="s">
        <v>11</v>
      </c>
      <c r="I488" s="7">
        <v>-11000</v>
      </c>
    </row>
    <row r="489" spans="2:9" ht="25" outlineLevel="2" x14ac:dyDescent="0.2">
      <c r="B489" s="8" t="s">
        <v>670</v>
      </c>
      <c r="C489" s="8" t="s">
        <v>8</v>
      </c>
      <c r="D489" s="8" t="s">
        <v>7</v>
      </c>
      <c r="E489" s="8" t="s">
        <v>6</v>
      </c>
      <c r="F489" s="8" t="s">
        <v>32</v>
      </c>
      <c r="G489" s="8" t="s">
        <v>715</v>
      </c>
      <c r="H489" s="8" t="s">
        <v>221</v>
      </c>
      <c r="I489" s="7">
        <v>11000</v>
      </c>
    </row>
    <row r="490" spans="2:9" outlineLevel="2" x14ac:dyDescent="0.2">
      <c r="B490" s="8"/>
      <c r="C490" s="8"/>
      <c r="D490" s="8"/>
      <c r="E490" s="8"/>
      <c r="F490" s="8"/>
      <c r="G490" s="8"/>
      <c r="H490" s="8"/>
      <c r="I490" s="7"/>
    </row>
    <row r="491" spans="2:9" ht="25" outlineLevel="2" x14ac:dyDescent="0.2">
      <c r="B491" s="8" t="s">
        <v>670</v>
      </c>
      <c r="C491" s="8" t="s">
        <v>8</v>
      </c>
      <c r="D491" s="8" t="s">
        <v>7</v>
      </c>
      <c r="E491" s="8" t="s">
        <v>6</v>
      </c>
      <c r="F491" s="8" t="s">
        <v>19</v>
      </c>
      <c r="G491" s="8" t="s">
        <v>714</v>
      </c>
      <c r="H491" s="8" t="s">
        <v>11</v>
      </c>
      <c r="I491" s="7">
        <v>-750000</v>
      </c>
    </row>
    <row r="492" spans="2:9" ht="25" outlineLevel="2" x14ac:dyDescent="0.2">
      <c r="B492" s="8" t="s">
        <v>670</v>
      </c>
      <c r="C492" s="8" t="s">
        <v>8</v>
      </c>
      <c r="D492" s="8" t="s">
        <v>7</v>
      </c>
      <c r="E492" s="8" t="s">
        <v>6</v>
      </c>
      <c r="F492" s="8" t="s">
        <v>19</v>
      </c>
      <c r="G492" s="8" t="s">
        <v>714</v>
      </c>
      <c r="H492" s="8" t="s">
        <v>61</v>
      </c>
      <c r="I492" s="7">
        <v>750000</v>
      </c>
    </row>
    <row r="493" spans="2:9" outlineLevel="2" x14ac:dyDescent="0.2">
      <c r="B493" s="8"/>
      <c r="C493" s="8"/>
      <c r="D493" s="8"/>
      <c r="E493" s="8"/>
      <c r="F493" s="8"/>
      <c r="G493" s="8"/>
      <c r="H493" s="8"/>
      <c r="I493" s="7"/>
    </row>
    <row r="494" spans="2:9" ht="25" outlineLevel="2" x14ac:dyDescent="0.2">
      <c r="B494" s="8" t="s">
        <v>670</v>
      </c>
      <c r="C494" s="8" t="s">
        <v>8</v>
      </c>
      <c r="D494" s="8" t="s">
        <v>7</v>
      </c>
      <c r="E494" s="8" t="s">
        <v>6</v>
      </c>
      <c r="F494" s="8" t="s">
        <v>19</v>
      </c>
      <c r="G494" s="8" t="s">
        <v>713</v>
      </c>
      <c r="H494" s="8" t="s">
        <v>11</v>
      </c>
      <c r="I494" s="7">
        <v>-11000</v>
      </c>
    </row>
    <row r="495" spans="2:9" ht="25" outlineLevel="2" x14ac:dyDescent="0.2">
      <c r="B495" s="8" t="s">
        <v>670</v>
      </c>
      <c r="C495" s="8" t="s">
        <v>8</v>
      </c>
      <c r="D495" s="8" t="s">
        <v>7</v>
      </c>
      <c r="E495" s="8" t="s">
        <v>6</v>
      </c>
      <c r="F495" s="8" t="s">
        <v>19</v>
      </c>
      <c r="G495" s="8" t="s">
        <v>713</v>
      </c>
      <c r="H495" s="8" t="s">
        <v>221</v>
      </c>
      <c r="I495" s="7">
        <v>11000</v>
      </c>
    </row>
    <row r="496" spans="2:9" outlineLevel="2" x14ac:dyDescent="0.2">
      <c r="B496" s="8"/>
      <c r="C496" s="8"/>
      <c r="D496" s="8"/>
      <c r="E496" s="8"/>
      <c r="F496" s="8"/>
      <c r="G496" s="8"/>
      <c r="H496" s="8"/>
      <c r="I496" s="7"/>
    </row>
    <row r="497" spans="2:9" ht="49" outlineLevel="2" x14ac:dyDescent="0.2">
      <c r="B497" s="8" t="s">
        <v>670</v>
      </c>
      <c r="C497" s="8" t="s">
        <v>8</v>
      </c>
      <c r="D497" s="8" t="s">
        <v>7</v>
      </c>
      <c r="E497" s="8" t="s">
        <v>6</v>
      </c>
      <c r="F497" s="8" t="s">
        <v>531</v>
      </c>
      <c r="G497" s="8" t="s">
        <v>712</v>
      </c>
      <c r="H497" s="8" t="s">
        <v>11</v>
      </c>
      <c r="I497" s="7">
        <v>-3902000</v>
      </c>
    </row>
    <row r="498" spans="2:9" ht="25" outlineLevel="2" x14ac:dyDescent="0.2">
      <c r="B498" s="8" t="s">
        <v>670</v>
      </c>
      <c r="C498" s="8" t="s">
        <v>8</v>
      </c>
      <c r="D498" s="8" t="s">
        <v>7</v>
      </c>
      <c r="E498" s="8" t="s">
        <v>6</v>
      </c>
      <c r="F498" s="8" t="s">
        <v>531</v>
      </c>
      <c r="G498" s="8" t="s">
        <v>711</v>
      </c>
      <c r="H498" s="8" t="s">
        <v>33</v>
      </c>
      <c r="I498" s="7">
        <v>1951000</v>
      </c>
    </row>
    <row r="499" spans="2:9" ht="25" outlineLevel="2" x14ac:dyDescent="0.2">
      <c r="B499" s="8" t="s">
        <v>670</v>
      </c>
      <c r="C499" s="8" t="s">
        <v>8</v>
      </c>
      <c r="D499" s="8" t="s">
        <v>7</v>
      </c>
      <c r="E499" s="8" t="s">
        <v>6</v>
      </c>
      <c r="F499" s="8" t="s">
        <v>531</v>
      </c>
      <c r="G499" s="8" t="s">
        <v>710</v>
      </c>
      <c r="H499" s="8" t="s">
        <v>33</v>
      </c>
      <c r="I499" s="7">
        <v>1951000</v>
      </c>
    </row>
    <row r="500" spans="2:9" outlineLevel="2" x14ac:dyDescent="0.2">
      <c r="B500" s="8"/>
      <c r="C500" s="8"/>
      <c r="D500" s="8"/>
      <c r="E500" s="8"/>
      <c r="F500" s="8"/>
      <c r="G500" s="8"/>
      <c r="H500" s="8"/>
      <c r="I500" s="7"/>
    </row>
    <row r="501" spans="2:9" ht="25" outlineLevel="2" x14ac:dyDescent="0.2">
      <c r="B501" s="8" t="s">
        <v>670</v>
      </c>
      <c r="C501" s="8" t="s">
        <v>8</v>
      </c>
      <c r="D501" s="8" t="s">
        <v>7</v>
      </c>
      <c r="E501" s="8" t="s">
        <v>6</v>
      </c>
      <c r="F501" s="8" t="s">
        <v>531</v>
      </c>
      <c r="G501" s="8" t="s">
        <v>709</v>
      </c>
      <c r="H501" s="8" t="s">
        <v>11</v>
      </c>
      <c r="I501" s="7">
        <v>-11000</v>
      </c>
    </row>
    <row r="502" spans="2:9" ht="25" outlineLevel="2" x14ac:dyDescent="0.2">
      <c r="B502" s="8" t="s">
        <v>670</v>
      </c>
      <c r="C502" s="8" t="s">
        <v>8</v>
      </c>
      <c r="D502" s="8" t="s">
        <v>7</v>
      </c>
      <c r="E502" s="8" t="s">
        <v>6</v>
      </c>
      <c r="F502" s="8" t="s">
        <v>531</v>
      </c>
      <c r="G502" s="8" t="s">
        <v>709</v>
      </c>
      <c r="H502" s="8" t="s">
        <v>221</v>
      </c>
      <c r="I502" s="7">
        <v>11000</v>
      </c>
    </row>
    <row r="503" spans="2:9" outlineLevel="2" x14ac:dyDescent="0.2">
      <c r="B503" s="8"/>
      <c r="C503" s="8"/>
      <c r="D503" s="8"/>
      <c r="E503" s="8"/>
      <c r="F503" s="8"/>
      <c r="G503" s="8"/>
      <c r="H503" s="8"/>
      <c r="I503" s="7"/>
    </row>
    <row r="504" spans="2:9" ht="37" outlineLevel="2" x14ac:dyDescent="0.2">
      <c r="B504" s="8" t="s">
        <v>670</v>
      </c>
      <c r="C504" s="8" t="s">
        <v>8</v>
      </c>
      <c r="D504" s="8" t="s">
        <v>7</v>
      </c>
      <c r="E504" s="8" t="s">
        <v>6</v>
      </c>
      <c r="F504" s="8" t="s">
        <v>32</v>
      </c>
      <c r="G504" s="8" t="s">
        <v>708</v>
      </c>
      <c r="H504" s="8" t="s">
        <v>11</v>
      </c>
      <c r="I504" s="7">
        <v>-14755200</v>
      </c>
    </row>
    <row r="505" spans="2:9" ht="25" outlineLevel="2" x14ac:dyDescent="0.2">
      <c r="B505" s="8" t="s">
        <v>670</v>
      </c>
      <c r="C505" s="8" t="s">
        <v>8</v>
      </c>
      <c r="D505" s="8" t="s">
        <v>7</v>
      </c>
      <c r="E505" s="8" t="s">
        <v>6</v>
      </c>
      <c r="F505" s="8" t="s">
        <v>32</v>
      </c>
      <c r="G505" s="8" t="s">
        <v>707</v>
      </c>
      <c r="H505" s="8" t="s">
        <v>33</v>
      </c>
      <c r="I505" s="7">
        <v>7377600</v>
      </c>
    </row>
    <row r="506" spans="2:9" ht="25" outlineLevel="2" x14ac:dyDescent="0.2">
      <c r="B506" s="8" t="s">
        <v>670</v>
      </c>
      <c r="C506" s="8" t="s">
        <v>8</v>
      </c>
      <c r="D506" s="8" t="s">
        <v>7</v>
      </c>
      <c r="E506" s="8" t="s">
        <v>6</v>
      </c>
      <c r="F506" s="8" t="s">
        <v>32</v>
      </c>
      <c r="G506" s="8" t="s">
        <v>706</v>
      </c>
      <c r="H506" s="8" t="s">
        <v>33</v>
      </c>
      <c r="I506" s="7">
        <v>7377600</v>
      </c>
    </row>
    <row r="507" spans="2:9" outlineLevel="2" x14ac:dyDescent="0.2">
      <c r="B507" s="8"/>
      <c r="C507" s="8"/>
      <c r="D507" s="8"/>
      <c r="E507" s="8"/>
      <c r="F507" s="8"/>
      <c r="G507" s="8"/>
      <c r="H507" s="8"/>
      <c r="I507" s="7"/>
    </row>
    <row r="508" spans="2:9" ht="25" outlineLevel="2" x14ac:dyDescent="0.2">
      <c r="B508" s="8" t="s">
        <v>670</v>
      </c>
      <c r="C508" s="8" t="s">
        <v>8</v>
      </c>
      <c r="D508" s="8" t="s">
        <v>7</v>
      </c>
      <c r="E508" s="8" t="s">
        <v>6</v>
      </c>
      <c r="F508" s="8" t="s">
        <v>32</v>
      </c>
      <c r="G508" s="8" t="s">
        <v>705</v>
      </c>
      <c r="H508" s="8" t="s">
        <v>11</v>
      </c>
      <c r="I508" s="7">
        <v>-11000</v>
      </c>
    </row>
    <row r="509" spans="2:9" ht="25" outlineLevel="2" x14ac:dyDescent="0.2">
      <c r="B509" s="8" t="s">
        <v>670</v>
      </c>
      <c r="C509" s="8" t="s">
        <v>8</v>
      </c>
      <c r="D509" s="8" t="s">
        <v>7</v>
      </c>
      <c r="E509" s="8" t="s">
        <v>6</v>
      </c>
      <c r="F509" s="8" t="s">
        <v>32</v>
      </c>
      <c r="G509" s="8" t="s">
        <v>705</v>
      </c>
      <c r="H509" s="8" t="s">
        <v>221</v>
      </c>
      <c r="I509" s="7">
        <v>11000</v>
      </c>
    </row>
    <row r="510" spans="2:9" outlineLevel="2" x14ac:dyDescent="0.2">
      <c r="B510" s="8"/>
      <c r="C510" s="8"/>
      <c r="D510" s="8"/>
      <c r="E510" s="8"/>
      <c r="F510" s="8"/>
      <c r="G510" s="8"/>
      <c r="H510" s="8"/>
      <c r="I510" s="7"/>
    </row>
    <row r="511" spans="2:9" outlineLevel="2" x14ac:dyDescent="0.2">
      <c r="B511" s="8" t="s">
        <v>670</v>
      </c>
      <c r="C511" s="8" t="s">
        <v>8</v>
      </c>
      <c r="D511" s="8" t="s">
        <v>7</v>
      </c>
      <c r="E511" s="8" t="s">
        <v>6</v>
      </c>
      <c r="F511" s="8" t="s">
        <v>322</v>
      </c>
      <c r="G511" s="8" t="s">
        <v>704</v>
      </c>
      <c r="H511" s="8" t="s">
        <v>11</v>
      </c>
      <c r="I511" s="7">
        <v>-3526182</v>
      </c>
    </row>
    <row r="512" spans="2:9" ht="25" outlineLevel="2" x14ac:dyDescent="0.2">
      <c r="B512" s="8" t="s">
        <v>670</v>
      </c>
      <c r="C512" s="8" t="s">
        <v>8</v>
      </c>
      <c r="D512" s="8" t="s">
        <v>7</v>
      </c>
      <c r="E512" s="8" t="s">
        <v>6</v>
      </c>
      <c r="F512" s="8" t="s">
        <v>322</v>
      </c>
      <c r="G512" s="8" t="s">
        <v>704</v>
      </c>
      <c r="H512" s="8" t="s">
        <v>58</v>
      </c>
      <c r="I512" s="7">
        <v>3526182</v>
      </c>
    </row>
    <row r="513" spans="2:9" outlineLevel="2" x14ac:dyDescent="0.2">
      <c r="B513" s="8"/>
      <c r="C513" s="8"/>
      <c r="D513" s="8"/>
      <c r="E513" s="8"/>
      <c r="F513" s="8"/>
      <c r="G513" s="8"/>
      <c r="H513" s="8"/>
      <c r="I513" s="7"/>
    </row>
    <row r="514" spans="2:9" outlineLevel="2" x14ac:dyDescent="0.2">
      <c r="B514" s="8" t="s">
        <v>670</v>
      </c>
      <c r="C514" s="8" t="s">
        <v>8</v>
      </c>
      <c r="D514" s="8" t="s">
        <v>7</v>
      </c>
      <c r="E514" s="8" t="s">
        <v>6</v>
      </c>
      <c r="F514" s="8" t="s">
        <v>322</v>
      </c>
      <c r="G514" s="8" t="s">
        <v>703</v>
      </c>
      <c r="H514" s="8" t="s">
        <v>11</v>
      </c>
      <c r="I514" s="7">
        <v>-11000</v>
      </c>
    </row>
    <row r="515" spans="2:9" outlineLevel="2" x14ac:dyDescent="0.2">
      <c r="B515" s="8" t="s">
        <v>670</v>
      </c>
      <c r="C515" s="8" t="s">
        <v>8</v>
      </c>
      <c r="D515" s="8" t="s">
        <v>7</v>
      </c>
      <c r="E515" s="8" t="s">
        <v>6</v>
      </c>
      <c r="F515" s="8" t="s">
        <v>322</v>
      </c>
      <c r="G515" s="8" t="s">
        <v>703</v>
      </c>
      <c r="H515" s="8" t="s">
        <v>221</v>
      </c>
      <c r="I515" s="7">
        <v>11000</v>
      </c>
    </row>
    <row r="516" spans="2:9" outlineLevel="2" x14ac:dyDescent="0.2">
      <c r="B516" s="8"/>
      <c r="C516" s="8"/>
      <c r="D516" s="8"/>
      <c r="E516" s="8"/>
      <c r="F516" s="8"/>
      <c r="G516" s="8"/>
      <c r="H516" s="8"/>
      <c r="I516" s="7"/>
    </row>
    <row r="517" spans="2:9" outlineLevel="2" x14ac:dyDescent="0.2">
      <c r="B517" s="8" t="s">
        <v>670</v>
      </c>
      <c r="C517" s="8" t="s">
        <v>8</v>
      </c>
      <c r="D517" s="8" t="s">
        <v>7</v>
      </c>
      <c r="E517" s="8" t="s">
        <v>6</v>
      </c>
      <c r="F517" s="8" t="s">
        <v>292</v>
      </c>
      <c r="G517" s="8" t="s">
        <v>702</v>
      </c>
      <c r="H517" s="8" t="s">
        <v>11</v>
      </c>
      <c r="I517" s="7">
        <v>-622500</v>
      </c>
    </row>
    <row r="518" spans="2:9" outlineLevel="2" x14ac:dyDescent="0.2">
      <c r="B518" s="8" t="s">
        <v>670</v>
      </c>
      <c r="C518" s="8" t="s">
        <v>8</v>
      </c>
      <c r="D518" s="8" t="s">
        <v>7</v>
      </c>
      <c r="E518" s="8" t="s">
        <v>6</v>
      </c>
      <c r="F518" s="8" t="s">
        <v>292</v>
      </c>
      <c r="G518" s="8" t="s">
        <v>702</v>
      </c>
      <c r="H518" s="8" t="s">
        <v>43</v>
      </c>
      <c r="I518" s="7">
        <v>622500</v>
      </c>
    </row>
    <row r="519" spans="2:9" outlineLevel="2" x14ac:dyDescent="0.2">
      <c r="B519" s="8"/>
      <c r="C519" s="8"/>
      <c r="D519" s="8"/>
      <c r="E519" s="8"/>
      <c r="F519" s="8"/>
      <c r="G519" s="8"/>
      <c r="H519" s="8"/>
      <c r="I519" s="7"/>
    </row>
    <row r="520" spans="2:9" outlineLevel="2" x14ac:dyDescent="0.2">
      <c r="B520" s="8" t="s">
        <v>670</v>
      </c>
      <c r="C520" s="8" t="s">
        <v>8</v>
      </c>
      <c r="D520" s="8" t="s">
        <v>7</v>
      </c>
      <c r="E520" s="8" t="s">
        <v>6</v>
      </c>
      <c r="F520" s="8" t="s">
        <v>292</v>
      </c>
      <c r="G520" s="8" t="s">
        <v>701</v>
      </c>
      <c r="H520" s="8" t="s">
        <v>11</v>
      </c>
      <c r="I520" s="7">
        <v>-11000</v>
      </c>
    </row>
    <row r="521" spans="2:9" outlineLevel="2" x14ac:dyDescent="0.2">
      <c r="B521" s="8" t="s">
        <v>670</v>
      </c>
      <c r="C521" s="8" t="s">
        <v>8</v>
      </c>
      <c r="D521" s="8" t="s">
        <v>7</v>
      </c>
      <c r="E521" s="8" t="s">
        <v>6</v>
      </c>
      <c r="F521" s="8" t="s">
        <v>292</v>
      </c>
      <c r="G521" s="8" t="s">
        <v>701</v>
      </c>
      <c r="H521" s="8" t="s">
        <v>221</v>
      </c>
      <c r="I521" s="7">
        <v>11000</v>
      </c>
    </row>
    <row r="522" spans="2:9" outlineLevel="2" x14ac:dyDescent="0.2">
      <c r="B522" s="8"/>
      <c r="C522" s="8"/>
      <c r="D522" s="8"/>
      <c r="E522" s="8"/>
      <c r="F522" s="8"/>
      <c r="G522" s="8"/>
      <c r="H522" s="8"/>
      <c r="I522" s="7"/>
    </row>
    <row r="523" spans="2:9" outlineLevel="2" x14ac:dyDescent="0.2">
      <c r="B523" s="8" t="s">
        <v>670</v>
      </c>
      <c r="C523" s="8" t="s">
        <v>8</v>
      </c>
      <c r="D523" s="8" t="s">
        <v>7</v>
      </c>
      <c r="E523" s="8" t="s">
        <v>6</v>
      </c>
      <c r="F523" s="8" t="s">
        <v>389</v>
      </c>
      <c r="G523" s="8" t="s">
        <v>700</v>
      </c>
      <c r="H523" s="8" t="s">
        <v>11</v>
      </c>
      <c r="I523" s="7">
        <v>-190581</v>
      </c>
    </row>
    <row r="524" spans="2:9" outlineLevel="2" x14ac:dyDescent="0.2">
      <c r="B524" s="8" t="s">
        <v>670</v>
      </c>
      <c r="C524" s="8" t="s">
        <v>8</v>
      </c>
      <c r="D524" s="8" t="s">
        <v>7</v>
      </c>
      <c r="E524" s="8" t="s">
        <v>6</v>
      </c>
      <c r="F524" s="8" t="s">
        <v>389</v>
      </c>
      <c r="G524" s="8" t="s">
        <v>700</v>
      </c>
      <c r="H524" s="8" t="s">
        <v>43</v>
      </c>
      <c r="I524" s="7">
        <v>190581</v>
      </c>
    </row>
    <row r="525" spans="2:9" outlineLevel="2" x14ac:dyDescent="0.2">
      <c r="B525" s="8"/>
      <c r="C525" s="8"/>
      <c r="D525" s="8"/>
      <c r="E525" s="8"/>
      <c r="F525" s="8"/>
      <c r="G525" s="8"/>
      <c r="H525" s="8"/>
      <c r="I525" s="7"/>
    </row>
    <row r="526" spans="2:9" outlineLevel="2" x14ac:dyDescent="0.2">
      <c r="B526" s="8" t="s">
        <v>670</v>
      </c>
      <c r="C526" s="8" t="s">
        <v>8</v>
      </c>
      <c r="D526" s="8" t="s">
        <v>7</v>
      </c>
      <c r="E526" s="8" t="s">
        <v>6</v>
      </c>
      <c r="F526" s="8" t="s">
        <v>389</v>
      </c>
      <c r="G526" s="8" t="s">
        <v>699</v>
      </c>
      <c r="H526" s="8" t="s">
        <v>11</v>
      </c>
      <c r="I526" s="7">
        <v>-11000</v>
      </c>
    </row>
    <row r="527" spans="2:9" outlineLevel="2" x14ac:dyDescent="0.2">
      <c r="B527" s="8" t="s">
        <v>670</v>
      </c>
      <c r="C527" s="8" t="s">
        <v>8</v>
      </c>
      <c r="D527" s="8" t="s">
        <v>7</v>
      </c>
      <c r="E527" s="8" t="s">
        <v>6</v>
      </c>
      <c r="F527" s="8" t="s">
        <v>389</v>
      </c>
      <c r="G527" s="8" t="s">
        <v>699</v>
      </c>
      <c r="H527" s="8" t="s">
        <v>221</v>
      </c>
      <c r="I527" s="7">
        <v>11000</v>
      </c>
    </row>
    <row r="528" spans="2:9" outlineLevel="2" x14ac:dyDescent="0.2">
      <c r="B528" s="8"/>
      <c r="C528" s="8"/>
      <c r="D528" s="8"/>
      <c r="E528" s="8"/>
      <c r="F528" s="8"/>
      <c r="G528" s="8"/>
      <c r="H528" s="8"/>
      <c r="I528" s="7"/>
    </row>
    <row r="529" spans="2:9" ht="37" outlineLevel="2" x14ac:dyDescent="0.2">
      <c r="B529" s="8" t="s">
        <v>670</v>
      </c>
      <c r="C529" s="8" t="s">
        <v>8</v>
      </c>
      <c r="D529" s="8" t="s">
        <v>7</v>
      </c>
      <c r="E529" s="8" t="s">
        <v>6</v>
      </c>
      <c r="F529" s="8" t="s">
        <v>531</v>
      </c>
      <c r="G529" s="8" t="s">
        <v>698</v>
      </c>
      <c r="H529" s="8" t="s">
        <v>11</v>
      </c>
      <c r="I529" s="7">
        <v>-10542000</v>
      </c>
    </row>
    <row r="530" spans="2:9" ht="37" outlineLevel="2" x14ac:dyDescent="0.2">
      <c r="B530" s="8" t="s">
        <v>670</v>
      </c>
      <c r="C530" s="8" t="s">
        <v>8</v>
      </c>
      <c r="D530" s="8" t="s">
        <v>7</v>
      </c>
      <c r="E530" s="8" t="s">
        <v>6</v>
      </c>
      <c r="F530" s="8" t="s">
        <v>531</v>
      </c>
      <c r="G530" s="8" t="s">
        <v>698</v>
      </c>
      <c r="H530" s="8" t="s">
        <v>33</v>
      </c>
      <c r="I530" s="7">
        <v>10542000</v>
      </c>
    </row>
    <row r="531" spans="2:9" outlineLevel="2" x14ac:dyDescent="0.2">
      <c r="B531" s="8"/>
      <c r="C531" s="8"/>
      <c r="D531" s="8"/>
      <c r="E531" s="8"/>
      <c r="F531" s="8"/>
      <c r="G531" s="8"/>
      <c r="H531" s="8"/>
      <c r="I531" s="7"/>
    </row>
    <row r="532" spans="2:9" ht="25" outlineLevel="2" x14ac:dyDescent="0.2">
      <c r="B532" s="8" t="s">
        <v>670</v>
      </c>
      <c r="C532" s="8" t="s">
        <v>8</v>
      </c>
      <c r="D532" s="8" t="s">
        <v>7</v>
      </c>
      <c r="E532" s="8" t="s">
        <v>6</v>
      </c>
      <c r="F532" s="8" t="s">
        <v>531</v>
      </c>
      <c r="G532" s="8" t="s">
        <v>697</v>
      </c>
      <c r="H532" s="8" t="s">
        <v>11</v>
      </c>
      <c r="I532" s="7">
        <v>-11000</v>
      </c>
    </row>
    <row r="533" spans="2:9" ht="25" outlineLevel="2" x14ac:dyDescent="0.2">
      <c r="B533" s="8" t="s">
        <v>670</v>
      </c>
      <c r="C533" s="8" t="s">
        <v>8</v>
      </c>
      <c r="D533" s="8" t="s">
        <v>7</v>
      </c>
      <c r="E533" s="8" t="s">
        <v>6</v>
      </c>
      <c r="F533" s="8" t="s">
        <v>531</v>
      </c>
      <c r="G533" s="8" t="s">
        <v>697</v>
      </c>
      <c r="H533" s="8" t="s">
        <v>221</v>
      </c>
      <c r="I533" s="7">
        <v>11000</v>
      </c>
    </row>
    <row r="534" spans="2:9" outlineLevel="2" x14ac:dyDescent="0.2">
      <c r="B534" s="8"/>
      <c r="C534" s="8"/>
      <c r="D534" s="8"/>
      <c r="E534" s="8"/>
      <c r="F534" s="8"/>
      <c r="G534" s="8"/>
      <c r="H534" s="8"/>
      <c r="I534" s="7"/>
    </row>
    <row r="535" spans="2:9" ht="25" outlineLevel="2" x14ac:dyDescent="0.2">
      <c r="B535" s="8" t="s">
        <v>670</v>
      </c>
      <c r="C535" s="8" t="s">
        <v>8</v>
      </c>
      <c r="D535" s="8" t="s">
        <v>7</v>
      </c>
      <c r="E535" s="8" t="s">
        <v>6</v>
      </c>
      <c r="F535" s="8" t="s">
        <v>399</v>
      </c>
      <c r="G535" s="8" t="s">
        <v>696</v>
      </c>
      <c r="H535" s="8" t="s">
        <v>11</v>
      </c>
      <c r="I535" s="7">
        <v>-4961640</v>
      </c>
    </row>
    <row r="536" spans="2:9" ht="25" outlineLevel="2" x14ac:dyDescent="0.2">
      <c r="B536" s="8" t="s">
        <v>670</v>
      </c>
      <c r="C536" s="8" t="s">
        <v>8</v>
      </c>
      <c r="D536" s="8" t="s">
        <v>7</v>
      </c>
      <c r="E536" s="8" t="s">
        <v>6</v>
      </c>
      <c r="F536" s="8" t="s">
        <v>399</v>
      </c>
      <c r="G536" s="8" t="s">
        <v>696</v>
      </c>
      <c r="H536" s="8" t="s">
        <v>33</v>
      </c>
      <c r="I536" s="7">
        <v>4961640</v>
      </c>
    </row>
    <row r="537" spans="2:9" outlineLevel="2" x14ac:dyDescent="0.2">
      <c r="B537" s="8"/>
      <c r="C537" s="8"/>
      <c r="D537" s="8"/>
      <c r="E537" s="8"/>
      <c r="F537" s="8"/>
      <c r="G537" s="8"/>
      <c r="H537" s="8"/>
      <c r="I537" s="7"/>
    </row>
    <row r="538" spans="2:9" ht="25" outlineLevel="2" x14ac:dyDescent="0.2">
      <c r="B538" s="8" t="s">
        <v>670</v>
      </c>
      <c r="C538" s="8" t="s">
        <v>8</v>
      </c>
      <c r="D538" s="8" t="s">
        <v>7</v>
      </c>
      <c r="E538" s="8" t="s">
        <v>6</v>
      </c>
      <c r="F538" s="8" t="s">
        <v>399</v>
      </c>
      <c r="G538" s="8" t="s">
        <v>695</v>
      </c>
      <c r="H538" s="8" t="s">
        <v>11</v>
      </c>
      <c r="I538" s="7">
        <v>-11000</v>
      </c>
    </row>
    <row r="539" spans="2:9" ht="25" outlineLevel="2" x14ac:dyDescent="0.2">
      <c r="B539" s="8" t="s">
        <v>670</v>
      </c>
      <c r="C539" s="8" t="s">
        <v>8</v>
      </c>
      <c r="D539" s="8" t="s">
        <v>7</v>
      </c>
      <c r="E539" s="8" t="s">
        <v>6</v>
      </c>
      <c r="F539" s="8" t="s">
        <v>399</v>
      </c>
      <c r="G539" s="8" t="s">
        <v>695</v>
      </c>
      <c r="H539" s="8" t="s">
        <v>221</v>
      </c>
      <c r="I539" s="7">
        <v>11000</v>
      </c>
    </row>
    <row r="540" spans="2:9" outlineLevel="2" x14ac:dyDescent="0.2">
      <c r="B540" s="8"/>
      <c r="C540" s="8"/>
      <c r="D540" s="8"/>
      <c r="E540" s="8"/>
      <c r="F540" s="8"/>
      <c r="G540" s="8"/>
      <c r="H540" s="8"/>
      <c r="I540" s="7"/>
    </row>
    <row r="541" spans="2:9" ht="25" outlineLevel="2" x14ac:dyDescent="0.2">
      <c r="B541" s="8" t="s">
        <v>670</v>
      </c>
      <c r="C541" s="8" t="s">
        <v>8</v>
      </c>
      <c r="D541" s="8" t="s">
        <v>7</v>
      </c>
      <c r="E541" s="8" t="s">
        <v>6</v>
      </c>
      <c r="F541" s="8" t="s">
        <v>37</v>
      </c>
      <c r="G541" s="8" t="s">
        <v>694</v>
      </c>
      <c r="H541" s="8" t="s">
        <v>11</v>
      </c>
      <c r="I541" s="7">
        <v>-36987960</v>
      </c>
    </row>
    <row r="542" spans="2:9" ht="25" outlineLevel="2" x14ac:dyDescent="0.2">
      <c r="B542" s="8" t="s">
        <v>670</v>
      </c>
      <c r="C542" s="8" t="s">
        <v>8</v>
      </c>
      <c r="D542" s="8" t="s">
        <v>7</v>
      </c>
      <c r="E542" s="8" t="s">
        <v>6</v>
      </c>
      <c r="F542" s="8" t="s">
        <v>37</v>
      </c>
      <c r="G542" s="8" t="s">
        <v>694</v>
      </c>
      <c r="H542" s="8" t="s">
        <v>29</v>
      </c>
      <c r="I542" s="7">
        <v>51987960</v>
      </c>
    </row>
    <row r="543" spans="2:9" ht="25" outlineLevel="2" x14ac:dyDescent="0.2">
      <c r="B543" s="8" t="s">
        <v>670</v>
      </c>
      <c r="C543" s="8" t="s">
        <v>8</v>
      </c>
      <c r="D543" s="8" t="s">
        <v>7</v>
      </c>
      <c r="E543" s="8" t="s">
        <v>6</v>
      </c>
      <c r="F543" s="8" t="s">
        <v>37</v>
      </c>
      <c r="G543" s="8" t="s">
        <v>693</v>
      </c>
      <c r="H543" s="8" t="s">
        <v>55</v>
      </c>
      <c r="I543" s="7">
        <v>-15000000</v>
      </c>
    </row>
    <row r="544" spans="2:9" ht="25" outlineLevel="2" x14ac:dyDescent="0.2">
      <c r="B544" s="8" t="s">
        <v>670</v>
      </c>
      <c r="C544" s="8" t="s">
        <v>8</v>
      </c>
      <c r="D544" s="8" t="s">
        <v>7</v>
      </c>
      <c r="E544" s="8" t="s">
        <v>6</v>
      </c>
      <c r="F544" s="8" t="s">
        <v>37</v>
      </c>
      <c r="G544" s="8" t="s">
        <v>692</v>
      </c>
      <c r="H544" s="8" t="s">
        <v>29</v>
      </c>
      <c r="I544" s="7">
        <v>-51987960</v>
      </c>
    </row>
    <row r="545" spans="2:9" ht="25" outlineLevel="2" x14ac:dyDescent="0.2">
      <c r="B545" s="8" t="s">
        <v>670</v>
      </c>
      <c r="C545" s="8" t="s">
        <v>8</v>
      </c>
      <c r="D545" s="8" t="s">
        <v>7</v>
      </c>
      <c r="E545" s="8" t="s">
        <v>6</v>
      </c>
      <c r="F545" s="8" t="s">
        <v>37</v>
      </c>
      <c r="G545" s="8" t="s">
        <v>691</v>
      </c>
      <c r="H545" s="8" t="s">
        <v>38</v>
      </c>
      <c r="I545" s="7">
        <v>51987960</v>
      </c>
    </row>
    <row r="546" spans="2:9" outlineLevel="2" x14ac:dyDescent="0.2">
      <c r="B546" s="8"/>
      <c r="C546" s="8"/>
      <c r="D546" s="8"/>
      <c r="E546" s="8"/>
      <c r="F546" s="8"/>
      <c r="G546" s="8"/>
      <c r="H546" s="8"/>
      <c r="I546" s="7"/>
    </row>
    <row r="547" spans="2:9" ht="25" outlineLevel="2" x14ac:dyDescent="0.2">
      <c r="B547" s="8" t="s">
        <v>670</v>
      </c>
      <c r="C547" s="8" t="s">
        <v>8</v>
      </c>
      <c r="D547" s="8" t="s">
        <v>7</v>
      </c>
      <c r="E547" s="8" t="s">
        <v>6</v>
      </c>
      <c r="F547" s="8" t="s">
        <v>37</v>
      </c>
      <c r="G547" s="8" t="s">
        <v>690</v>
      </c>
      <c r="H547" s="8" t="s">
        <v>11</v>
      </c>
      <c r="I547" s="7">
        <v>-22000</v>
      </c>
    </row>
    <row r="548" spans="2:9" ht="25" outlineLevel="2" x14ac:dyDescent="0.2">
      <c r="B548" s="8" t="s">
        <v>670</v>
      </c>
      <c r="C548" s="8" t="s">
        <v>8</v>
      </c>
      <c r="D548" s="8" t="s">
        <v>7</v>
      </c>
      <c r="E548" s="8" t="s">
        <v>6</v>
      </c>
      <c r="F548" s="8" t="s">
        <v>37</v>
      </c>
      <c r="G548" s="8" t="s">
        <v>690</v>
      </c>
      <c r="H548" s="8" t="s">
        <v>221</v>
      </c>
      <c r="I548" s="7">
        <v>22000</v>
      </c>
    </row>
    <row r="549" spans="2:9" outlineLevel="2" x14ac:dyDescent="0.2">
      <c r="B549" s="8"/>
      <c r="C549" s="8"/>
      <c r="D549" s="8"/>
      <c r="E549" s="8"/>
      <c r="F549" s="8"/>
      <c r="G549" s="8"/>
      <c r="H549" s="8"/>
      <c r="I549" s="7"/>
    </row>
    <row r="550" spans="2:9" outlineLevel="2" x14ac:dyDescent="0.2">
      <c r="B550" s="8" t="s">
        <v>670</v>
      </c>
      <c r="C550" s="8" t="s">
        <v>8</v>
      </c>
      <c r="D550" s="8" t="s">
        <v>7</v>
      </c>
      <c r="E550" s="8" t="s">
        <v>6</v>
      </c>
      <c r="F550" s="8" t="s">
        <v>686</v>
      </c>
      <c r="G550" s="8" t="s">
        <v>689</v>
      </c>
      <c r="H550" s="8" t="s">
        <v>11</v>
      </c>
      <c r="I550" s="7">
        <v>-17684994</v>
      </c>
    </row>
    <row r="551" spans="2:9" ht="25" outlineLevel="2" x14ac:dyDescent="0.2">
      <c r="B551" s="8" t="s">
        <v>670</v>
      </c>
      <c r="C551" s="8" t="s">
        <v>8</v>
      </c>
      <c r="D551" s="8" t="s">
        <v>7</v>
      </c>
      <c r="E551" s="8" t="s">
        <v>6</v>
      </c>
      <c r="F551" s="8" t="s">
        <v>686</v>
      </c>
      <c r="G551" s="8" t="s">
        <v>689</v>
      </c>
      <c r="H551" s="8" t="s">
        <v>688</v>
      </c>
      <c r="I551" s="7">
        <v>19649993</v>
      </c>
    </row>
    <row r="552" spans="2:9" outlineLevel="2" x14ac:dyDescent="0.2">
      <c r="B552" s="8" t="s">
        <v>670</v>
      </c>
      <c r="C552" s="8" t="s">
        <v>8</v>
      </c>
      <c r="D552" s="8" t="s">
        <v>7</v>
      </c>
      <c r="E552" s="8" t="s">
        <v>6</v>
      </c>
      <c r="F552" s="8" t="s">
        <v>686</v>
      </c>
      <c r="G552" s="8" t="s">
        <v>687</v>
      </c>
      <c r="H552" s="8" t="s">
        <v>26</v>
      </c>
      <c r="I552" s="7">
        <v>1964999</v>
      </c>
    </row>
    <row r="553" spans="2:9" outlineLevel="2" x14ac:dyDescent="0.2">
      <c r="B553" s="8"/>
      <c r="C553" s="8"/>
      <c r="D553" s="8"/>
      <c r="E553" s="8"/>
      <c r="F553" s="8"/>
      <c r="G553" s="8"/>
      <c r="H553" s="8"/>
      <c r="I553" s="7"/>
    </row>
    <row r="554" spans="2:9" outlineLevel="2" x14ac:dyDescent="0.2">
      <c r="B554" s="8" t="s">
        <v>670</v>
      </c>
      <c r="C554" s="8" t="s">
        <v>8</v>
      </c>
      <c r="D554" s="8" t="s">
        <v>7</v>
      </c>
      <c r="E554" s="8" t="s">
        <v>6</v>
      </c>
      <c r="F554" s="8" t="s">
        <v>686</v>
      </c>
      <c r="G554" s="8" t="s">
        <v>685</v>
      </c>
      <c r="H554" s="8" t="s">
        <v>11</v>
      </c>
      <c r="I554" s="7">
        <v>-22000</v>
      </c>
    </row>
    <row r="555" spans="2:9" outlineLevel="2" x14ac:dyDescent="0.2">
      <c r="B555" s="8" t="s">
        <v>670</v>
      </c>
      <c r="C555" s="8" t="s">
        <v>8</v>
      </c>
      <c r="D555" s="8" t="s">
        <v>7</v>
      </c>
      <c r="E555" s="8" t="s">
        <v>6</v>
      </c>
      <c r="F555" s="8" t="s">
        <v>686</v>
      </c>
      <c r="G555" s="8" t="s">
        <v>685</v>
      </c>
      <c r="H555" s="8" t="s">
        <v>221</v>
      </c>
      <c r="I555" s="7">
        <v>22000</v>
      </c>
    </row>
    <row r="556" spans="2:9" outlineLevel="2" x14ac:dyDescent="0.2">
      <c r="B556" s="8"/>
      <c r="C556" s="8"/>
      <c r="D556" s="8"/>
      <c r="E556" s="8"/>
      <c r="F556" s="8"/>
      <c r="G556" s="8"/>
      <c r="H556" s="8"/>
      <c r="I556" s="7"/>
    </row>
    <row r="557" spans="2:9" outlineLevel="2" x14ac:dyDescent="0.2">
      <c r="B557" s="8" t="s">
        <v>670</v>
      </c>
      <c r="C557" s="8" t="s">
        <v>8</v>
      </c>
      <c r="D557" s="8" t="s">
        <v>7</v>
      </c>
      <c r="E557" s="8" t="s">
        <v>6</v>
      </c>
      <c r="F557" s="8" t="s">
        <v>683</v>
      </c>
      <c r="G557" s="8" t="s">
        <v>684</v>
      </c>
      <c r="H557" s="8" t="s">
        <v>11</v>
      </c>
      <c r="I557" s="7">
        <v>-960000</v>
      </c>
    </row>
    <row r="558" spans="2:9" outlineLevel="2" x14ac:dyDescent="0.2">
      <c r="B558" s="8" t="s">
        <v>670</v>
      </c>
      <c r="C558" s="8" t="s">
        <v>8</v>
      </c>
      <c r="D558" s="8" t="s">
        <v>7</v>
      </c>
      <c r="E558" s="8" t="s">
        <v>6</v>
      </c>
      <c r="F558" s="8" t="s">
        <v>683</v>
      </c>
      <c r="G558" s="8" t="s">
        <v>684</v>
      </c>
      <c r="H558" s="8" t="s">
        <v>29</v>
      </c>
      <c r="I558" s="7">
        <v>960000</v>
      </c>
    </row>
    <row r="559" spans="2:9" outlineLevel="2" x14ac:dyDescent="0.2">
      <c r="B559" s="8"/>
      <c r="C559" s="8"/>
      <c r="D559" s="8"/>
      <c r="E559" s="8"/>
      <c r="F559" s="8"/>
      <c r="G559" s="8"/>
      <c r="H559" s="8"/>
      <c r="I559" s="7"/>
    </row>
    <row r="560" spans="2:9" outlineLevel="2" x14ac:dyDescent="0.2">
      <c r="B560" s="8" t="s">
        <v>670</v>
      </c>
      <c r="C560" s="8" t="s">
        <v>8</v>
      </c>
      <c r="D560" s="8" t="s">
        <v>7</v>
      </c>
      <c r="E560" s="8" t="s">
        <v>6</v>
      </c>
      <c r="F560" s="8" t="s">
        <v>683</v>
      </c>
      <c r="G560" s="8" t="s">
        <v>682</v>
      </c>
      <c r="H560" s="8" t="s">
        <v>11</v>
      </c>
      <c r="I560" s="7">
        <v>-22000</v>
      </c>
    </row>
    <row r="561" spans="2:9" outlineLevel="2" x14ac:dyDescent="0.2">
      <c r="B561" s="8" t="s">
        <v>670</v>
      </c>
      <c r="C561" s="8" t="s">
        <v>8</v>
      </c>
      <c r="D561" s="8" t="s">
        <v>7</v>
      </c>
      <c r="E561" s="8" t="s">
        <v>6</v>
      </c>
      <c r="F561" s="8" t="s">
        <v>683</v>
      </c>
      <c r="G561" s="8" t="s">
        <v>682</v>
      </c>
      <c r="H561" s="8" t="s">
        <v>221</v>
      </c>
      <c r="I561" s="7">
        <v>22000</v>
      </c>
    </row>
    <row r="562" spans="2:9" outlineLevel="2" x14ac:dyDescent="0.2">
      <c r="B562" s="8"/>
      <c r="C562" s="8"/>
      <c r="D562" s="8"/>
      <c r="E562" s="8"/>
      <c r="F562" s="8"/>
      <c r="G562" s="8"/>
      <c r="H562" s="8"/>
      <c r="I562" s="7"/>
    </row>
    <row r="563" spans="2:9" outlineLevel="2" x14ac:dyDescent="0.2">
      <c r="B563" s="8" t="s">
        <v>670</v>
      </c>
      <c r="C563" s="8" t="s">
        <v>8</v>
      </c>
      <c r="D563" s="8" t="s">
        <v>7</v>
      </c>
      <c r="E563" s="8" t="s">
        <v>6</v>
      </c>
      <c r="F563" s="8" t="s">
        <v>680</v>
      </c>
      <c r="G563" s="8" t="s">
        <v>681</v>
      </c>
      <c r="H563" s="8" t="s">
        <v>11</v>
      </c>
      <c r="I563" s="7">
        <v>-440000</v>
      </c>
    </row>
    <row r="564" spans="2:9" outlineLevel="2" x14ac:dyDescent="0.2">
      <c r="B564" s="8" t="s">
        <v>670</v>
      </c>
      <c r="C564" s="8" t="s">
        <v>8</v>
      </c>
      <c r="D564" s="8" t="s">
        <v>7</v>
      </c>
      <c r="E564" s="8" t="s">
        <v>6</v>
      </c>
      <c r="F564" s="8" t="s">
        <v>680</v>
      </c>
      <c r="G564" s="8" t="s">
        <v>681</v>
      </c>
      <c r="H564" s="8" t="s">
        <v>43</v>
      </c>
      <c r="I564" s="7">
        <v>440000</v>
      </c>
    </row>
    <row r="565" spans="2:9" outlineLevel="2" x14ac:dyDescent="0.2">
      <c r="B565" s="8"/>
      <c r="C565" s="8"/>
      <c r="D565" s="8"/>
      <c r="E565" s="8"/>
      <c r="F565" s="8"/>
      <c r="G565" s="8"/>
      <c r="H565" s="8"/>
      <c r="I565" s="7"/>
    </row>
    <row r="566" spans="2:9" outlineLevel="2" x14ac:dyDescent="0.2">
      <c r="B566" s="8" t="s">
        <v>670</v>
      </c>
      <c r="C566" s="8" t="s">
        <v>8</v>
      </c>
      <c r="D566" s="8" t="s">
        <v>7</v>
      </c>
      <c r="E566" s="8" t="s">
        <v>6</v>
      </c>
      <c r="F566" s="8" t="s">
        <v>680</v>
      </c>
      <c r="G566" s="8" t="s">
        <v>679</v>
      </c>
      <c r="H566" s="8" t="s">
        <v>11</v>
      </c>
      <c r="I566" s="7">
        <v>-22000</v>
      </c>
    </row>
    <row r="567" spans="2:9" outlineLevel="2" x14ac:dyDescent="0.2">
      <c r="B567" s="8" t="s">
        <v>670</v>
      </c>
      <c r="C567" s="8" t="s">
        <v>8</v>
      </c>
      <c r="D567" s="8" t="s">
        <v>7</v>
      </c>
      <c r="E567" s="8" t="s">
        <v>6</v>
      </c>
      <c r="F567" s="8" t="s">
        <v>680</v>
      </c>
      <c r="G567" s="8" t="s">
        <v>679</v>
      </c>
      <c r="H567" s="8" t="s">
        <v>221</v>
      </c>
      <c r="I567" s="7">
        <v>22000</v>
      </c>
    </row>
    <row r="568" spans="2:9" outlineLevel="2" x14ac:dyDescent="0.2">
      <c r="B568" s="8"/>
      <c r="C568" s="8"/>
      <c r="D568" s="8"/>
      <c r="E568" s="8"/>
      <c r="F568" s="8"/>
      <c r="G568" s="8"/>
      <c r="H568" s="8"/>
      <c r="I568" s="7"/>
    </row>
    <row r="569" spans="2:9" ht="25" outlineLevel="2" x14ac:dyDescent="0.2">
      <c r="B569" s="8" t="s">
        <v>670</v>
      </c>
      <c r="C569" s="8" t="s">
        <v>8</v>
      </c>
      <c r="D569" s="8" t="s">
        <v>7</v>
      </c>
      <c r="E569" s="8" t="s">
        <v>6</v>
      </c>
      <c r="F569" s="8" t="s">
        <v>676</v>
      </c>
      <c r="G569" s="8" t="s">
        <v>678</v>
      </c>
      <c r="H569" s="8" t="s">
        <v>11</v>
      </c>
      <c r="I569" s="7">
        <v>-49200000</v>
      </c>
    </row>
    <row r="570" spans="2:9" ht="25" outlineLevel="2" x14ac:dyDescent="0.2">
      <c r="B570" s="8" t="s">
        <v>670</v>
      </c>
      <c r="C570" s="8" t="s">
        <v>8</v>
      </c>
      <c r="D570" s="8" t="s">
        <v>7</v>
      </c>
      <c r="E570" s="8" t="s">
        <v>6</v>
      </c>
      <c r="F570" s="8" t="s">
        <v>676</v>
      </c>
      <c r="G570" s="8" t="s">
        <v>678</v>
      </c>
      <c r="H570" s="8" t="s">
        <v>55</v>
      </c>
      <c r="I570" s="7">
        <v>41000000</v>
      </c>
    </row>
    <row r="571" spans="2:9" ht="25" outlineLevel="2" x14ac:dyDescent="0.2">
      <c r="B571" s="8" t="s">
        <v>670</v>
      </c>
      <c r="C571" s="8" t="s">
        <v>8</v>
      </c>
      <c r="D571" s="8" t="s">
        <v>7</v>
      </c>
      <c r="E571" s="8" t="s">
        <v>6</v>
      </c>
      <c r="F571" s="8" t="s">
        <v>676</v>
      </c>
      <c r="G571" s="8" t="s">
        <v>677</v>
      </c>
      <c r="H571" s="8" t="s">
        <v>46</v>
      </c>
      <c r="I571" s="7">
        <v>8200000</v>
      </c>
    </row>
    <row r="572" spans="2:9" outlineLevel="2" x14ac:dyDescent="0.2">
      <c r="B572" s="8"/>
      <c r="C572" s="8"/>
      <c r="D572" s="8"/>
      <c r="E572" s="8"/>
      <c r="F572" s="8"/>
      <c r="G572" s="8"/>
      <c r="H572" s="8"/>
      <c r="I572" s="7"/>
    </row>
    <row r="573" spans="2:9" ht="25" outlineLevel="2" x14ac:dyDescent="0.2">
      <c r="B573" s="8" t="s">
        <v>670</v>
      </c>
      <c r="C573" s="8" t="s">
        <v>8</v>
      </c>
      <c r="D573" s="8" t="s">
        <v>7</v>
      </c>
      <c r="E573" s="8" t="s">
        <v>6</v>
      </c>
      <c r="F573" s="8" t="s">
        <v>676</v>
      </c>
      <c r="G573" s="8" t="s">
        <v>675</v>
      </c>
      <c r="H573" s="8" t="s">
        <v>11</v>
      </c>
      <c r="I573" s="7">
        <v>-11000</v>
      </c>
    </row>
    <row r="574" spans="2:9" ht="25" outlineLevel="2" x14ac:dyDescent="0.2">
      <c r="B574" s="8" t="s">
        <v>670</v>
      </c>
      <c r="C574" s="8" t="s">
        <v>8</v>
      </c>
      <c r="D574" s="8" t="s">
        <v>7</v>
      </c>
      <c r="E574" s="8" t="s">
        <v>6</v>
      </c>
      <c r="F574" s="8" t="s">
        <v>676</v>
      </c>
      <c r="G574" s="8" t="s">
        <v>675</v>
      </c>
      <c r="H574" s="8" t="s">
        <v>221</v>
      </c>
      <c r="I574" s="7">
        <v>11000</v>
      </c>
    </row>
    <row r="575" spans="2:9" outlineLevel="2" x14ac:dyDescent="0.2">
      <c r="B575" s="8"/>
      <c r="C575" s="8"/>
      <c r="D575" s="8"/>
      <c r="E575" s="8"/>
      <c r="F575" s="8"/>
      <c r="G575" s="8"/>
      <c r="H575" s="8"/>
      <c r="I575" s="7"/>
    </row>
    <row r="576" spans="2:9" ht="25" outlineLevel="2" x14ac:dyDescent="0.2">
      <c r="B576" s="8" t="s">
        <v>670</v>
      </c>
      <c r="C576" s="8" t="s">
        <v>8</v>
      </c>
      <c r="D576" s="8" t="s">
        <v>7</v>
      </c>
      <c r="E576" s="8" t="s">
        <v>6</v>
      </c>
      <c r="F576" s="8" t="s">
        <v>531</v>
      </c>
      <c r="G576" s="8" t="s">
        <v>674</v>
      </c>
      <c r="H576" s="8" t="s">
        <v>11</v>
      </c>
      <c r="I576" s="7">
        <v>-7356000</v>
      </c>
    </row>
    <row r="577" spans="2:9" ht="25" outlineLevel="2" x14ac:dyDescent="0.2">
      <c r="B577" s="8" t="s">
        <v>670</v>
      </c>
      <c r="C577" s="8" t="s">
        <v>8</v>
      </c>
      <c r="D577" s="8" t="s">
        <v>7</v>
      </c>
      <c r="E577" s="8" t="s">
        <v>6</v>
      </c>
      <c r="F577" s="8" t="s">
        <v>531</v>
      </c>
      <c r="G577" s="8" t="s">
        <v>674</v>
      </c>
      <c r="H577" s="8" t="s">
        <v>33</v>
      </c>
      <c r="I577" s="7">
        <v>7356000</v>
      </c>
    </row>
    <row r="578" spans="2:9" outlineLevel="2" x14ac:dyDescent="0.2">
      <c r="B578" s="8"/>
      <c r="C578" s="8"/>
      <c r="D578" s="8"/>
      <c r="E578" s="8"/>
      <c r="F578" s="8"/>
      <c r="G578" s="8"/>
      <c r="H578" s="8"/>
      <c r="I578" s="7"/>
    </row>
    <row r="579" spans="2:9" outlineLevel="2" x14ac:dyDescent="0.2">
      <c r="B579" s="8" t="s">
        <v>670</v>
      </c>
      <c r="C579" s="8" t="s">
        <v>664</v>
      </c>
      <c r="D579" s="8" t="s">
        <v>7</v>
      </c>
      <c r="E579" s="8" t="s">
        <v>6</v>
      </c>
      <c r="F579" s="8" t="s">
        <v>408</v>
      </c>
      <c r="G579" s="8" t="s">
        <v>673</v>
      </c>
      <c r="H579" s="8" t="s">
        <v>11</v>
      </c>
      <c r="I579" s="7">
        <v>5520000</v>
      </c>
    </row>
    <row r="580" spans="2:9" outlineLevel="2" x14ac:dyDescent="0.2">
      <c r="B580" s="8" t="s">
        <v>670</v>
      </c>
      <c r="C580" s="8" t="s">
        <v>664</v>
      </c>
      <c r="D580" s="8" t="s">
        <v>7</v>
      </c>
      <c r="E580" s="8" t="s">
        <v>6</v>
      </c>
      <c r="F580" s="8" t="s">
        <v>408</v>
      </c>
      <c r="G580" s="8" t="s">
        <v>672</v>
      </c>
      <c r="H580" s="8" t="s">
        <v>205</v>
      </c>
      <c r="I580" s="7">
        <v>-5520000</v>
      </c>
    </row>
    <row r="581" spans="2:9" outlineLevel="2" x14ac:dyDescent="0.2">
      <c r="B581" s="8"/>
      <c r="C581" s="8"/>
      <c r="D581" s="8"/>
      <c r="E581" s="8"/>
      <c r="F581" s="8"/>
      <c r="G581" s="8"/>
      <c r="H581" s="8"/>
      <c r="I581" s="7"/>
    </row>
    <row r="582" spans="2:9" outlineLevel="2" x14ac:dyDescent="0.2">
      <c r="B582" s="8" t="s">
        <v>670</v>
      </c>
      <c r="C582" s="8" t="s">
        <v>664</v>
      </c>
      <c r="D582" s="8" t="s">
        <v>7</v>
      </c>
      <c r="E582" s="8" t="s">
        <v>6</v>
      </c>
      <c r="F582" s="8" t="s">
        <v>212</v>
      </c>
      <c r="G582" s="8" t="s">
        <v>671</v>
      </c>
      <c r="H582" s="8" t="s">
        <v>11</v>
      </c>
      <c r="I582" s="7">
        <v>30000576</v>
      </c>
    </row>
    <row r="583" spans="2:9" outlineLevel="2" x14ac:dyDescent="0.2">
      <c r="B583" s="8" t="s">
        <v>670</v>
      </c>
      <c r="C583" s="8" t="s">
        <v>664</v>
      </c>
      <c r="D583" s="8" t="s">
        <v>7</v>
      </c>
      <c r="E583" s="8" t="s">
        <v>6</v>
      </c>
      <c r="F583" s="8" t="s">
        <v>212</v>
      </c>
      <c r="G583" s="8" t="s">
        <v>669</v>
      </c>
      <c r="H583" s="8" t="s">
        <v>205</v>
      </c>
      <c r="I583" s="7">
        <v>-30000576</v>
      </c>
    </row>
    <row r="584" spans="2:9" outlineLevel="2" x14ac:dyDescent="0.2">
      <c r="B584" s="8"/>
      <c r="C584" s="8"/>
      <c r="D584" s="8"/>
      <c r="E584" s="8"/>
      <c r="F584" s="8"/>
      <c r="G584" s="8"/>
      <c r="H584" s="8"/>
      <c r="I584" s="7"/>
    </row>
    <row r="585" spans="2:9" ht="25" outlineLevel="2" x14ac:dyDescent="0.2">
      <c r="B585" s="8" t="s">
        <v>9</v>
      </c>
      <c r="C585" s="8" t="s">
        <v>8</v>
      </c>
      <c r="D585" s="8" t="s">
        <v>7</v>
      </c>
      <c r="E585" s="8" t="s">
        <v>6</v>
      </c>
      <c r="F585" s="8" t="s">
        <v>204</v>
      </c>
      <c r="G585" s="8" t="s">
        <v>667</v>
      </c>
      <c r="H585" s="8" t="s">
        <v>11</v>
      </c>
      <c r="I585" s="7">
        <v>0</v>
      </c>
    </row>
    <row r="586" spans="2:9" ht="25" outlineLevel="2" x14ac:dyDescent="0.2">
      <c r="B586" s="8" t="s">
        <v>9</v>
      </c>
      <c r="C586" s="8" t="s">
        <v>8</v>
      </c>
      <c r="D586" s="8" t="s">
        <v>7</v>
      </c>
      <c r="E586" s="8" t="s">
        <v>6</v>
      </c>
      <c r="F586" s="8" t="s">
        <v>204</v>
      </c>
      <c r="G586" s="8" t="s">
        <v>668</v>
      </c>
      <c r="H586" s="8" t="s">
        <v>61</v>
      </c>
      <c r="I586" s="7">
        <v>9360000</v>
      </c>
    </row>
    <row r="587" spans="2:9" ht="25" outlineLevel="2" x14ac:dyDescent="0.2">
      <c r="B587" s="8" t="s">
        <v>9</v>
      </c>
      <c r="C587" s="8" t="s">
        <v>8</v>
      </c>
      <c r="D587" s="8" t="s">
        <v>7</v>
      </c>
      <c r="E587" s="8" t="s">
        <v>6</v>
      </c>
      <c r="F587" s="8" t="s">
        <v>204</v>
      </c>
      <c r="G587" s="8" t="s">
        <v>667</v>
      </c>
      <c r="H587" s="8" t="s">
        <v>3</v>
      </c>
      <c r="I587" s="7">
        <v>-9360000</v>
      </c>
    </row>
    <row r="588" spans="2:9" outlineLevel="2" x14ac:dyDescent="0.2">
      <c r="B588" s="8"/>
      <c r="C588" s="8"/>
      <c r="D588" s="8"/>
      <c r="E588" s="8"/>
      <c r="F588" s="8"/>
      <c r="G588" s="8"/>
      <c r="H588" s="8"/>
      <c r="I588" s="7"/>
    </row>
    <row r="589" spans="2:9" ht="25" outlineLevel="2" x14ac:dyDescent="0.2">
      <c r="B589" s="8" t="s">
        <v>9</v>
      </c>
      <c r="C589" s="8" t="s">
        <v>8</v>
      </c>
      <c r="D589" s="8" t="s">
        <v>7</v>
      </c>
      <c r="E589" s="8" t="s">
        <v>6</v>
      </c>
      <c r="F589" s="8" t="s">
        <v>204</v>
      </c>
      <c r="G589" s="8" t="s">
        <v>666</v>
      </c>
      <c r="H589" s="8" t="s">
        <v>11</v>
      </c>
      <c r="I589" s="7">
        <v>0</v>
      </c>
    </row>
    <row r="590" spans="2:9" ht="25" outlineLevel="2" x14ac:dyDescent="0.2">
      <c r="B590" s="8" t="s">
        <v>9</v>
      </c>
      <c r="C590" s="8" t="s">
        <v>8</v>
      </c>
      <c r="D590" s="8" t="s">
        <v>7</v>
      </c>
      <c r="E590" s="8" t="s">
        <v>6</v>
      </c>
      <c r="F590" s="8" t="s">
        <v>204</v>
      </c>
      <c r="G590" s="8" t="s">
        <v>666</v>
      </c>
      <c r="H590" s="8" t="s">
        <v>33</v>
      </c>
      <c r="I590" s="7">
        <v>-103384122</v>
      </c>
    </row>
    <row r="591" spans="2:9" ht="25" outlineLevel="2" x14ac:dyDescent="0.2">
      <c r="B591" s="8" t="s">
        <v>9</v>
      </c>
      <c r="C591" s="8" t="s">
        <v>8</v>
      </c>
      <c r="D591" s="8" t="s">
        <v>7</v>
      </c>
      <c r="E591" s="8" t="s">
        <v>6</v>
      </c>
      <c r="F591" s="8" t="s">
        <v>204</v>
      </c>
      <c r="G591" s="8" t="s">
        <v>665</v>
      </c>
      <c r="H591" s="8" t="s">
        <v>3</v>
      </c>
      <c r="I591" s="7">
        <v>103384122</v>
      </c>
    </row>
    <row r="592" spans="2:9" outlineLevel="2" x14ac:dyDescent="0.2">
      <c r="B592" s="8"/>
      <c r="C592" s="8"/>
      <c r="D592" s="8"/>
      <c r="E592" s="8"/>
      <c r="F592" s="8"/>
      <c r="G592" s="8"/>
      <c r="H592" s="8"/>
      <c r="I592" s="7"/>
    </row>
    <row r="593" spans="2:9" outlineLevel="2" x14ac:dyDescent="0.2">
      <c r="B593" s="8" t="s">
        <v>9</v>
      </c>
      <c r="C593" s="8" t="s">
        <v>664</v>
      </c>
      <c r="D593" s="8" t="s">
        <v>7</v>
      </c>
      <c r="E593" s="8" t="s">
        <v>6</v>
      </c>
      <c r="F593" s="8" t="s">
        <v>516</v>
      </c>
      <c r="G593" s="8" t="s">
        <v>663</v>
      </c>
      <c r="H593" s="8" t="s">
        <v>11</v>
      </c>
      <c r="I593" s="7">
        <v>289551</v>
      </c>
    </row>
    <row r="594" spans="2:9" ht="25" outlineLevel="2" x14ac:dyDescent="0.2">
      <c r="B594" s="8" t="s">
        <v>9</v>
      </c>
      <c r="C594" s="8" t="s">
        <v>664</v>
      </c>
      <c r="D594" s="8" t="s">
        <v>7</v>
      </c>
      <c r="E594" s="8" t="s">
        <v>6</v>
      </c>
      <c r="F594" s="8" t="s">
        <v>516</v>
      </c>
      <c r="G594" s="8" t="s">
        <v>663</v>
      </c>
      <c r="H594" s="8" t="s">
        <v>662</v>
      </c>
      <c r="I594" s="7">
        <v>289551</v>
      </c>
    </row>
    <row r="595" spans="2:9" outlineLevel="2" x14ac:dyDescent="0.2">
      <c r="B595" s="8"/>
      <c r="C595" s="8"/>
      <c r="D595" s="8"/>
      <c r="E595" s="8"/>
      <c r="F595" s="8"/>
      <c r="G595" s="8"/>
      <c r="H595" s="8"/>
      <c r="I595" s="7"/>
    </row>
    <row r="596" spans="2:9" outlineLevel="2" x14ac:dyDescent="0.2">
      <c r="B596" s="8" t="s">
        <v>9</v>
      </c>
      <c r="C596" s="8" t="s">
        <v>8</v>
      </c>
      <c r="D596" s="8" t="s">
        <v>7</v>
      </c>
      <c r="E596" s="8" t="s">
        <v>6</v>
      </c>
      <c r="F596" s="8" t="s">
        <v>656</v>
      </c>
      <c r="G596" s="8" t="s">
        <v>661</v>
      </c>
      <c r="H596" s="8" t="s">
        <v>11</v>
      </c>
      <c r="I596" s="7">
        <v>-36000000</v>
      </c>
    </row>
    <row r="597" spans="2:9" ht="25" outlineLevel="2" x14ac:dyDescent="0.2">
      <c r="B597" s="8" t="s">
        <v>9</v>
      </c>
      <c r="C597" s="8" t="s">
        <v>8</v>
      </c>
      <c r="D597" s="8" t="s">
        <v>7</v>
      </c>
      <c r="E597" s="8" t="s">
        <v>6</v>
      </c>
      <c r="F597" s="8" t="s">
        <v>656</v>
      </c>
      <c r="G597" s="8" t="s">
        <v>661</v>
      </c>
      <c r="H597" s="8" t="s">
        <v>58</v>
      </c>
      <c r="I597" s="7">
        <v>40000000</v>
      </c>
    </row>
    <row r="598" spans="2:9" ht="25" outlineLevel="2" x14ac:dyDescent="0.2">
      <c r="B598" s="8" t="s">
        <v>9</v>
      </c>
      <c r="C598" s="8" t="s">
        <v>8</v>
      </c>
      <c r="D598" s="8" t="s">
        <v>7</v>
      </c>
      <c r="E598" s="8" t="s">
        <v>6</v>
      </c>
      <c r="F598" s="8" t="s">
        <v>656</v>
      </c>
      <c r="G598" s="8" t="s">
        <v>660</v>
      </c>
      <c r="H598" s="8" t="s">
        <v>26</v>
      </c>
      <c r="I598" s="7">
        <v>1000000</v>
      </c>
    </row>
    <row r="599" spans="2:9" ht="25" outlineLevel="2" x14ac:dyDescent="0.2">
      <c r="B599" s="8" t="s">
        <v>9</v>
      </c>
      <c r="C599" s="8" t="s">
        <v>8</v>
      </c>
      <c r="D599" s="8" t="s">
        <v>7</v>
      </c>
      <c r="E599" s="8" t="s">
        <v>6</v>
      </c>
      <c r="F599" s="8" t="s">
        <v>656</v>
      </c>
      <c r="G599" s="8" t="s">
        <v>658</v>
      </c>
      <c r="H599" s="8" t="s">
        <v>26</v>
      </c>
      <c r="I599" s="7">
        <v>400000</v>
      </c>
    </row>
    <row r="600" spans="2:9" ht="25" outlineLevel="2" x14ac:dyDescent="0.2">
      <c r="B600" s="8" t="s">
        <v>9</v>
      </c>
      <c r="C600" s="8" t="s">
        <v>8</v>
      </c>
      <c r="D600" s="8" t="s">
        <v>7</v>
      </c>
      <c r="E600" s="8" t="s">
        <v>6</v>
      </c>
      <c r="F600" s="8" t="s">
        <v>656</v>
      </c>
      <c r="G600" s="8" t="s">
        <v>658</v>
      </c>
      <c r="H600" s="8" t="s">
        <v>26</v>
      </c>
      <c r="I600" s="7">
        <v>400000</v>
      </c>
    </row>
    <row r="601" spans="2:9" ht="25" outlineLevel="2" x14ac:dyDescent="0.2">
      <c r="B601" s="8" t="s">
        <v>9</v>
      </c>
      <c r="C601" s="8" t="s">
        <v>8</v>
      </c>
      <c r="D601" s="8" t="s">
        <v>7</v>
      </c>
      <c r="E601" s="8" t="s">
        <v>6</v>
      </c>
      <c r="F601" s="8" t="s">
        <v>656</v>
      </c>
      <c r="G601" s="8" t="s">
        <v>657</v>
      </c>
      <c r="H601" s="8" t="s">
        <v>26</v>
      </c>
      <c r="I601" s="7">
        <v>200000</v>
      </c>
    </row>
    <row r="602" spans="2:9" ht="25" outlineLevel="2" x14ac:dyDescent="0.2">
      <c r="B602" s="8" t="s">
        <v>9</v>
      </c>
      <c r="C602" s="8" t="s">
        <v>8</v>
      </c>
      <c r="D602" s="8" t="s">
        <v>7</v>
      </c>
      <c r="E602" s="8" t="s">
        <v>6</v>
      </c>
      <c r="F602" s="8" t="s">
        <v>656</v>
      </c>
      <c r="G602" s="8" t="s">
        <v>659</v>
      </c>
      <c r="H602" s="8" t="s">
        <v>26</v>
      </c>
      <c r="I602" s="7">
        <v>600000</v>
      </c>
    </row>
    <row r="603" spans="2:9" ht="25" outlineLevel="2" x14ac:dyDescent="0.2">
      <c r="B603" s="8" t="s">
        <v>9</v>
      </c>
      <c r="C603" s="8" t="s">
        <v>8</v>
      </c>
      <c r="D603" s="8" t="s">
        <v>7</v>
      </c>
      <c r="E603" s="8" t="s">
        <v>6</v>
      </c>
      <c r="F603" s="8" t="s">
        <v>656</v>
      </c>
      <c r="G603" s="8" t="s">
        <v>657</v>
      </c>
      <c r="H603" s="8" t="s">
        <v>26</v>
      </c>
      <c r="I603" s="7">
        <v>200000</v>
      </c>
    </row>
    <row r="604" spans="2:9" ht="25" outlineLevel="2" x14ac:dyDescent="0.2">
      <c r="B604" s="8" t="s">
        <v>9</v>
      </c>
      <c r="C604" s="8" t="s">
        <v>8</v>
      </c>
      <c r="D604" s="8" t="s">
        <v>7</v>
      </c>
      <c r="E604" s="8" t="s">
        <v>6</v>
      </c>
      <c r="F604" s="8" t="s">
        <v>656</v>
      </c>
      <c r="G604" s="8" t="s">
        <v>657</v>
      </c>
      <c r="H604" s="8" t="s">
        <v>26</v>
      </c>
      <c r="I604" s="7">
        <v>200000</v>
      </c>
    </row>
    <row r="605" spans="2:9" ht="25" outlineLevel="2" x14ac:dyDescent="0.2">
      <c r="B605" s="8" t="s">
        <v>9</v>
      </c>
      <c r="C605" s="8" t="s">
        <v>8</v>
      </c>
      <c r="D605" s="8" t="s">
        <v>7</v>
      </c>
      <c r="E605" s="8" t="s">
        <v>6</v>
      </c>
      <c r="F605" s="8" t="s">
        <v>656</v>
      </c>
      <c r="G605" s="8" t="s">
        <v>657</v>
      </c>
      <c r="H605" s="8" t="s">
        <v>26</v>
      </c>
      <c r="I605" s="7">
        <v>200000</v>
      </c>
    </row>
    <row r="606" spans="2:9" ht="25" outlineLevel="2" x14ac:dyDescent="0.2">
      <c r="B606" s="8" t="s">
        <v>9</v>
      </c>
      <c r="C606" s="8" t="s">
        <v>8</v>
      </c>
      <c r="D606" s="8" t="s">
        <v>7</v>
      </c>
      <c r="E606" s="8" t="s">
        <v>6</v>
      </c>
      <c r="F606" s="8" t="s">
        <v>656</v>
      </c>
      <c r="G606" s="8" t="s">
        <v>657</v>
      </c>
      <c r="H606" s="8" t="s">
        <v>26</v>
      </c>
      <c r="I606" s="7">
        <v>200000</v>
      </c>
    </row>
    <row r="607" spans="2:9" ht="25" outlineLevel="2" x14ac:dyDescent="0.2">
      <c r="B607" s="8" t="s">
        <v>9</v>
      </c>
      <c r="C607" s="8" t="s">
        <v>8</v>
      </c>
      <c r="D607" s="8" t="s">
        <v>7</v>
      </c>
      <c r="E607" s="8" t="s">
        <v>6</v>
      </c>
      <c r="F607" s="8" t="s">
        <v>656</v>
      </c>
      <c r="G607" s="8" t="s">
        <v>658</v>
      </c>
      <c r="H607" s="8" t="s">
        <v>26</v>
      </c>
      <c r="I607" s="7">
        <v>400000</v>
      </c>
    </row>
    <row r="608" spans="2:9" ht="25" outlineLevel="2" x14ac:dyDescent="0.2">
      <c r="B608" s="8" t="s">
        <v>9</v>
      </c>
      <c r="C608" s="8" t="s">
        <v>8</v>
      </c>
      <c r="D608" s="8" t="s">
        <v>7</v>
      </c>
      <c r="E608" s="8" t="s">
        <v>6</v>
      </c>
      <c r="F608" s="8" t="s">
        <v>656</v>
      </c>
      <c r="G608" s="8" t="s">
        <v>657</v>
      </c>
      <c r="H608" s="8" t="s">
        <v>26</v>
      </c>
      <c r="I608" s="7">
        <v>200000</v>
      </c>
    </row>
    <row r="609" spans="2:9" outlineLevel="2" x14ac:dyDescent="0.2">
      <c r="B609" s="8"/>
      <c r="C609" s="8"/>
      <c r="D609" s="8"/>
      <c r="E609" s="8"/>
      <c r="F609" s="8"/>
      <c r="G609" s="8"/>
      <c r="H609" s="8"/>
      <c r="I609" s="7"/>
    </row>
    <row r="610" spans="2:9" outlineLevel="2" x14ac:dyDescent="0.2">
      <c r="B610" s="8" t="s">
        <v>9</v>
      </c>
      <c r="C610" s="8" t="s">
        <v>8</v>
      </c>
      <c r="D610" s="8" t="s">
        <v>7</v>
      </c>
      <c r="E610" s="8" t="s">
        <v>6</v>
      </c>
      <c r="F610" s="8" t="s">
        <v>656</v>
      </c>
      <c r="G610" s="8" t="s">
        <v>655</v>
      </c>
      <c r="H610" s="8" t="s">
        <v>11</v>
      </c>
      <c r="I610" s="7">
        <v>-101200</v>
      </c>
    </row>
    <row r="611" spans="2:9" outlineLevel="2" x14ac:dyDescent="0.2">
      <c r="B611" s="8" t="s">
        <v>9</v>
      </c>
      <c r="C611" s="8" t="s">
        <v>8</v>
      </c>
      <c r="D611" s="8" t="s">
        <v>7</v>
      </c>
      <c r="E611" s="8" t="s">
        <v>6</v>
      </c>
      <c r="F611" s="8" t="s">
        <v>656</v>
      </c>
      <c r="G611" s="8" t="s">
        <v>655</v>
      </c>
      <c r="H611" s="8" t="s">
        <v>221</v>
      </c>
      <c r="I611" s="7">
        <v>101200</v>
      </c>
    </row>
    <row r="612" spans="2:9" outlineLevel="2" x14ac:dyDescent="0.2">
      <c r="B612" s="8"/>
      <c r="C612" s="8"/>
      <c r="D612" s="8"/>
      <c r="E612" s="8"/>
      <c r="F612" s="8"/>
      <c r="G612" s="8"/>
      <c r="H612" s="8"/>
      <c r="I612" s="7"/>
    </row>
    <row r="613" spans="2:9" ht="61" outlineLevel="2" x14ac:dyDescent="0.2">
      <c r="B613" s="8" t="s">
        <v>9</v>
      </c>
      <c r="C613" s="8" t="s">
        <v>8</v>
      </c>
      <c r="D613" s="8" t="s">
        <v>7</v>
      </c>
      <c r="E613" s="8" t="s">
        <v>6</v>
      </c>
      <c r="F613" s="8" t="s">
        <v>648</v>
      </c>
      <c r="G613" s="8" t="s">
        <v>654</v>
      </c>
      <c r="H613" s="8" t="s">
        <v>11</v>
      </c>
      <c r="I613" s="7">
        <v>-10979795</v>
      </c>
    </row>
    <row r="614" spans="2:9" outlineLevel="2" x14ac:dyDescent="0.2">
      <c r="B614" s="8" t="s">
        <v>9</v>
      </c>
      <c r="C614" s="8" t="s">
        <v>8</v>
      </c>
      <c r="D614" s="8" t="s">
        <v>7</v>
      </c>
      <c r="E614" s="8" t="s">
        <v>6</v>
      </c>
      <c r="F614" s="8" t="s">
        <v>648</v>
      </c>
      <c r="G614" s="8" t="s">
        <v>653</v>
      </c>
      <c r="H614" s="8" t="s">
        <v>33</v>
      </c>
      <c r="I614" s="7">
        <v>1057847</v>
      </c>
    </row>
    <row r="615" spans="2:9" ht="25" outlineLevel="2" x14ac:dyDescent="0.2">
      <c r="B615" s="8" t="s">
        <v>9</v>
      </c>
      <c r="C615" s="8" t="s">
        <v>8</v>
      </c>
      <c r="D615" s="8" t="s">
        <v>7</v>
      </c>
      <c r="E615" s="8" t="s">
        <v>6</v>
      </c>
      <c r="F615" s="8" t="s">
        <v>648</v>
      </c>
      <c r="G615" s="8" t="s">
        <v>652</v>
      </c>
      <c r="H615" s="8" t="s">
        <v>61</v>
      </c>
      <c r="I615" s="7">
        <v>2260000</v>
      </c>
    </row>
    <row r="616" spans="2:9" ht="25" outlineLevel="2" x14ac:dyDescent="0.2">
      <c r="B616" s="8" t="s">
        <v>9</v>
      </c>
      <c r="C616" s="8" t="s">
        <v>8</v>
      </c>
      <c r="D616" s="8" t="s">
        <v>7</v>
      </c>
      <c r="E616" s="8" t="s">
        <v>6</v>
      </c>
      <c r="F616" s="8" t="s">
        <v>648</v>
      </c>
      <c r="G616" s="8" t="s">
        <v>651</v>
      </c>
      <c r="H616" s="8" t="s">
        <v>61</v>
      </c>
      <c r="I616" s="7">
        <v>3053948</v>
      </c>
    </row>
    <row r="617" spans="2:9" ht="25" outlineLevel="2" x14ac:dyDescent="0.2">
      <c r="B617" s="8" t="s">
        <v>9</v>
      </c>
      <c r="C617" s="8" t="s">
        <v>8</v>
      </c>
      <c r="D617" s="8" t="s">
        <v>7</v>
      </c>
      <c r="E617" s="8" t="s">
        <v>6</v>
      </c>
      <c r="F617" s="8" t="s">
        <v>648</v>
      </c>
      <c r="G617" s="8" t="s">
        <v>650</v>
      </c>
      <c r="H617" s="8" t="s">
        <v>61</v>
      </c>
      <c r="I617" s="7">
        <v>3925000</v>
      </c>
    </row>
    <row r="618" spans="2:9" ht="25" outlineLevel="2" x14ac:dyDescent="0.2">
      <c r="B618" s="8" t="s">
        <v>9</v>
      </c>
      <c r="C618" s="8" t="s">
        <v>8</v>
      </c>
      <c r="D618" s="8" t="s">
        <v>7</v>
      </c>
      <c r="E618" s="8" t="s">
        <v>6</v>
      </c>
      <c r="F618" s="8" t="s">
        <v>648</v>
      </c>
      <c r="G618" s="8" t="s">
        <v>649</v>
      </c>
      <c r="H618" s="8" t="s">
        <v>33</v>
      </c>
      <c r="I618" s="7">
        <v>683000</v>
      </c>
    </row>
    <row r="619" spans="2:9" outlineLevel="2" x14ac:dyDescent="0.2">
      <c r="B619" s="8"/>
      <c r="C619" s="8"/>
      <c r="D619" s="8"/>
      <c r="E619" s="8"/>
      <c r="F619" s="8"/>
      <c r="G619" s="8"/>
      <c r="H619" s="8"/>
      <c r="I619" s="7"/>
    </row>
    <row r="620" spans="2:9" outlineLevel="2" x14ac:dyDescent="0.2">
      <c r="B620" s="8" t="s">
        <v>9</v>
      </c>
      <c r="C620" s="8" t="s">
        <v>8</v>
      </c>
      <c r="D620" s="8" t="s">
        <v>7</v>
      </c>
      <c r="E620" s="8" t="s">
        <v>6</v>
      </c>
      <c r="F620" s="8" t="s">
        <v>648</v>
      </c>
      <c r="G620" s="8" t="s">
        <v>647</v>
      </c>
      <c r="H620" s="8" t="s">
        <v>11</v>
      </c>
      <c r="I620" s="7">
        <v>-22000</v>
      </c>
    </row>
    <row r="621" spans="2:9" outlineLevel="2" x14ac:dyDescent="0.2">
      <c r="B621" s="8" t="s">
        <v>9</v>
      </c>
      <c r="C621" s="8" t="s">
        <v>8</v>
      </c>
      <c r="D621" s="8" t="s">
        <v>7</v>
      </c>
      <c r="E621" s="8" t="s">
        <v>6</v>
      </c>
      <c r="F621" s="8" t="s">
        <v>648</v>
      </c>
      <c r="G621" s="8" t="s">
        <v>647</v>
      </c>
      <c r="H621" s="8" t="s">
        <v>221</v>
      </c>
      <c r="I621" s="7">
        <v>22000</v>
      </c>
    </row>
    <row r="622" spans="2:9" outlineLevel="2" x14ac:dyDescent="0.2">
      <c r="B622" s="8"/>
      <c r="C622" s="8"/>
      <c r="D622" s="8"/>
      <c r="E622" s="8"/>
      <c r="F622" s="8"/>
      <c r="G622" s="8"/>
      <c r="H622" s="8"/>
      <c r="I622" s="7"/>
    </row>
    <row r="623" spans="2:9" ht="25" outlineLevel="2" x14ac:dyDescent="0.2">
      <c r="B623" s="8" t="s">
        <v>9</v>
      </c>
      <c r="C623" s="8" t="s">
        <v>8</v>
      </c>
      <c r="D623" s="8" t="s">
        <v>7</v>
      </c>
      <c r="E623" s="8" t="s">
        <v>6</v>
      </c>
      <c r="F623" s="8" t="s">
        <v>645</v>
      </c>
      <c r="G623" s="8" t="s">
        <v>646</v>
      </c>
      <c r="H623" s="8" t="s">
        <v>11</v>
      </c>
      <c r="I623" s="7">
        <v>-35910000</v>
      </c>
    </row>
    <row r="624" spans="2:9" ht="25" outlineLevel="2" x14ac:dyDescent="0.2">
      <c r="B624" s="8" t="s">
        <v>9</v>
      </c>
      <c r="C624" s="8" t="s">
        <v>8</v>
      </c>
      <c r="D624" s="8" t="s">
        <v>7</v>
      </c>
      <c r="E624" s="8" t="s">
        <v>6</v>
      </c>
      <c r="F624" s="8" t="s">
        <v>645</v>
      </c>
      <c r="G624" s="8" t="s">
        <v>646</v>
      </c>
      <c r="H624" s="8" t="s">
        <v>619</v>
      </c>
      <c r="I624" s="7">
        <v>35910000</v>
      </c>
    </row>
    <row r="625" spans="2:9" outlineLevel="2" x14ac:dyDescent="0.2">
      <c r="B625" s="8"/>
      <c r="C625" s="8"/>
      <c r="D625" s="8"/>
      <c r="E625" s="8"/>
      <c r="F625" s="8"/>
      <c r="G625" s="8"/>
      <c r="H625" s="8"/>
      <c r="I625" s="7"/>
    </row>
    <row r="626" spans="2:9" ht="25" outlineLevel="2" x14ac:dyDescent="0.2">
      <c r="B626" s="8" t="s">
        <v>9</v>
      </c>
      <c r="C626" s="8" t="s">
        <v>8</v>
      </c>
      <c r="D626" s="8" t="s">
        <v>7</v>
      </c>
      <c r="E626" s="8" t="s">
        <v>6</v>
      </c>
      <c r="F626" s="8" t="s">
        <v>645</v>
      </c>
      <c r="G626" s="8" t="s">
        <v>644</v>
      </c>
      <c r="H626" s="8" t="s">
        <v>11</v>
      </c>
      <c r="I626" s="7">
        <v>-22000</v>
      </c>
    </row>
    <row r="627" spans="2:9" ht="25" outlineLevel="2" x14ac:dyDescent="0.2">
      <c r="B627" s="8" t="s">
        <v>9</v>
      </c>
      <c r="C627" s="8" t="s">
        <v>8</v>
      </c>
      <c r="D627" s="8" t="s">
        <v>7</v>
      </c>
      <c r="E627" s="8" t="s">
        <v>6</v>
      </c>
      <c r="F627" s="8" t="s">
        <v>645</v>
      </c>
      <c r="G627" s="8" t="s">
        <v>644</v>
      </c>
      <c r="H627" s="8" t="s">
        <v>221</v>
      </c>
      <c r="I627" s="7">
        <v>22000</v>
      </c>
    </row>
    <row r="628" spans="2:9" outlineLevel="2" x14ac:dyDescent="0.2">
      <c r="B628" s="8"/>
      <c r="C628" s="8"/>
      <c r="D628" s="8"/>
      <c r="E628" s="8"/>
      <c r="F628" s="8"/>
      <c r="G628" s="8"/>
      <c r="H628" s="8"/>
      <c r="I628" s="7"/>
    </row>
    <row r="629" spans="2:9" ht="25" outlineLevel="2" x14ac:dyDescent="0.2">
      <c r="B629" s="8" t="s">
        <v>9</v>
      </c>
      <c r="C629" s="8" t="s">
        <v>8</v>
      </c>
      <c r="D629" s="8" t="s">
        <v>7</v>
      </c>
      <c r="E629" s="8" t="s">
        <v>6</v>
      </c>
      <c r="F629" s="8" t="s">
        <v>642</v>
      </c>
      <c r="G629" s="8" t="s">
        <v>643</v>
      </c>
      <c r="H629" s="8" t="s">
        <v>11</v>
      </c>
      <c r="I629" s="7">
        <v>-4239000</v>
      </c>
    </row>
    <row r="630" spans="2:9" ht="25" outlineLevel="2" x14ac:dyDescent="0.2">
      <c r="B630" s="8" t="s">
        <v>9</v>
      </c>
      <c r="C630" s="8" t="s">
        <v>8</v>
      </c>
      <c r="D630" s="8" t="s">
        <v>7</v>
      </c>
      <c r="E630" s="8" t="s">
        <v>6</v>
      </c>
      <c r="F630" s="8" t="s">
        <v>642</v>
      </c>
      <c r="G630" s="8" t="s">
        <v>643</v>
      </c>
      <c r="H630" s="8" t="s">
        <v>46</v>
      </c>
      <c r="I630" s="7">
        <v>4239000</v>
      </c>
    </row>
    <row r="631" spans="2:9" outlineLevel="2" x14ac:dyDescent="0.2">
      <c r="B631" s="8"/>
      <c r="C631" s="8"/>
      <c r="D631" s="8"/>
      <c r="E631" s="8"/>
      <c r="F631" s="8"/>
      <c r="G631" s="8"/>
      <c r="H631" s="8"/>
      <c r="I631" s="7"/>
    </row>
    <row r="632" spans="2:9" ht="25" outlineLevel="2" x14ac:dyDescent="0.2">
      <c r="B632" s="8" t="s">
        <v>9</v>
      </c>
      <c r="C632" s="8" t="s">
        <v>8</v>
      </c>
      <c r="D632" s="8" t="s">
        <v>7</v>
      </c>
      <c r="E632" s="8" t="s">
        <v>6</v>
      </c>
      <c r="F632" s="8" t="s">
        <v>642</v>
      </c>
      <c r="G632" s="8" t="s">
        <v>641</v>
      </c>
      <c r="H632" s="8" t="s">
        <v>11</v>
      </c>
      <c r="I632" s="7">
        <v>-22000</v>
      </c>
    </row>
    <row r="633" spans="2:9" ht="25" outlineLevel="2" x14ac:dyDescent="0.2">
      <c r="B633" s="8" t="s">
        <v>9</v>
      </c>
      <c r="C633" s="8" t="s">
        <v>8</v>
      </c>
      <c r="D633" s="8" t="s">
        <v>7</v>
      </c>
      <c r="E633" s="8" t="s">
        <v>6</v>
      </c>
      <c r="F633" s="8" t="s">
        <v>642</v>
      </c>
      <c r="G633" s="8" t="s">
        <v>641</v>
      </c>
      <c r="H633" s="8" t="s">
        <v>221</v>
      </c>
      <c r="I633" s="7">
        <v>22000</v>
      </c>
    </row>
    <row r="634" spans="2:9" outlineLevel="2" x14ac:dyDescent="0.2">
      <c r="B634" s="8"/>
      <c r="C634" s="8"/>
      <c r="D634" s="8"/>
      <c r="E634" s="8"/>
      <c r="F634" s="8"/>
      <c r="G634" s="8"/>
      <c r="H634" s="8"/>
      <c r="I634" s="7"/>
    </row>
    <row r="635" spans="2:9" ht="25" outlineLevel="2" x14ac:dyDescent="0.2">
      <c r="B635" s="8" t="s">
        <v>9</v>
      </c>
      <c r="C635" s="8" t="s">
        <v>8</v>
      </c>
      <c r="D635" s="8" t="s">
        <v>7</v>
      </c>
      <c r="E635" s="8" t="s">
        <v>6</v>
      </c>
      <c r="F635" s="8" t="s">
        <v>638</v>
      </c>
      <c r="G635" s="8" t="s">
        <v>640</v>
      </c>
      <c r="H635" s="8" t="s">
        <v>11</v>
      </c>
      <c r="I635" s="7">
        <v>-24975000</v>
      </c>
    </row>
    <row r="636" spans="2:9" ht="25" outlineLevel="2" x14ac:dyDescent="0.2">
      <c r="B636" s="8" t="s">
        <v>9</v>
      </c>
      <c r="C636" s="8" t="s">
        <v>8</v>
      </c>
      <c r="D636" s="8" t="s">
        <v>7</v>
      </c>
      <c r="E636" s="8" t="s">
        <v>6</v>
      </c>
      <c r="F636" s="8" t="s">
        <v>638</v>
      </c>
      <c r="G636" s="8" t="s">
        <v>640</v>
      </c>
      <c r="H636" s="8" t="s">
        <v>10</v>
      </c>
      <c r="I636" s="7">
        <v>27750000</v>
      </c>
    </row>
    <row r="637" spans="2:9" ht="25" outlineLevel="2" x14ac:dyDescent="0.2">
      <c r="B637" s="8" t="s">
        <v>9</v>
      </c>
      <c r="C637" s="8" t="s">
        <v>8</v>
      </c>
      <c r="D637" s="8" t="s">
        <v>7</v>
      </c>
      <c r="E637" s="8" t="s">
        <v>6</v>
      </c>
      <c r="F637" s="8" t="s">
        <v>638</v>
      </c>
      <c r="G637" s="8" t="s">
        <v>639</v>
      </c>
      <c r="H637" s="8" t="s">
        <v>26</v>
      </c>
      <c r="I637" s="7">
        <v>2775000</v>
      </c>
    </row>
    <row r="638" spans="2:9" outlineLevel="2" x14ac:dyDescent="0.2">
      <c r="B638" s="8"/>
      <c r="C638" s="8"/>
      <c r="D638" s="8"/>
      <c r="E638" s="8"/>
      <c r="F638" s="8"/>
      <c r="G638" s="8"/>
      <c r="H638" s="8"/>
      <c r="I638" s="7"/>
    </row>
    <row r="639" spans="2:9" ht="25" outlineLevel="2" x14ac:dyDescent="0.2">
      <c r="B639" s="8" t="s">
        <v>9</v>
      </c>
      <c r="C639" s="8" t="s">
        <v>8</v>
      </c>
      <c r="D639" s="8" t="s">
        <v>7</v>
      </c>
      <c r="E639" s="8" t="s">
        <v>6</v>
      </c>
      <c r="F639" s="8" t="s">
        <v>638</v>
      </c>
      <c r="G639" s="8" t="s">
        <v>637</v>
      </c>
      <c r="H639" s="8" t="s">
        <v>11</v>
      </c>
      <c r="I639" s="7">
        <v>-22000</v>
      </c>
    </row>
    <row r="640" spans="2:9" ht="25" outlineLevel="2" x14ac:dyDescent="0.2">
      <c r="B640" s="8" t="s">
        <v>9</v>
      </c>
      <c r="C640" s="8" t="s">
        <v>8</v>
      </c>
      <c r="D640" s="8" t="s">
        <v>7</v>
      </c>
      <c r="E640" s="8" t="s">
        <v>6</v>
      </c>
      <c r="F640" s="8" t="s">
        <v>638</v>
      </c>
      <c r="G640" s="8" t="s">
        <v>637</v>
      </c>
      <c r="H640" s="8" t="s">
        <v>221</v>
      </c>
      <c r="I640" s="7">
        <v>22000</v>
      </c>
    </row>
    <row r="641" spans="2:9" outlineLevel="2" x14ac:dyDescent="0.2">
      <c r="B641" s="8"/>
      <c r="C641" s="8"/>
      <c r="D641" s="8"/>
      <c r="E641" s="8"/>
      <c r="F641" s="8"/>
      <c r="G641" s="8"/>
      <c r="H641" s="8"/>
      <c r="I641" s="7"/>
    </row>
    <row r="642" spans="2:9" ht="25" outlineLevel="2" x14ac:dyDescent="0.2">
      <c r="B642" s="8" t="s">
        <v>9</v>
      </c>
      <c r="C642" s="8" t="s">
        <v>8</v>
      </c>
      <c r="D642" s="8" t="s">
        <v>7</v>
      </c>
      <c r="E642" s="8" t="s">
        <v>6</v>
      </c>
      <c r="F642" s="8" t="s">
        <v>217</v>
      </c>
      <c r="G642" s="8" t="s">
        <v>636</v>
      </c>
      <c r="H642" s="8" t="s">
        <v>11</v>
      </c>
      <c r="I642" s="7">
        <v>-5676000</v>
      </c>
    </row>
    <row r="643" spans="2:9" ht="25" outlineLevel="2" x14ac:dyDescent="0.2">
      <c r="B643" s="8" t="s">
        <v>9</v>
      </c>
      <c r="C643" s="8" t="s">
        <v>8</v>
      </c>
      <c r="D643" s="8" t="s">
        <v>7</v>
      </c>
      <c r="E643" s="8" t="s">
        <v>6</v>
      </c>
      <c r="F643" s="8" t="s">
        <v>217</v>
      </c>
      <c r="G643" s="8" t="s">
        <v>636</v>
      </c>
      <c r="H643" s="8" t="s">
        <v>33</v>
      </c>
      <c r="I643" s="7">
        <v>5676000</v>
      </c>
    </row>
    <row r="644" spans="2:9" outlineLevel="2" x14ac:dyDescent="0.2">
      <c r="B644" s="8"/>
      <c r="C644" s="8"/>
      <c r="D644" s="8"/>
      <c r="E644" s="8"/>
      <c r="F644" s="8"/>
      <c r="G644" s="8"/>
      <c r="H644" s="8"/>
      <c r="I644" s="7"/>
    </row>
    <row r="645" spans="2:9" ht="25" outlineLevel="2" x14ac:dyDescent="0.2">
      <c r="B645" s="8" t="s">
        <v>9</v>
      </c>
      <c r="C645" s="8" t="s">
        <v>8</v>
      </c>
      <c r="D645" s="8" t="s">
        <v>7</v>
      </c>
      <c r="E645" s="8" t="s">
        <v>6</v>
      </c>
      <c r="F645" s="8" t="s">
        <v>217</v>
      </c>
      <c r="G645" s="8" t="s">
        <v>635</v>
      </c>
      <c r="H645" s="8" t="s">
        <v>11</v>
      </c>
      <c r="I645" s="7">
        <v>-11000</v>
      </c>
    </row>
    <row r="646" spans="2:9" ht="25" outlineLevel="2" x14ac:dyDescent="0.2">
      <c r="B646" s="8" t="s">
        <v>9</v>
      </c>
      <c r="C646" s="8" t="s">
        <v>8</v>
      </c>
      <c r="D646" s="8" t="s">
        <v>7</v>
      </c>
      <c r="E646" s="8" t="s">
        <v>6</v>
      </c>
      <c r="F646" s="8" t="s">
        <v>217</v>
      </c>
      <c r="G646" s="8" t="s">
        <v>635</v>
      </c>
      <c r="H646" s="8" t="s">
        <v>221</v>
      </c>
      <c r="I646" s="7">
        <v>11000</v>
      </c>
    </row>
    <row r="647" spans="2:9" outlineLevel="2" x14ac:dyDescent="0.2">
      <c r="B647" s="8"/>
      <c r="C647" s="8"/>
      <c r="D647" s="8"/>
      <c r="E647" s="8"/>
      <c r="F647" s="8"/>
      <c r="G647" s="8"/>
      <c r="H647" s="8"/>
      <c r="I647" s="7"/>
    </row>
    <row r="648" spans="2:9" ht="25" outlineLevel="2" x14ac:dyDescent="0.2">
      <c r="B648" s="8" t="s">
        <v>9</v>
      </c>
      <c r="C648" s="8" t="s">
        <v>8</v>
      </c>
      <c r="D648" s="8" t="s">
        <v>7</v>
      </c>
      <c r="E648" s="8" t="s">
        <v>6</v>
      </c>
      <c r="F648" s="8" t="s">
        <v>204</v>
      </c>
      <c r="G648" s="8" t="s">
        <v>634</v>
      </c>
      <c r="H648" s="8" t="s">
        <v>11</v>
      </c>
      <c r="I648" s="7">
        <v>-25914122</v>
      </c>
    </row>
    <row r="649" spans="2:9" ht="25" outlineLevel="2" x14ac:dyDescent="0.2">
      <c r="B649" s="8" t="s">
        <v>9</v>
      </c>
      <c r="C649" s="8" t="s">
        <v>8</v>
      </c>
      <c r="D649" s="8" t="s">
        <v>7</v>
      </c>
      <c r="E649" s="8" t="s">
        <v>6</v>
      </c>
      <c r="F649" s="8" t="s">
        <v>204</v>
      </c>
      <c r="G649" s="8" t="s">
        <v>634</v>
      </c>
      <c r="H649" s="8" t="s">
        <v>10</v>
      </c>
      <c r="I649" s="7">
        <v>48000000</v>
      </c>
    </row>
    <row r="650" spans="2:9" ht="25" outlineLevel="2" x14ac:dyDescent="0.2">
      <c r="B650" s="8" t="s">
        <v>9</v>
      </c>
      <c r="C650" s="8" t="s">
        <v>8</v>
      </c>
      <c r="D650" s="8" t="s">
        <v>7</v>
      </c>
      <c r="E650" s="8" t="s">
        <v>6</v>
      </c>
      <c r="F650" s="8" t="s">
        <v>204</v>
      </c>
      <c r="G650" s="8" t="s">
        <v>633</v>
      </c>
      <c r="H650" s="8" t="s">
        <v>26</v>
      </c>
      <c r="I650" s="7">
        <v>4800000</v>
      </c>
    </row>
    <row r="651" spans="2:9" outlineLevel="2" x14ac:dyDescent="0.2">
      <c r="B651" s="8" t="s">
        <v>9</v>
      </c>
      <c r="C651" s="8" t="s">
        <v>8</v>
      </c>
      <c r="D651" s="8" t="s">
        <v>7</v>
      </c>
      <c r="E651" s="8" t="s">
        <v>6</v>
      </c>
      <c r="F651" s="8" t="s">
        <v>204</v>
      </c>
      <c r="G651" s="8" t="s">
        <v>632</v>
      </c>
      <c r="H651" s="8" t="s">
        <v>205</v>
      </c>
      <c r="I651" s="7">
        <v>-17285878</v>
      </c>
    </row>
    <row r="652" spans="2:9" outlineLevel="2" x14ac:dyDescent="0.2">
      <c r="B652" s="8"/>
      <c r="C652" s="8"/>
      <c r="D652" s="8"/>
      <c r="E652" s="8"/>
      <c r="F652" s="8"/>
      <c r="G652" s="8"/>
      <c r="H652" s="8"/>
      <c r="I652" s="7"/>
    </row>
    <row r="653" spans="2:9" ht="25" outlineLevel="2" x14ac:dyDescent="0.2">
      <c r="B653" s="8" t="s">
        <v>9</v>
      </c>
      <c r="C653" s="8" t="s">
        <v>8</v>
      </c>
      <c r="D653" s="8" t="s">
        <v>7</v>
      </c>
      <c r="E653" s="8" t="s">
        <v>6</v>
      </c>
      <c r="F653" s="8" t="s">
        <v>204</v>
      </c>
      <c r="G653" s="8" t="s">
        <v>631</v>
      </c>
      <c r="H653" s="8" t="s">
        <v>11</v>
      </c>
      <c r="I653" s="7">
        <v>-11000</v>
      </c>
    </row>
    <row r="654" spans="2:9" ht="25" outlineLevel="2" x14ac:dyDescent="0.2">
      <c r="B654" s="8" t="s">
        <v>9</v>
      </c>
      <c r="C654" s="8" t="s">
        <v>8</v>
      </c>
      <c r="D654" s="8" t="s">
        <v>7</v>
      </c>
      <c r="E654" s="8" t="s">
        <v>6</v>
      </c>
      <c r="F654" s="8" t="s">
        <v>204</v>
      </c>
      <c r="G654" s="8" t="s">
        <v>631</v>
      </c>
      <c r="H654" s="8" t="s">
        <v>221</v>
      </c>
      <c r="I654" s="7">
        <v>11000</v>
      </c>
    </row>
    <row r="655" spans="2:9" outlineLevel="2" x14ac:dyDescent="0.2">
      <c r="B655" s="8"/>
      <c r="C655" s="8"/>
      <c r="D655" s="8"/>
      <c r="E655" s="8"/>
      <c r="F655" s="8"/>
      <c r="G655" s="8"/>
      <c r="H655" s="8"/>
      <c r="I655" s="7"/>
    </row>
    <row r="656" spans="2:9" outlineLevel="2" x14ac:dyDescent="0.2">
      <c r="B656" s="8" t="s">
        <v>9</v>
      </c>
      <c r="C656" s="8" t="s">
        <v>8</v>
      </c>
      <c r="D656" s="8" t="s">
        <v>7</v>
      </c>
      <c r="E656" s="8" t="s">
        <v>6</v>
      </c>
      <c r="F656" s="8" t="s">
        <v>548</v>
      </c>
      <c r="G656" s="8" t="s">
        <v>630</v>
      </c>
      <c r="H656" s="8" t="s">
        <v>11</v>
      </c>
      <c r="I656" s="7">
        <v>-900000</v>
      </c>
    </row>
    <row r="657" spans="2:9" ht="25" outlineLevel="2" x14ac:dyDescent="0.2">
      <c r="B657" s="8" t="s">
        <v>9</v>
      </c>
      <c r="C657" s="8" t="s">
        <v>8</v>
      </c>
      <c r="D657" s="8" t="s">
        <v>7</v>
      </c>
      <c r="E657" s="8" t="s">
        <v>6</v>
      </c>
      <c r="F657" s="8" t="s">
        <v>548</v>
      </c>
      <c r="G657" s="8" t="s">
        <v>630</v>
      </c>
      <c r="H657" s="8" t="s">
        <v>58</v>
      </c>
      <c r="I657" s="7">
        <v>900000</v>
      </c>
    </row>
    <row r="658" spans="2:9" outlineLevel="2" x14ac:dyDescent="0.2">
      <c r="B658" s="8" t="s">
        <v>9</v>
      </c>
      <c r="C658" s="8" t="s">
        <v>8</v>
      </c>
      <c r="D658" s="8" t="s">
        <v>7</v>
      </c>
      <c r="E658" s="8" t="s">
        <v>6</v>
      </c>
      <c r="F658" s="8" t="s">
        <v>548</v>
      </c>
      <c r="G658" s="8" t="s">
        <v>629</v>
      </c>
      <c r="H658" s="8" t="s">
        <v>26</v>
      </c>
      <c r="I658" s="7">
        <v>0</v>
      </c>
    </row>
    <row r="659" spans="2:9" outlineLevel="2" x14ac:dyDescent="0.2">
      <c r="B659" s="8"/>
      <c r="C659" s="8"/>
      <c r="D659" s="8"/>
      <c r="E659" s="8"/>
      <c r="F659" s="8"/>
      <c r="G659" s="8"/>
      <c r="H659" s="8"/>
      <c r="I659" s="7"/>
    </row>
    <row r="660" spans="2:9" outlineLevel="2" x14ac:dyDescent="0.2">
      <c r="B660" s="8" t="s">
        <v>9</v>
      </c>
      <c r="C660" s="8" t="s">
        <v>8</v>
      </c>
      <c r="D660" s="8" t="s">
        <v>7</v>
      </c>
      <c r="E660" s="8" t="s">
        <v>6</v>
      </c>
      <c r="F660" s="8" t="s">
        <v>548</v>
      </c>
      <c r="G660" s="8" t="s">
        <v>628</v>
      </c>
      <c r="H660" s="8" t="s">
        <v>11</v>
      </c>
      <c r="I660" s="7">
        <v>-11000</v>
      </c>
    </row>
    <row r="661" spans="2:9" outlineLevel="2" x14ac:dyDescent="0.2">
      <c r="B661" s="8" t="s">
        <v>9</v>
      </c>
      <c r="C661" s="8" t="s">
        <v>8</v>
      </c>
      <c r="D661" s="8" t="s">
        <v>7</v>
      </c>
      <c r="E661" s="8" t="s">
        <v>6</v>
      </c>
      <c r="F661" s="8" t="s">
        <v>548</v>
      </c>
      <c r="G661" s="8" t="s">
        <v>628</v>
      </c>
      <c r="H661" s="8" t="s">
        <v>221</v>
      </c>
      <c r="I661" s="7">
        <v>11000</v>
      </c>
    </row>
    <row r="662" spans="2:9" outlineLevel="2" x14ac:dyDescent="0.2">
      <c r="B662" s="8"/>
      <c r="C662" s="8"/>
      <c r="D662" s="8"/>
      <c r="E662" s="8"/>
      <c r="F662" s="8"/>
      <c r="G662" s="8"/>
      <c r="H662" s="8"/>
      <c r="I662" s="7"/>
    </row>
    <row r="663" spans="2:9" ht="25" outlineLevel="2" x14ac:dyDescent="0.2">
      <c r="B663" s="8" t="s">
        <v>9</v>
      </c>
      <c r="C663" s="8" t="s">
        <v>8</v>
      </c>
      <c r="D663" s="8" t="s">
        <v>7</v>
      </c>
      <c r="E663" s="8" t="s">
        <v>6</v>
      </c>
      <c r="F663" s="8" t="s">
        <v>580</v>
      </c>
      <c r="G663" s="8" t="s">
        <v>627</v>
      </c>
      <c r="H663" s="8" t="s">
        <v>11</v>
      </c>
      <c r="I663" s="7">
        <v>-12600000</v>
      </c>
    </row>
    <row r="664" spans="2:9" ht="25" outlineLevel="2" x14ac:dyDescent="0.2">
      <c r="B664" s="8" t="s">
        <v>9</v>
      </c>
      <c r="C664" s="8" t="s">
        <v>8</v>
      </c>
      <c r="D664" s="8" t="s">
        <v>7</v>
      </c>
      <c r="E664" s="8" t="s">
        <v>6</v>
      </c>
      <c r="F664" s="8" t="s">
        <v>580</v>
      </c>
      <c r="G664" s="8" t="s">
        <v>627</v>
      </c>
      <c r="H664" s="8" t="s">
        <v>626</v>
      </c>
      <c r="I664" s="7">
        <v>14000000</v>
      </c>
    </row>
    <row r="665" spans="2:9" ht="25" outlineLevel="2" x14ac:dyDescent="0.2">
      <c r="B665" s="8" t="s">
        <v>9</v>
      </c>
      <c r="C665" s="8" t="s">
        <v>8</v>
      </c>
      <c r="D665" s="8" t="s">
        <v>7</v>
      </c>
      <c r="E665" s="8" t="s">
        <v>6</v>
      </c>
      <c r="F665" s="8" t="s">
        <v>580</v>
      </c>
      <c r="G665" s="8" t="s">
        <v>625</v>
      </c>
      <c r="H665" s="8" t="s">
        <v>26</v>
      </c>
      <c r="I665" s="7">
        <v>1400000</v>
      </c>
    </row>
    <row r="666" spans="2:9" outlineLevel="2" x14ac:dyDescent="0.2">
      <c r="B666" s="8"/>
      <c r="C666" s="8"/>
      <c r="D666" s="8"/>
      <c r="E666" s="8"/>
      <c r="F666" s="8"/>
      <c r="G666" s="8"/>
      <c r="H666" s="8"/>
      <c r="I666" s="7"/>
    </row>
    <row r="667" spans="2:9" ht="25" outlineLevel="2" x14ac:dyDescent="0.2">
      <c r="B667" s="8" t="s">
        <v>9</v>
      </c>
      <c r="C667" s="8" t="s">
        <v>8</v>
      </c>
      <c r="D667" s="8" t="s">
        <v>7</v>
      </c>
      <c r="E667" s="8" t="s">
        <v>6</v>
      </c>
      <c r="F667" s="8" t="s">
        <v>580</v>
      </c>
      <c r="G667" s="8" t="s">
        <v>624</v>
      </c>
      <c r="H667" s="8" t="s">
        <v>11</v>
      </c>
      <c r="I667" s="7">
        <v>-11000</v>
      </c>
    </row>
    <row r="668" spans="2:9" ht="25" outlineLevel="2" x14ac:dyDescent="0.2">
      <c r="B668" s="8" t="s">
        <v>9</v>
      </c>
      <c r="C668" s="8" t="s">
        <v>8</v>
      </c>
      <c r="D668" s="8" t="s">
        <v>7</v>
      </c>
      <c r="E668" s="8" t="s">
        <v>6</v>
      </c>
      <c r="F668" s="8" t="s">
        <v>580</v>
      </c>
      <c r="G668" s="8" t="s">
        <v>624</v>
      </c>
      <c r="H668" s="8" t="s">
        <v>221</v>
      </c>
      <c r="I668" s="7">
        <v>11000</v>
      </c>
    </row>
    <row r="669" spans="2:9" outlineLevel="2" x14ac:dyDescent="0.2">
      <c r="B669" s="8"/>
      <c r="C669" s="8"/>
      <c r="D669" s="8"/>
      <c r="E669" s="8"/>
      <c r="F669" s="8"/>
      <c r="G669" s="8"/>
      <c r="H669" s="8"/>
      <c r="I669" s="7"/>
    </row>
    <row r="670" spans="2:9" ht="37" outlineLevel="2" x14ac:dyDescent="0.2">
      <c r="B670" s="8" t="s">
        <v>9</v>
      </c>
      <c r="C670" s="8" t="s">
        <v>8</v>
      </c>
      <c r="D670" s="8" t="s">
        <v>7</v>
      </c>
      <c r="E670" s="8" t="s">
        <v>6</v>
      </c>
      <c r="F670" s="8" t="s">
        <v>430</v>
      </c>
      <c r="G670" s="8" t="s">
        <v>623</v>
      </c>
      <c r="H670" s="8" t="s">
        <v>11</v>
      </c>
      <c r="I670" s="7">
        <v>-11080256</v>
      </c>
    </row>
    <row r="671" spans="2:9" ht="37" outlineLevel="2" x14ac:dyDescent="0.2">
      <c r="B671" s="8" t="s">
        <v>9</v>
      </c>
      <c r="C671" s="8" t="s">
        <v>8</v>
      </c>
      <c r="D671" s="8" t="s">
        <v>7</v>
      </c>
      <c r="E671" s="8" t="s">
        <v>6</v>
      </c>
      <c r="F671" s="8" t="s">
        <v>430</v>
      </c>
      <c r="G671" s="8" t="s">
        <v>623</v>
      </c>
      <c r="H671" s="8" t="s">
        <v>58</v>
      </c>
      <c r="I671" s="7">
        <v>11084000</v>
      </c>
    </row>
    <row r="672" spans="2:9" ht="37" outlineLevel="2" x14ac:dyDescent="0.2">
      <c r="B672" s="8" t="s">
        <v>9</v>
      </c>
      <c r="C672" s="8" t="s">
        <v>8</v>
      </c>
      <c r="D672" s="8" t="s">
        <v>7</v>
      </c>
      <c r="E672" s="8" t="s">
        <v>6</v>
      </c>
      <c r="F672" s="8" t="s">
        <v>430</v>
      </c>
      <c r="G672" s="8" t="s">
        <v>622</v>
      </c>
      <c r="H672" s="8" t="s">
        <v>205</v>
      </c>
      <c r="I672" s="7">
        <v>-3744</v>
      </c>
    </row>
    <row r="673" spans="2:9" outlineLevel="2" x14ac:dyDescent="0.2">
      <c r="B673" s="8"/>
      <c r="C673" s="8"/>
      <c r="D673" s="8"/>
      <c r="E673" s="8"/>
      <c r="F673" s="8"/>
      <c r="G673" s="8"/>
      <c r="H673" s="8"/>
      <c r="I673" s="7"/>
    </row>
    <row r="674" spans="2:9" ht="37" outlineLevel="2" x14ac:dyDescent="0.2">
      <c r="B674" s="8" t="s">
        <v>9</v>
      </c>
      <c r="C674" s="8" t="s">
        <v>8</v>
      </c>
      <c r="D674" s="8" t="s">
        <v>7</v>
      </c>
      <c r="E674" s="8" t="s">
        <v>6</v>
      </c>
      <c r="F674" s="8" t="s">
        <v>430</v>
      </c>
      <c r="G674" s="8" t="s">
        <v>621</v>
      </c>
      <c r="H674" s="8" t="s">
        <v>11</v>
      </c>
      <c r="I674" s="7">
        <v>-11000</v>
      </c>
    </row>
    <row r="675" spans="2:9" ht="37" outlineLevel="2" x14ac:dyDescent="0.2">
      <c r="B675" s="8" t="s">
        <v>9</v>
      </c>
      <c r="C675" s="8" t="s">
        <v>8</v>
      </c>
      <c r="D675" s="8" t="s">
        <v>7</v>
      </c>
      <c r="E675" s="8" t="s">
        <v>6</v>
      </c>
      <c r="F675" s="8" t="s">
        <v>430</v>
      </c>
      <c r="G675" s="8" t="s">
        <v>621</v>
      </c>
      <c r="H675" s="8" t="s">
        <v>221</v>
      </c>
      <c r="I675" s="7">
        <v>11000</v>
      </c>
    </row>
    <row r="676" spans="2:9" outlineLevel="2" x14ac:dyDescent="0.2">
      <c r="B676" s="8"/>
      <c r="C676" s="8"/>
      <c r="D676" s="8"/>
      <c r="E676" s="8"/>
      <c r="F676" s="8"/>
      <c r="G676" s="8"/>
      <c r="H676" s="8"/>
      <c r="I676" s="7"/>
    </row>
    <row r="677" spans="2:9" ht="25" outlineLevel="2" x14ac:dyDescent="0.2">
      <c r="B677" s="8" t="s">
        <v>9</v>
      </c>
      <c r="C677" s="8" t="s">
        <v>8</v>
      </c>
      <c r="D677" s="8" t="s">
        <v>7</v>
      </c>
      <c r="E677" s="8" t="s">
        <v>6</v>
      </c>
      <c r="F677" s="8" t="s">
        <v>399</v>
      </c>
      <c r="G677" s="8" t="s">
        <v>620</v>
      </c>
      <c r="H677" s="8" t="s">
        <v>11</v>
      </c>
      <c r="I677" s="7">
        <v>-563600</v>
      </c>
    </row>
    <row r="678" spans="2:9" ht="25" outlineLevel="2" x14ac:dyDescent="0.2">
      <c r="B678" s="8" t="s">
        <v>9</v>
      </c>
      <c r="C678" s="8" t="s">
        <v>8</v>
      </c>
      <c r="D678" s="8" t="s">
        <v>7</v>
      </c>
      <c r="E678" s="8" t="s">
        <v>6</v>
      </c>
      <c r="F678" s="8" t="s">
        <v>399</v>
      </c>
      <c r="G678" s="8" t="s">
        <v>620</v>
      </c>
      <c r="H678" s="8" t="s">
        <v>619</v>
      </c>
      <c r="I678" s="7">
        <v>563600</v>
      </c>
    </row>
    <row r="679" spans="2:9" outlineLevel="2" x14ac:dyDescent="0.2">
      <c r="B679" s="8"/>
      <c r="C679" s="8"/>
      <c r="D679" s="8"/>
      <c r="E679" s="8"/>
      <c r="F679" s="8"/>
      <c r="G679" s="8"/>
      <c r="H679" s="8"/>
      <c r="I679" s="7"/>
    </row>
    <row r="680" spans="2:9" ht="25" outlineLevel="2" x14ac:dyDescent="0.2">
      <c r="B680" s="8" t="s">
        <v>9</v>
      </c>
      <c r="C680" s="8" t="s">
        <v>8</v>
      </c>
      <c r="D680" s="8" t="s">
        <v>7</v>
      </c>
      <c r="E680" s="8" t="s">
        <v>6</v>
      </c>
      <c r="F680" s="8" t="s">
        <v>399</v>
      </c>
      <c r="G680" s="8" t="s">
        <v>618</v>
      </c>
      <c r="H680" s="8" t="s">
        <v>11</v>
      </c>
      <c r="I680" s="7">
        <v>-11000</v>
      </c>
    </row>
    <row r="681" spans="2:9" ht="25" outlineLevel="2" x14ac:dyDescent="0.2">
      <c r="B681" s="8" t="s">
        <v>9</v>
      </c>
      <c r="C681" s="8" t="s">
        <v>8</v>
      </c>
      <c r="D681" s="8" t="s">
        <v>7</v>
      </c>
      <c r="E681" s="8" t="s">
        <v>6</v>
      </c>
      <c r="F681" s="8" t="s">
        <v>399</v>
      </c>
      <c r="G681" s="8" t="s">
        <v>618</v>
      </c>
      <c r="H681" s="8" t="s">
        <v>221</v>
      </c>
      <c r="I681" s="7">
        <v>11000</v>
      </c>
    </row>
    <row r="682" spans="2:9" outlineLevel="2" x14ac:dyDescent="0.2">
      <c r="B682" s="8"/>
      <c r="C682" s="8"/>
      <c r="D682" s="8"/>
      <c r="E682" s="8"/>
      <c r="F682" s="8"/>
      <c r="G682" s="8"/>
      <c r="H682" s="8"/>
      <c r="I682" s="7"/>
    </row>
    <row r="683" spans="2:9" ht="25" outlineLevel="2" x14ac:dyDescent="0.2">
      <c r="B683" s="8" t="s">
        <v>9</v>
      </c>
      <c r="C683" s="8" t="s">
        <v>8</v>
      </c>
      <c r="D683" s="8" t="s">
        <v>7</v>
      </c>
      <c r="E683" s="8" t="s">
        <v>6</v>
      </c>
      <c r="F683" s="8" t="s">
        <v>430</v>
      </c>
      <c r="G683" s="8" t="s">
        <v>617</v>
      </c>
      <c r="H683" s="8" t="s">
        <v>11</v>
      </c>
      <c r="I683" s="7">
        <v>-18563000</v>
      </c>
    </row>
    <row r="684" spans="2:9" ht="25" outlineLevel="2" x14ac:dyDescent="0.2">
      <c r="B684" s="8" t="s">
        <v>9</v>
      </c>
      <c r="C684" s="8" t="s">
        <v>8</v>
      </c>
      <c r="D684" s="8" t="s">
        <v>7</v>
      </c>
      <c r="E684" s="8" t="s">
        <v>6</v>
      </c>
      <c r="F684" s="8" t="s">
        <v>430</v>
      </c>
      <c r="G684" s="8" t="s">
        <v>617</v>
      </c>
      <c r="H684" s="8" t="s">
        <v>58</v>
      </c>
      <c r="I684" s="7">
        <v>18563000</v>
      </c>
    </row>
    <row r="685" spans="2:9" outlineLevel="2" x14ac:dyDescent="0.2">
      <c r="B685" s="8"/>
      <c r="C685" s="8"/>
      <c r="D685" s="8"/>
      <c r="E685" s="8"/>
      <c r="F685" s="8"/>
      <c r="G685" s="8"/>
      <c r="H685" s="8"/>
      <c r="I685" s="7"/>
    </row>
    <row r="686" spans="2:9" ht="25" outlineLevel="2" x14ac:dyDescent="0.2">
      <c r="B686" s="8" t="s">
        <v>9</v>
      </c>
      <c r="C686" s="8" t="s">
        <v>8</v>
      </c>
      <c r="D686" s="8" t="s">
        <v>7</v>
      </c>
      <c r="E686" s="8" t="s">
        <v>6</v>
      </c>
      <c r="F686" s="8" t="s">
        <v>430</v>
      </c>
      <c r="G686" s="8" t="s">
        <v>616</v>
      </c>
      <c r="H686" s="8" t="s">
        <v>11</v>
      </c>
      <c r="I686" s="7">
        <v>-11000</v>
      </c>
    </row>
    <row r="687" spans="2:9" ht="25" outlineLevel="2" x14ac:dyDescent="0.2">
      <c r="B687" s="8" t="s">
        <v>9</v>
      </c>
      <c r="C687" s="8" t="s">
        <v>8</v>
      </c>
      <c r="D687" s="8" t="s">
        <v>7</v>
      </c>
      <c r="E687" s="8" t="s">
        <v>6</v>
      </c>
      <c r="F687" s="8" t="s">
        <v>430</v>
      </c>
      <c r="G687" s="8" t="s">
        <v>616</v>
      </c>
      <c r="H687" s="8" t="s">
        <v>221</v>
      </c>
      <c r="I687" s="7">
        <v>11000</v>
      </c>
    </row>
    <row r="688" spans="2:9" outlineLevel="2" x14ac:dyDescent="0.2">
      <c r="B688" s="8"/>
      <c r="C688" s="8"/>
      <c r="D688" s="8"/>
      <c r="E688" s="8"/>
      <c r="F688" s="8"/>
      <c r="G688" s="8"/>
      <c r="H688" s="8"/>
      <c r="I688" s="7"/>
    </row>
    <row r="689" spans="2:9" outlineLevel="2" x14ac:dyDescent="0.2">
      <c r="B689" s="8" t="s">
        <v>9</v>
      </c>
      <c r="C689" s="8" t="s">
        <v>8</v>
      </c>
      <c r="D689" s="8" t="s">
        <v>7</v>
      </c>
      <c r="E689" s="8" t="s">
        <v>6</v>
      </c>
      <c r="F689" s="8" t="s">
        <v>399</v>
      </c>
      <c r="G689" s="8" t="s">
        <v>615</v>
      </c>
      <c r="H689" s="8" t="s">
        <v>11</v>
      </c>
      <c r="I689" s="7">
        <v>-1150000</v>
      </c>
    </row>
    <row r="690" spans="2:9" outlineLevel="2" x14ac:dyDescent="0.2">
      <c r="B690" s="8" t="s">
        <v>9</v>
      </c>
      <c r="C690" s="8" t="s">
        <v>8</v>
      </c>
      <c r="D690" s="8" t="s">
        <v>7</v>
      </c>
      <c r="E690" s="8" t="s">
        <v>6</v>
      </c>
      <c r="F690" s="8" t="s">
        <v>399</v>
      </c>
      <c r="G690" s="8" t="s">
        <v>615</v>
      </c>
      <c r="H690" s="8" t="s">
        <v>33</v>
      </c>
      <c r="I690" s="7">
        <v>1150000</v>
      </c>
    </row>
    <row r="691" spans="2:9" outlineLevel="2" x14ac:dyDescent="0.2">
      <c r="B691" s="8"/>
      <c r="C691" s="8"/>
      <c r="D691" s="8"/>
      <c r="E691" s="8"/>
      <c r="F691" s="8"/>
      <c r="G691" s="8"/>
      <c r="H691" s="8"/>
      <c r="I691" s="7"/>
    </row>
    <row r="692" spans="2:9" outlineLevel="2" x14ac:dyDescent="0.2">
      <c r="B692" s="8" t="s">
        <v>9</v>
      </c>
      <c r="C692" s="8" t="s">
        <v>8</v>
      </c>
      <c r="D692" s="8" t="s">
        <v>7</v>
      </c>
      <c r="E692" s="8" t="s">
        <v>6</v>
      </c>
      <c r="F692" s="8" t="s">
        <v>399</v>
      </c>
      <c r="G692" s="8" t="s">
        <v>614</v>
      </c>
      <c r="H692" s="8" t="s">
        <v>11</v>
      </c>
      <c r="I692" s="7">
        <v>-11000</v>
      </c>
    </row>
    <row r="693" spans="2:9" outlineLevel="2" x14ac:dyDescent="0.2">
      <c r="B693" s="8" t="s">
        <v>9</v>
      </c>
      <c r="C693" s="8" t="s">
        <v>8</v>
      </c>
      <c r="D693" s="8" t="s">
        <v>7</v>
      </c>
      <c r="E693" s="8" t="s">
        <v>6</v>
      </c>
      <c r="F693" s="8" t="s">
        <v>399</v>
      </c>
      <c r="G693" s="8" t="s">
        <v>614</v>
      </c>
      <c r="H693" s="8" t="s">
        <v>221</v>
      </c>
      <c r="I693" s="7">
        <v>11000</v>
      </c>
    </row>
    <row r="694" spans="2:9" outlineLevel="2" x14ac:dyDescent="0.2">
      <c r="B694" s="8"/>
      <c r="C694" s="8"/>
      <c r="D694" s="8"/>
      <c r="E694" s="8"/>
      <c r="F694" s="8"/>
      <c r="G694" s="8"/>
      <c r="H694" s="8"/>
      <c r="I694" s="7"/>
    </row>
    <row r="695" spans="2:9" outlineLevel="2" x14ac:dyDescent="0.2">
      <c r="B695" s="8" t="s">
        <v>9</v>
      </c>
      <c r="C695" s="8" t="s">
        <v>8</v>
      </c>
      <c r="D695" s="8" t="s">
        <v>7</v>
      </c>
      <c r="E695" s="8" t="s">
        <v>6</v>
      </c>
      <c r="F695" s="8" t="s">
        <v>612</v>
      </c>
      <c r="G695" s="8" t="s">
        <v>613</v>
      </c>
      <c r="H695" s="8" t="s">
        <v>11</v>
      </c>
      <c r="I695" s="7">
        <v>-664370</v>
      </c>
    </row>
    <row r="696" spans="2:9" outlineLevel="2" x14ac:dyDescent="0.2">
      <c r="B696" s="8" t="s">
        <v>9</v>
      </c>
      <c r="C696" s="8" t="s">
        <v>8</v>
      </c>
      <c r="D696" s="8" t="s">
        <v>7</v>
      </c>
      <c r="E696" s="8" t="s">
        <v>6</v>
      </c>
      <c r="F696" s="8" t="s">
        <v>612</v>
      </c>
      <c r="G696" s="8" t="s">
        <v>613</v>
      </c>
      <c r="H696" s="8" t="s">
        <v>43</v>
      </c>
      <c r="I696" s="7">
        <v>664370</v>
      </c>
    </row>
    <row r="697" spans="2:9" outlineLevel="2" x14ac:dyDescent="0.2">
      <c r="B697" s="8"/>
      <c r="C697" s="8"/>
      <c r="D697" s="8"/>
      <c r="E697" s="8"/>
      <c r="F697" s="8"/>
      <c r="G697" s="8"/>
      <c r="H697" s="8"/>
      <c r="I697" s="7"/>
    </row>
    <row r="698" spans="2:9" outlineLevel="2" x14ac:dyDescent="0.2">
      <c r="B698" s="8" t="s">
        <v>9</v>
      </c>
      <c r="C698" s="8" t="s">
        <v>8</v>
      </c>
      <c r="D698" s="8" t="s">
        <v>7</v>
      </c>
      <c r="E698" s="8" t="s">
        <v>6</v>
      </c>
      <c r="F698" s="8" t="s">
        <v>612</v>
      </c>
      <c r="G698" s="8" t="s">
        <v>611</v>
      </c>
      <c r="H698" s="8" t="s">
        <v>11</v>
      </c>
      <c r="I698" s="7">
        <v>-11000</v>
      </c>
    </row>
    <row r="699" spans="2:9" outlineLevel="2" x14ac:dyDescent="0.2">
      <c r="B699" s="8" t="s">
        <v>9</v>
      </c>
      <c r="C699" s="8" t="s">
        <v>8</v>
      </c>
      <c r="D699" s="8" t="s">
        <v>7</v>
      </c>
      <c r="E699" s="8" t="s">
        <v>6</v>
      </c>
      <c r="F699" s="8" t="s">
        <v>612</v>
      </c>
      <c r="G699" s="8" t="s">
        <v>611</v>
      </c>
      <c r="H699" s="8" t="s">
        <v>221</v>
      </c>
      <c r="I699" s="7">
        <v>11000</v>
      </c>
    </row>
    <row r="700" spans="2:9" outlineLevel="2" x14ac:dyDescent="0.2">
      <c r="B700" s="8"/>
      <c r="C700" s="8"/>
      <c r="D700" s="8"/>
      <c r="E700" s="8"/>
      <c r="F700" s="8"/>
      <c r="G700" s="8"/>
      <c r="H700" s="8"/>
      <c r="I700" s="7"/>
    </row>
    <row r="701" spans="2:9" ht="25" outlineLevel="2" x14ac:dyDescent="0.2">
      <c r="B701" s="8" t="s">
        <v>9</v>
      </c>
      <c r="C701" s="8" t="s">
        <v>8</v>
      </c>
      <c r="D701" s="8" t="s">
        <v>7</v>
      </c>
      <c r="E701" s="8" t="s">
        <v>6</v>
      </c>
      <c r="F701" s="8" t="s">
        <v>322</v>
      </c>
      <c r="G701" s="8" t="s">
        <v>610</v>
      </c>
      <c r="H701" s="8" t="s">
        <v>11</v>
      </c>
      <c r="I701" s="7">
        <v>-828800</v>
      </c>
    </row>
    <row r="702" spans="2:9" ht="25" outlineLevel="2" x14ac:dyDescent="0.2">
      <c r="B702" s="8" t="s">
        <v>9</v>
      </c>
      <c r="C702" s="8" t="s">
        <v>8</v>
      </c>
      <c r="D702" s="8" t="s">
        <v>7</v>
      </c>
      <c r="E702" s="8" t="s">
        <v>6</v>
      </c>
      <c r="F702" s="8" t="s">
        <v>322</v>
      </c>
      <c r="G702" s="8" t="s">
        <v>610</v>
      </c>
      <c r="H702" s="8" t="s">
        <v>55</v>
      </c>
      <c r="I702" s="7">
        <v>-7583200</v>
      </c>
    </row>
    <row r="703" spans="2:9" ht="25" outlineLevel="2" x14ac:dyDescent="0.2">
      <c r="B703" s="8" t="s">
        <v>9</v>
      </c>
      <c r="C703" s="8" t="s">
        <v>8</v>
      </c>
      <c r="D703" s="8" t="s">
        <v>7</v>
      </c>
      <c r="E703" s="8" t="s">
        <v>6</v>
      </c>
      <c r="F703" s="8" t="s">
        <v>322</v>
      </c>
      <c r="G703" s="8" t="s">
        <v>609</v>
      </c>
      <c r="H703" s="8" t="s">
        <v>33</v>
      </c>
      <c r="I703" s="7">
        <v>8412000</v>
      </c>
    </row>
    <row r="704" spans="2:9" outlineLevel="2" x14ac:dyDescent="0.2">
      <c r="B704" s="8"/>
      <c r="C704" s="8"/>
      <c r="D704" s="8"/>
      <c r="E704" s="8"/>
      <c r="F704" s="8"/>
      <c r="G704" s="8"/>
      <c r="H704" s="8"/>
      <c r="I704" s="7"/>
    </row>
    <row r="705" spans="2:9" ht="25" outlineLevel="2" x14ac:dyDescent="0.2">
      <c r="B705" s="8" t="s">
        <v>9</v>
      </c>
      <c r="C705" s="8" t="s">
        <v>8</v>
      </c>
      <c r="D705" s="8" t="s">
        <v>7</v>
      </c>
      <c r="E705" s="8" t="s">
        <v>6</v>
      </c>
      <c r="F705" s="8" t="s">
        <v>322</v>
      </c>
      <c r="G705" s="8" t="s">
        <v>608</v>
      </c>
      <c r="H705" s="8" t="s">
        <v>11</v>
      </c>
      <c r="I705" s="7">
        <v>-11000</v>
      </c>
    </row>
    <row r="706" spans="2:9" ht="25" outlineLevel="2" x14ac:dyDescent="0.2">
      <c r="B706" s="8" t="s">
        <v>9</v>
      </c>
      <c r="C706" s="8" t="s">
        <v>8</v>
      </c>
      <c r="D706" s="8" t="s">
        <v>7</v>
      </c>
      <c r="E706" s="8" t="s">
        <v>6</v>
      </c>
      <c r="F706" s="8" t="s">
        <v>322</v>
      </c>
      <c r="G706" s="8" t="s">
        <v>608</v>
      </c>
      <c r="H706" s="8" t="s">
        <v>221</v>
      </c>
      <c r="I706" s="7">
        <v>11000</v>
      </c>
    </row>
    <row r="707" spans="2:9" outlineLevel="2" x14ac:dyDescent="0.2">
      <c r="B707" s="8"/>
      <c r="C707" s="8"/>
      <c r="D707" s="8"/>
      <c r="E707" s="8"/>
      <c r="F707" s="8"/>
      <c r="G707" s="8"/>
      <c r="H707" s="8"/>
      <c r="I707" s="7"/>
    </row>
    <row r="708" spans="2:9" outlineLevel="2" x14ac:dyDescent="0.2">
      <c r="B708" s="8" t="s">
        <v>9</v>
      </c>
      <c r="C708" s="8" t="s">
        <v>8</v>
      </c>
      <c r="D708" s="8" t="s">
        <v>7</v>
      </c>
      <c r="E708" s="8" t="s">
        <v>6</v>
      </c>
      <c r="F708" s="8" t="s">
        <v>25</v>
      </c>
      <c r="G708" s="8" t="s">
        <v>607</v>
      </c>
      <c r="H708" s="8" t="s">
        <v>11</v>
      </c>
      <c r="I708" s="7">
        <v>-5595000</v>
      </c>
    </row>
    <row r="709" spans="2:9" ht="25" outlineLevel="2" x14ac:dyDescent="0.2">
      <c r="B709" s="8" t="s">
        <v>9</v>
      </c>
      <c r="C709" s="8" t="s">
        <v>8</v>
      </c>
      <c r="D709" s="8" t="s">
        <v>7</v>
      </c>
      <c r="E709" s="8" t="s">
        <v>6</v>
      </c>
      <c r="F709" s="8" t="s">
        <v>25</v>
      </c>
      <c r="G709" s="8" t="s">
        <v>607</v>
      </c>
      <c r="H709" s="8" t="s">
        <v>61</v>
      </c>
      <c r="I709" s="7">
        <v>5595000</v>
      </c>
    </row>
    <row r="710" spans="2:9" outlineLevel="2" x14ac:dyDescent="0.2">
      <c r="B710" s="8"/>
      <c r="C710" s="8"/>
      <c r="D710" s="8"/>
      <c r="E710" s="8"/>
      <c r="F710" s="8"/>
      <c r="G710" s="8"/>
      <c r="H710" s="8"/>
      <c r="I710" s="7"/>
    </row>
    <row r="711" spans="2:9" outlineLevel="2" x14ac:dyDescent="0.2">
      <c r="B711" s="8" t="s">
        <v>9</v>
      </c>
      <c r="C711" s="8" t="s">
        <v>8</v>
      </c>
      <c r="D711" s="8" t="s">
        <v>7</v>
      </c>
      <c r="E711" s="8" t="s">
        <v>6</v>
      </c>
      <c r="F711" s="8" t="s">
        <v>25</v>
      </c>
      <c r="G711" s="8" t="s">
        <v>606</v>
      </c>
      <c r="H711" s="8" t="s">
        <v>11</v>
      </c>
      <c r="I711" s="7">
        <v>-11000</v>
      </c>
    </row>
    <row r="712" spans="2:9" outlineLevel="2" x14ac:dyDescent="0.2">
      <c r="B712" s="8" t="s">
        <v>9</v>
      </c>
      <c r="C712" s="8" t="s">
        <v>8</v>
      </c>
      <c r="D712" s="8" t="s">
        <v>7</v>
      </c>
      <c r="E712" s="8" t="s">
        <v>6</v>
      </c>
      <c r="F712" s="8" t="s">
        <v>25</v>
      </c>
      <c r="G712" s="8" t="s">
        <v>606</v>
      </c>
      <c r="H712" s="8" t="s">
        <v>221</v>
      </c>
      <c r="I712" s="7">
        <v>11000</v>
      </c>
    </row>
    <row r="713" spans="2:9" outlineLevel="2" x14ac:dyDescent="0.2">
      <c r="B713" s="8"/>
      <c r="C713" s="8"/>
      <c r="D713" s="8"/>
      <c r="E713" s="8"/>
      <c r="F713" s="8"/>
      <c r="G713" s="8"/>
      <c r="H713" s="8"/>
      <c r="I713" s="7"/>
    </row>
    <row r="714" spans="2:9" ht="25" outlineLevel="2" x14ac:dyDescent="0.2">
      <c r="B714" s="8" t="s">
        <v>9</v>
      </c>
      <c r="C714" s="8" t="s">
        <v>8</v>
      </c>
      <c r="D714" s="8" t="s">
        <v>7</v>
      </c>
      <c r="E714" s="8" t="s">
        <v>6</v>
      </c>
      <c r="F714" s="8" t="s">
        <v>90</v>
      </c>
      <c r="G714" s="8" t="s">
        <v>605</v>
      </c>
      <c r="H714" s="8" t="s">
        <v>11</v>
      </c>
      <c r="I714" s="7">
        <v>-96557542</v>
      </c>
    </row>
    <row r="715" spans="2:9" ht="25" outlineLevel="2" x14ac:dyDescent="0.2">
      <c r="B715" s="8" t="s">
        <v>9</v>
      </c>
      <c r="C715" s="8" t="s">
        <v>8</v>
      </c>
      <c r="D715" s="8" t="s">
        <v>7</v>
      </c>
      <c r="E715" s="8" t="s">
        <v>6</v>
      </c>
      <c r="F715" s="8" t="s">
        <v>90</v>
      </c>
      <c r="G715" s="8" t="s">
        <v>605</v>
      </c>
      <c r="H715" s="8" t="s">
        <v>55</v>
      </c>
      <c r="I715" s="7">
        <v>155409188</v>
      </c>
    </row>
    <row r="716" spans="2:9" outlineLevel="2" x14ac:dyDescent="0.2">
      <c r="B716" s="8" t="s">
        <v>9</v>
      </c>
      <c r="C716" s="8" t="s">
        <v>8</v>
      </c>
      <c r="D716" s="8" t="s">
        <v>7</v>
      </c>
      <c r="E716" s="8" t="s">
        <v>6</v>
      </c>
      <c r="F716" s="8" t="s">
        <v>90</v>
      </c>
      <c r="G716" s="8" t="s">
        <v>604</v>
      </c>
      <c r="H716" s="8" t="s">
        <v>205</v>
      </c>
      <c r="I716" s="7">
        <v>-58851646</v>
      </c>
    </row>
    <row r="717" spans="2:9" outlineLevel="2" x14ac:dyDescent="0.2">
      <c r="B717" s="8"/>
      <c r="C717" s="8"/>
      <c r="D717" s="8"/>
      <c r="E717" s="8"/>
      <c r="F717" s="8"/>
      <c r="G717" s="8"/>
      <c r="H717" s="8"/>
      <c r="I717" s="7"/>
    </row>
    <row r="718" spans="2:9" ht="25" outlineLevel="2" x14ac:dyDescent="0.2">
      <c r="B718" s="8" t="s">
        <v>9</v>
      </c>
      <c r="C718" s="8" t="s">
        <v>8</v>
      </c>
      <c r="D718" s="8" t="s">
        <v>7</v>
      </c>
      <c r="E718" s="8" t="s">
        <v>6</v>
      </c>
      <c r="F718" s="8" t="s">
        <v>90</v>
      </c>
      <c r="G718" s="8" t="s">
        <v>603</v>
      </c>
      <c r="H718" s="8" t="s">
        <v>11</v>
      </c>
      <c r="I718" s="7">
        <v>-31864</v>
      </c>
    </row>
    <row r="719" spans="2:9" ht="25" outlineLevel="2" x14ac:dyDescent="0.2">
      <c r="B719" s="8" t="s">
        <v>9</v>
      </c>
      <c r="C719" s="8" t="s">
        <v>8</v>
      </c>
      <c r="D719" s="8" t="s">
        <v>7</v>
      </c>
      <c r="E719" s="8" t="s">
        <v>6</v>
      </c>
      <c r="F719" s="8" t="s">
        <v>90</v>
      </c>
      <c r="G719" s="8" t="s">
        <v>603</v>
      </c>
      <c r="H719" s="8" t="s">
        <v>221</v>
      </c>
      <c r="I719" s="7">
        <v>31864</v>
      </c>
    </row>
    <row r="720" spans="2:9" outlineLevel="2" x14ac:dyDescent="0.2">
      <c r="B720" s="8"/>
      <c r="C720" s="8"/>
      <c r="D720" s="8"/>
      <c r="E720" s="8"/>
      <c r="F720" s="8"/>
      <c r="G720" s="8"/>
      <c r="H720" s="8"/>
      <c r="I720" s="7"/>
    </row>
    <row r="721" spans="2:9" ht="25" outlineLevel="2" x14ac:dyDescent="0.2">
      <c r="B721" s="8" t="s">
        <v>9</v>
      </c>
      <c r="C721" s="8" t="s">
        <v>8</v>
      </c>
      <c r="D721" s="8" t="s">
        <v>7</v>
      </c>
      <c r="E721" s="8" t="s">
        <v>6</v>
      </c>
      <c r="F721" s="8" t="s">
        <v>90</v>
      </c>
      <c r="G721" s="8" t="s">
        <v>602</v>
      </c>
      <c r="H721" s="8" t="s">
        <v>11</v>
      </c>
      <c r="I721" s="7">
        <v>0</v>
      </c>
    </row>
    <row r="722" spans="2:9" ht="25" outlineLevel="2" x14ac:dyDescent="0.2">
      <c r="B722" s="8" t="s">
        <v>9</v>
      </c>
      <c r="C722" s="8" t="s">
        <v>8</v>
      </c>
      <c r="D722" s="8" t="s">
        <v>7</v>
      </c>
      <c r="E722" s="8" t="s">
        <v>6</v>
      </c>
      <c r="F722" s="8" t="s">
        <v>90</v>
      </c>
      <c r="G722" s="8" t="s">
        <v>602</v>
      </c>
      <c r="H722" s="8" t="s">
        <v>55</v>
      </c>
      <c r="I722" s="7">
        <v>-290570000</v>
      </c>
    </row>
    <row r="723" spans="2:9" ht="25" outlineLevel="2" x14ac:dyDescent="0.2">
      <c r="B723" s="8" t="s">
        <v>9</v>
      </c>
      <c r="C723" s="8" t="s">
        <v>8</v>
      </c>
      <c r="D723" s="8" t="s">
        <v>7</v>
      </c>
      <c r="E723" s="8" t="s">
        <v>6</v>
      </c>
      <c r="F723" s="8" t="s">
        <v>90</v>
      </c>
      <c r="G723" s="8" t="s">
        <v>601</v>
      </c>
      <c r="H723" s="8" t="s">
        <v>61</v>
      </c>
      <c r="I723" s="7">
        <v>24550000</v>
      </c>
    </row>
    <row r="724" spans="2:9" ht="25" outlineLevel="2" x14ac:dyDescent="0.2">
      <c r="B724" s="8" t="s">
        <v>9</v>
      </c>
      <c r="C724" s="8" t="s">
        <v>8</v>
      </c>
      <c r="D724" s="8" t="s">
        <v>7</v>
      </c>
      <c r="E724" s="8" t="s">
        <v>6</v>
      </c>
      <c r="F724" s="8" t="s">
        <v>90</v>
      </c>
      <c r="G724" s="8" t="s">
        <v>600</v>
      </c>
      <c r="H724" s="8" t="s">
        <v>58</v>
      </c>
      <c r="I724" s="7">
        <v>33118414</v>
      </c>
    </row>
    <row r="725" spans="2:9" ht="25" outlineLevel="2" x14ac:dyDescent="0.2">
      <c r="B725" s="8" t="s">
        <v>9</v>
      </c>
      <c r="C725" s="8" t="s">
        <v>8</v>
      </c>
      <c r="D725" s="8" t="s">
        <v>7</v>
      </c>
      <c r="E725" s="8" t="s">
        <v>6</v>
      </c>
      <c r="F725" s="8" t="s">
        <v>90</v>
      </c>
      <c r="G725" s="8" t="s">
        <v>599</v>
      </c>
      <c r="H725" s="8" t="s">
        <v>58</v>
      </c>
      <c r="I725" s="7">
        <v>70970000</v>
      </c>
    </row>
    <row r="726" spans="2:9" ht="25" outlineLevel="2" x14ac:dyDescent="0.2">
      <c r="B726" s="8" t="s">
        <v>9</v>
      </c>
      <c r="C726" s="8" t="s">
        <v>8</v>
      </c>
      <c r="D726" s="8" t="s">
        <v>7</v>
      </c>
      <c r="E726" s="8" t="s">
        <v>6</v>
      </c>
      <c r="F726" s="8" t="s">
        <v>90</v>
      </c>
      <c r="G726" s="8" t="s">
        <v>598</v>
      </c>
      <c r="H726" s="8" t="s">
        <v>61</v>
      </c>
      <c r="I726" s="7">
        <v>31700000</v>
      </c>
    </row>
    <row r="727" spans="2:9" ht="25" outlineLevel="2" x14ac:dyDescent="0.2">
      <c r="B727" s="8" t="s">
        <v>9</v>
      </c>
      <c r="C727" s="8" t="s">
        <v>8</v>
      </c>
      <c r="D727" s="8" t="s">
        <v>7</v>
      </c>
      <c r="E727" s="8" t="s">
        <v>6</v>
      </c>
      <c r="F727" s="8" t="s">
        <v>90</v>
      </c>
      <c r="G727" s="8" t="s">
        <v>597</v>
      </c>
      <c r="H727" s="8" t="s">
        <v>58</v>
      </c>
      <c r="I727" s="7">
        <v>65599940</v>
      </c>
    </row>
    <row r="728" spans="2:9" ht="25" outlineLevel="2" x14ac:dyDescent="0.2">
      <c r="B728" s="8" t="s">
        <v>9</v>
      </c>
      <c r="C728" s="8" t="s">
        <v>8</v>
      </c>
      <c r="D728" s="8" t="s">
        <v>7</v>
      </c>
      <c r="E728" s="8" t="s">
        <v>6</v>
      </c>
      <c r="F728" s="8" t="s">
        <v>90</v>
      </c>
      <c r="G728" s="8" t="s">
        <v>596</v>
      </c>
      <c r="H728" s="8" t="s">
        <v>58</v>
      </c>
      <c r="I728" s="7">
        <v>5780000</v>
      </c>
    </row>
    <row r="729" spans="2:9" outlineLevel="2" x14ac:dyDescent="0.2">
      <c r="B729" s="8" t="s">
        <v>9</v>
      </c>
      <c r="C729" s="8" t="s">
        <v>8</v>
      </c>
      <c r="D729" s="8" t="s">
        <v>7</v>
      </c>
      <c r="E729" s="8" t="s">
        <v>6</v>
      </c>
      <c r="F729" s="8" t="s">
        <v>90</v>
      </c>
      <c r="G729" s="8" t="s">
        <v>595</v>
      </c>
      <c r="H729" s="8" t="s">
        <v>205</v>
      </c>
      <c r="I729" s="7">
        <v>58851646</v>
      </c>
    </row>
    <row r="730" spans="2:9" outlineLevel="2" x14ac:dyDescent="0.2">
      <c r="B730" s="8"/>
      <c r="C730" s="8"/>
      <c r="D730" s="8"/>
      <c r="E730" s="8"/>
      <c r="F730" s="8"/>
      <c r="G730" s="8"/>
      <c r="H730" s="8"/>
      <c r="I730" s="7"/>
    </row>
    <row r="731" spans="2:9" outlineLevel="2" x14ac:dyDescent="0.2">
      <c r="B731" s="8" t="s">
        <v>9</v>
      </c>
      <c r="C731" s="8" t="s">
        <v>8</v>
      </c>
      <c r="D731" s="8" t="s">
        <v>7</v>
      </c>
      <c r="E731" s="8" t="s">
        <v>6</v>
      </c>
      <c r="F731" s="8" t="s">
        <v>593</v>
      </c>
      <c r="G731" s="8" t="s">
        <v>594</v>
      </c>
      <c r="H731" s="8" t="s">
        <v>11</v>
      </c>
      <c r="I731" s="7">
        <v>-9000000</v>
      </c>
    </row>
    <row r="732" spans="2:9" outlineLevel="2" x14ac:dyDescent="0.2">
      <c r="B732" s="8" t="s">
        <v>9</v>
      </c>
      <c r="C732" s="8" t="s">
        <v>8</v>
      </c>
      <c r="D732" s="8" t="s">
        <v>7</v>
      </c>
      <c r="E732" s="8" t="s">
        <v>6</v>
      </c>
      <c r="F732" s="8" t="s">
        <v>593</v>
      </c>
      <c r="G732" s="8" t="s">
        <v>594</v>
      </c>
      <c r="H732" s="8" t="s">
        <v>205</v>
      </c>
      <c r="I732" s="7">
        <v>9000000</v>
      </c>
    </row>
    <row r="733" spans="2:9" outlineLevel="2" x14ac:dyDescent="0.2">
      <c r="B733" s="8"/>
      <c r="C733" s="8"/>
      <c r="D733" s="8"/>
      <c r="E733" s="8"/>
      <c r="F733" s="8"/>
      <c r="G733" s="8"/>
      <c r="H733" s="8"/>
      <c r="I733" s="7"/>
    </row>
    <row r="734" spans="2:9" outlineLevel="2" x14ac:dyDescent="0.2">
      <c r="B734" s="8" t="s">
        <v>9</v>
      </c>
      <c r="C734" s="8" t="s">
        <v>8</v>
      </c>
      <c r="D734" s="8" t="s">
        <v>7</v>
      </c>
      <c r="E734" s="8" t="s">
        <v>6</v>
      </c>
      <c r="F734" s="8" t="s">
        <v>593</v>
      </c>
      <c r="G734" s="8" t="s">
        <v>592</v>
      </c>
      <c r="H734" s="8" t="s">
        <v>11</v>
      </c>
      <c r="I734" s="7">
        <v>-22000</v>
      </c>
    </row>
    <row r="735" spans="2:9" outlineLevel="2" x14ac:dyDescent="0.2">
      <c r="B735" s="8" t="s">
        <v>9</v>
      </c>
      <c r="C735" s="8" t="s">
        <v>8</v>
      </c>
      <c r="D735" s="8" t="s">
        <v>7</v>
      </c>
      <c r="E735" s="8" t="s">
        <v>6</v>
      </c>
      <c r="F735" s="8" t="s">
        <v>593</v>
      </c>
      <c r="G735" s="8" t="s">
        <v>592</v>
      </c>
      <c r="H735" s="8" t="s">
        <v>221</v>
      </c>
      <c r="I735" s="7">
        <v>22000</v>
      </c>
    </row>
    <row r="736" spans="2:9" outlineLevel="2" x14ac:dyDescent="0.2">
      <c r="B736" s="8"/>
      <c r="C736" s="8"/>
      <c r="D736" s="8"/>
      <c r="E736" s="8"/>
      <c r="F736" s="8"/>
      <c r="G736" s="8"/>
      <c r="H736" s="8"/>
      <c r="I736" s="7"/>
    </row>
    <row r="737" spans="2:9" ht="25" outlineLevel="2" x14ac:dyDescent="0.2">
      <c r="B737" s="8" t="s">
        <v>9</v>
      </c>
      <c r="C737" s="8" t="s">
        <v>8</v>
      </c>
      <c r="D737" s="8" t="s">
        <v>7</v>
      </c>
      <c r="E737" s="8" t="s">
        <v>6</v>
      </c>
      <c r="F737" s="8" t="s">
        <v>590</v>
      </c>
      <c r="G737" s="8" t="s">
        <v>591</v>
      </c>
      <c r="H737" s="8" t="s">
        <v>11</v>
      </c>
      <c r="I737" s="7">
        <v>-1566000</v>
      </c>
    </row>
    <row r="738" spans="2:9" ht="25" outlineLevel="2" x14ac:dyDescent="0.2">
      <c r="B738" s="8" t="s">
        <v>9</v>
      </c>
      <c r="C738" s="8" t="s">
        <v>8</v>
      </c>
      <c r="D738" s="8" t="s">
        <v>7</v>
      </c>
      <c r="E738" s="8" t="s">
        <v>6</v>
      </c>
      <c r="F738" s="8" t="s">
        <v>590</v>
      </c>
      <c r="G738" s="8" t="s">
        <v>591</v>
      </c>
      <c r="H738" s="8" t="s">
        <v>33</v>
      </c>
      <c r="I738" s="7">
        <v>1566000</v>
      </c>
    </row>
    <row r="739" spans="2:9" outlineLevel="2" x14ac:dyDescent="0.2">
      <c r="B739" s="8"/>
      <c r="C739" s="8"/>
      <c r="D739" s="8"/>
      <c r="E739" s="8"/>
      <c r="F739" s="8"/>
      <c r="G739" s="8"/>
      <c r="H739" s="8"/>
      <c r="I739" s="7"/>
    </row>
    <row r="740" spans="2:9" ht="25" outlineLevel="2" x14ac:dyDescent="0.2">
      <c r="B740" s="8" t="s">
        <v>9</v>
      </c>
      <c r="C740" s="8" t="s">
        <v>8</v>
      </c>
      <c r="D740" s="8" t="s">
        <v>7</v>
      </c>
      <c r="E740" s="8" t="s">
        <v>6</v>
      </c>
      <c r="F740" s="8" t="s">
        <v>590</v>
      </c>
      <c r="G740" s="8" t="s">
        <v>589</v>
      </c>
      <c r="H740" s="8" t="s">
        <v>11</v>
      </c>
      <c r="I740" s="7">
        <v>-22000</v>
      </c>
    </row>
    <row r="741" spans="2:9" ht="25" outlineLevel="2" x14ac:dyDescent="0.2">
      <c r="B741" s="8" t="s">
        <v>9</v>
      </c>
      <c r="C741" s="8" t="s">
        <v>8</v>
      </c>
      <c r="D741" s="8" t="s">
        <v>7</v>
      </c>
      <c r="E741" s="8" t="s">
        <v>6</v>
      </c>
      <c r="F741" s="8" t="s">
        <v>590</v>
      </c>
      <c r="G741" s="8" t="s">
        <v>589</v>
      </c>
      <c r="H741" s="8" t="s">
        <v>221</v>
      </c>
      <c r="I741" s="7">
        <v>22000</v>
      </c>
    </row>
    <row r="742" spans="2:9" outlineLevel="2" x14ac:dyDescent="0.2">
      <c r="B742" s="8"/>
      <c r="C742" s="8"/>
      <c r="D742" s="8"/>
      <c r="E742" s="8"/>
      <c r="F742" s="8"/>
      <c r="G742" s="8"/>
      <c r="H742" s="8"/>
      <c r="I742" s="7"/>
    </row>
    <row r="743" spans="2:9" ht="25" outlineLevel="2" x14ac:dyDescent="0.2">
      <c r="B743" s="8" t="s">
        <v>9</v>
      </c>
      <c r="C743" s="8" t="s">
        <v>8</v>
      </c>
      <c r="D743" s="8" t="s">
        <v>7</v>
      </c>
      <c r="E743" s="8" t="s">
        <v>6</v>
      </c>
      <c r="F743" s="8" t="s">
        <v>523</v>
      </c>
      <c r="G743" s="8" t="s">
        <v>588</v>
      </c>
      <c r="H743" s="8" t="s">
        <v>11</v>
      </c>
      <c r="I743" s="7">
        <v>-1750000</v>
      </c>
    </row>
    <row r="744" spans="2:9" ht="25" outlineLevel="2" x14ac:dyDescent="0.2">
      <c r="B744" s="8" t="s">
        <v>9</v>
      </c>
      <c r="C744" s="8" t="s">
        <v>8</v>
      </c>
      <c r="D744" s="8" t="s">
        <v>7</v>
      </c>
      <c r="E744" s="8" t="s">
        <v>6</v>
      </c>
      <c r="F744" s="8" t="s">
        <v>523</v>
      </c>
      <c r="G744" s="8" t="s">
        <v>588</v>
      </c>
      <c r="H744" s="8" t="s">
        <v>61</v>
      </c>
      <c r="I744" s="7">
        <v>1750000</v>
      </c>
    </row>
    <row r="745" spans="2:9" outlineLevel="2" x14ac:dyDescent="0.2">
      <c r="B745" s="8"/>
      <c r="C745" s="8"/>
      <c r="D745" s="8"/>
      <c r="E745" s="8"/>
      <c r="F745" s="8"/>
      <c r="G745" s="8"/>
      <c r="H745" s="8"/>
      <c r="I745" s="7"/>
    </row>
    <row r="746" spans="2:9" ht="25" outlineLevel="2" x14ac:dyDescent="0.2">
      <c r="B746" s="8" t="s">
        <v>9</v>
      </c>
      <c r="C746" s="8" t="s">
        <v>8</v>
      </c>
      <c r="D746" s="8" t="s">
        <v>7</v>
      </c>
      <c r="E746" s="8" t="s">
        <v>6</v>
      </c>
      <c r="F746" s="8" t="s">
        <v>523</v>
      </c>
      <c r="G746" s="8" t="s">
        <v>587</v>
      </c>
      <c r="H746" s="8" t="s">
        <v>11</v>
      </c>
      <c r="I746" s="7">
        <v>-22000</v>
      </c>
    </row>
    <row r="747" spans="2:9" ht="25" outlineLevel="2" x14ac:dyDescent="0.2">
      <c r="B747" s="8" t="s">
        <v>9</v>
      </c>
      <c r="C747" s="8" t="s">
        <v>8</v>
      </c>
      <c r="D747" s="8" t="s">
        <v>7</v>
      </c>
      <c r="E747" s="8" t="s">
        <v>6</v>
      </c>
      <c r="F747" s="8" t="s">
        <v>523</v>
      </c>
      <c r="G747" s="8" t="s">
        <v>587</v>
      </c>
      <c r="H747" s="8" t="s">
        <v>221</v>
      </c>
      <c r="I747" s="7">
        <v>22000</v>
      </c>
    </row>
    <row r="748" spans="2:9" outlineLevel="2" x14ac:dyDescent="0.2">
      <c r="B748" s="8"/>
      <c r="C748" s="8"/>
      <c r="D748" s="8"/>
      <c r="E748" s="8"/>
      <c r="F748" s="8"/>
      <c r="G748" s="8"/>
      <c r="H748" s="8"/>
      <c r="I748" s="7"/>
    </row>
    <row r="749" spans="2:9" ht="25" outlineLevel="2" x14ac:dyDescent="0.2">
      <c r="B749" s="8" t="s">
        <v>9</v>
      </c>
      <c r="C749" s="8" t="s">
        <v>8</v>
      </c>
      <c r="D749" s="8" t="s">
        <v>7</v>
      </c>
      <c r="E749" s="8" t="s">
        <v>6</v>
      </c>
      <c r="F749" s="8" t="s">
        <v>584</v>
      </c>
      <c r="G749" s="8" t="s">
        <v>586</v>
      </c>
      <c r="H749" s="8" t="s">
        <v>11</v>
      </c>
      <c r="I749" s="7">
        <v>-2260000</v>
      </c>
    </row>
    <row r="750" spans="2:9" ht="25" outlineLevel="2" x14ac:dyDescent="0.2">
      <c r="B750" s="8" t="s">
        <v>9</v>
      </c>
      <c r="C750" s="8" t="s">
        <v>8</v>
      </c>
      <c r="D750" s="8" t="s">
        <v>7</v>
      </c>
      <c r="E750" s="8" t="s">
        <v>6</v>
      </c>
      <c r="F750" s="8" t="s">
        <v>584</v>
      </c>
      <c r="G750" s="8" t="s">
        <v>586</v>
      </c>
      <c r="H750" s="8" t="s">
        <v>33</v>
      </c>
      <c r="I750" s="7">
        <v>2460000</v>
      </c>
    </row>
    <row r="751" spans="2:9" ht="25" outlineLevel="2" x14ac:dyDescent="0.2">
      <c r="B751" s="8" t="s">
        <v>9</v>
      </c>
      <c r="C751" s="8" t="s">
        <v>8</v>
      </c>
      <c r="D751" s="8" t="s">
        <v>7</v>
      </c>
      <c r="E751" s="8" t="s">
        <v>6</v>
      </c>
      <c r="F751" s="8" t="s">
        <v>584</v>
      </c>
      <c r="G751" s="8" t="s">
        <v>585</v>
      </c>
      <c r="H751" s="8" t="s">
        <v>26</v>
      </c>
      <c r="I751" s="7">
        <v>200000</v>
      </c>
    </row>
    <row r="752" spans="2:9" outlineLevel="2" x14ac:dyDescent="0.2">
      <c r="B752" s="8"/>
      <c r="C752" s="8"/>
      <c r="D752" s="8"/>
      <c r="E752" s="8"/>
      <c r="F752" s="8"/>
      <c r="G752" s="8"/>
      <c r="H752" s="8"/>
      <c r="I752" s="7"/>
    </row>
    <row r="753" spans="2:9" ht="25" outlineLevel="2" x14ac:dyDescent="0.2">
      <c r="B753" s="8" t="s">
        <v>9</v>
      </c>
      <c r="C753" s="8" t="s">
        <v>8</v>
      </c>
      <c r="D753" s="8" t="s">
        <v>7</v>
      </c>
      <c r="E753" s="8" t="s">
        <v>6</v>
      </c>
      <c r="F753" s="8" t="s">
        <v>584</v>
      </c>
      <c r="G753" s="8" t="s">
        <v>583</v>
      </c>
      <c r="H753" s="8" t="s">
        <v>11</v>
      </c>
      <c r="I753" s="7">
        <v>-22000</v>
      </c>
    </row>
    <row r="754" spans="2:9" ht="25" outlineLevel="2" x14ac:dyDescent="0.2">
      <c r="B754" s="8" t="s">
        <v>9</v>
      </c>
      <c r="C754" s="8" t="s">
        <v>8</v>
      </c>
      <c r="D754" s="8" t="s">
        <v>7</v>
      </c>
      <c r="E754" s="8" t="s">
        <v>6</v>
      </c>
      <c r="F754" s="8" t="s">
        <v>584</v>
      </c>
      <c r="G754" s="8" t="s">
        <v>583</v>
      </c>
      <c r="H754" s="8" t="s">
        <v>221</v>
      </c>
      <c r="I754" s="7">
        <v>22000</v>
      </c>
    </row>
    <row r="755" spans="2:9" outlineLevel="2" x14ac:dyDescent="0.2">
      <c r="B755" s="8"/>
      <c r="C755" s="8"/>
      <c r="D755" s="8"/>
      <c r="E755" s="8"/>
      <c r="F755" s="8"/>
      <c r="G755" s="8"/>
      <c r="H755" s="8"/>
      <c r="I755" s="7"/>
    </row>
    <row r="756" spans="2:9" ht="25" outlineLevel="2" x14ac:dyDescent="0.2">
      <c r="B756" s="8" t="s">
        <v>9</v>
      </c>
      <c r="C756" s="8" t="s">
        <v>8</v>
      </c>
      <c r="D756" s="8" t="s">
        <v>7</v>
      </c>
      <c r="E756" s="8" t="s">
        <v>6</v>
      </c>
      <c r="F756" s="8" t="s">
        <v>580</v>
      </c>
      <c r="G756" s="8" t="s">
        <v>582</v>
      </c>
      <c r="H756" s="8" t="s">
        <v>11</v>
      </c>
      <c r="I756" s="7">
        <v>-2260000</v>
      </c>
    </row>
    <row r="757" spans="2:9" ht="25" outlineLevel="2" x14ac:dyDescent="0.2">
      <c r="B757" s="8" t="s">
        <v>9</v>
      </c>
      <c r="C757" s="8" t="s">
        <v>8</v>
      </c>
      <c r="D757" s="8" t="s">
        <v>7</v>
      </c>
      <c r="E757" s="8" t="s">
        <v>6</v>
      </c>
      <c r="F757" s="8" t="s">
        <v>580</v>
      </c>
      <c r="G757" s="8" t="s">
        <v>582</v>
      </c>
      <c r="H757" s="8" t="s">
        <v>33</v>
      </c>
      <c r="I757" s="7">
        <v>2460000</v>
      </c>
    </row>
    <row r="758" spans="2:9" ht="25" outlineLevel="2" x14ac:dyDescent="0.2">
      <c r="B758" s="8" t="s">
        <v>9</v>
      </c>
      <c r="C758" s="8" t="s">
        <v>8</v>
      </c>
      <c r="D758" s="8" t="s">
        <v>7</v>
      </c>
      <c r="E758" s="8" t="s">
        <v>6</v>
      </c>
      <c r="F758" s="8" t="s">
        <v>580</v>
      </c>
      <c r="G758" s="8" t="s">
        <v>581</v>
      </c>
      <c r="H758" s="8" t="s">
        <v>26</v>
      </c>
      <c r="I758" s="7">
        <v>200000</v>
      </c>
    </row>
    <row r="759" spans="2:9" outlineLevel="2" x14ac:dyDescent="0.2">
      <c r="B759" s="8"/>
      <c r="C759" s="8"/>
      <c r="D759" s="8"/>
      <c r="E759" s="8"/>
      <c r="F759" s="8"/>
      <c r="G759" s="8"/>
      <c r="H759" s="8"/>
      <c r="I759" s="7"/>
    </row>
    <row r="760" spans="2:9" ht="25" outlineLevel="2" x14ac:dyDescent="0.2">
      <c r="B760" s="8" t="s">
        <v>9</v>
      </c>
      <c r="C760" s="8" t="s">
        <v>8</v>
      </c>
      <c r="D760" s="8" t="s">
        <v>7</v>
      </c>
      <c r="E760" s="8" t="s">
        <v>6</v>
      </c>
      <c r="F760" s="8" t="s">
        <v>580</v>
      </c>
      <c r="G760" s="8" t="s">
        <v>579</v>
      </c>
      <c r="H760" s="8" t="s">
        <v>11</v>
      </c>
      <c r="I760" s="7">
        <v>-11000</v>
      </c>
    </row>
    <row r="761" spans="2:9" ht="25" outlineLevel="2" x14ac:dyDescent="0.2">
      <c r="B761" s="8" t="s">
        <v>9</v>
      </c>
      <c r="C761" s="8" t="s">
        <v>8</v>
      </c>
      <c r="D761" s="8" t="s">
        <v>7</v>
      </c>
      <c r="E761" s="8" t="s">
        <v>6</v>
      </c>
      <c r="F761" s="8" t="s">
        <v>580</v>
      </c>
      <c r="G761" s="8" t="s">
        <v>579</v>
      </c>
      <c r="H761" s="8" t="s">
        <v>221</v>
      </c>
      <c r="I761" s="7">
        <v>11000</v>
      </c>
    </row>
    <row r="762" spans="2:9" outlineLevel="2" x14ac:dyDescent="0.2">
      <c r="B762" s="8"/>
      <c r="C762" s="8"/>
      <c r="D762" s="8"/>
      <c r="E762" s="8"/>
      <c r="F762" s="8"/>
      <c r="G762" s="8"/>
      <c r="H762" s="8"/>
      <c r="I762" s="7"/>
    </row>
    <row r="763" spans="2:9" ht="25" outlineLevel="2" x14ac:dyDescent="0.2">
      <c r="B763" s="8" t="s">
        <v>9</v>
      </c>
      <c r="C763" s="8" t="s">
        <v>8</v>
      </c>
      <c r="D763" s="8" t="s">
        <v>7</v>
      </c>
      <c r="E763" s="8" t="s">
        <v>6</v>
      </c>
      <c r="F763" s="8" t="s">
        <v>571</v>
      </c>
      <c r="G763" s="8" t="s">
        <v>578</v>
      </c>
      <c r="H763" s="8" t="s">
        <v>11</v>
      </c>
      <c r="I763" s="7">
        <v>-1000000</v>
      </c>
    </row>
    <row r="764" spans="2:9" ht="25" outlineLevel="2" x14ac:dyDescent="0.2">
      <c r="B764" s="8" t="s">
        <v>9</v>
      </c>
      <c r="C764" s="8" t="s">
        <v>8</v>
      </c>
      <c r="D764" s="8" t="s">
        <v>7</v>
      </c>
      <c r="E764" s="8" t="s">
        <v>6</v>
      </c>
      <c r="F764" s="8" t="s">
        <v>571</v>
      </c>
      <c r="G764" s="8" t="s">
        <v>578</v>
      </c>
      <c r="H764" s="8" t="s">
        <v>33</v>
      </c>
      <c r="I764" s="7">
        <v>1000000</v>
      </c>
    </row>
    <row r="765" spans="2:9" ht="25" outlineLevel="2" x14ac:dyDescent="0.2">
      <c r="B765" s="8" t="s">
        <v>9</v>
      </c>
      <c r="C765" s="8" t="s">
        <v>8</v>
      </c>
      <c r="D765" s="8" t="s">
        <v>7</v>
      </c>
      <c r="E765" s="8" t="s">
        <v>6</v>
      </c>
      <c r="F765" s="8" t="s">
        <v>571</v>
      </c>
      <c r="G765" s="8" t="s">
        <v>577</v>
      </c>
      <c r="H765" s="8" t="s">
        <v>26</v>
      </c>
      <c r="I765" s="7">
        <v>0</v>
      </c>
    </row>
    <row r="766" spans="2:9" outlineLevel="2" x14ac:dyDescent="0.2">
      <c r="B766" s="8"/>
      <c r="C766" s="8"/>
      <c r="D766" s="8"/>
      <c r="E766" s="8"/>
      <c r="F766" s="8"/>
      <c r="G766" s="8"/>
      <c r="H766" s="8"/>
      <c r="I766" s="7"/>
    </row>
    <row r="767" spans="2:9" ht="25" outlineLevel="2" x14ac:dyDescent="0.2">
      <c r="B767" s="8" t="s">
        <v>9</v>
      </c>
      <c r="C767" s="8" t="s">
        <v>8</v>
      </c>
      <c r="D767" s="8" t="s">
        <v>7</v>
      </c>
      <c r="E767" s="8" t="s">
        <v>6</v>
      </c>
      <c r="F767" s="8" t="s">
        <v>571</v>
      </c>
      <c r="G767" s="8" t="s">
        <v>576</v>
      </c>
      <c r="H767" s="8" t="s">
        <v>11</v>
      </c>
      <c r="I767" s="7">
        <v>-22000</v>
      </c>
    </row>
    <row r="768" spans="2:9" ht="25" outlineLevel="2" x14ac:dyDescent="0.2">
      <c r="B768" s="8" t="s">
        <v>9</v>
      </c>
      <c r="C768" s="8" t="s">
        <v>8</v>
      </c>
      <c r="D768" s="8" t="s">
        <v>7</v>
      </c>
      <c r="E768" s="8" t="s">
        <v>6</v>
      </c>
      <c r="F768" s="8" t="s">
        <v>571</v>
      </c>
      <c r="G768" s="8" t="s">
        <v>576</v>
      </c>
      <c r="H768" s="8" t="s">
        <v>221</v>
      </c>
      <c r="I768" s="7">
        <v>22000</v>
      </c>
    </row>
    <row r="769" spans="2:9" outlineLevel="2" x14ac:dyDescent="0.2">
      <c r="B769" s="8"/>
      <c r="C769" s="8"/>
      <c r="D769" s="8"/>
      <c r="E769" s="8"/>
      <c r="F769" s="8"/>
      <c r="G769" s="8"/>
      <c r="H769" s="8"/>
      <c r="I769" s="7"/>
    </row>
    <row r="770" spans="2:9" ht="25" outlineLevel="2" x14ac:dyDescent="0.2">
      <c r="B770" s="8" t="s">
        <v>9</v>
      </c>
      <c r="C770" s="8" t="s">
        <v>8</v>
      </c>
      <c r="D770" s="8" t="s">
        <v>7</v>
      </c>
      <c r="E770" s="8" t="s">
        <v>6</v>
      </c>
      <c r="F770" s="8" t="s">
        <v>561</v>
      </c>
      <c r="G770" s="8" t="s">
        <v>575</v>
      </c>
      <c r="H770" s="8" t="s">
        <v>11</v>
      </c>
      <c r="I770" s="7">
        <v>-1840000</v>
      </c>
    </row>
    <row r="771" spans="2:9" ht="25" outlineLevel="2" x14ac:dyDescent="0.2">
      <c r="B771" s="8" t="s">
        <v>9</v>
      </c>
      <c r="C771" s="8" t="s">
        <v>8</v>
      </c>
      <c r="D771" s="8" t="s">
        <v>7</v>
      </c>
      <c r="E771" s="8" t="s">
        <v>6</v>
      </c>
      <c r="F771" s="8" t="s">
        <v>561</v>
      </c>
      <c r="G771" s="8" t="s">
        <v>575</v>
      </c>
      <c r="H771" s="8" t="s">
        <v>61</v>
      </c>
      <c r="I771" s="7">
        <v>1840000</v>
      </c>
    </row>
    <row r="772" spans="2:9" outlineLevel="2" x14ac:dyDescent="0.2">
      <c r="B772" s="8"/>
      <c r="C772" s="8"/>
      <c r="D772" s="8"/>
      <c r="E772" s="8"/>
      <c r="F772" s="8"/>
      <c r="G772" s="8"/>
      <c r="H772" s="8"/>
      <c r="I772" s="7"/>
    </row>
    <row r="773" spans="2:9" ht="25" outlineLevel="2" x14ac:dyDescent="0.2">
      <c r="B773" s="8" t="s">
        <v>9</v>
      </c>
      <c r="C773" s="8" t="s">
        <v>8</v>
      </c>
      <c r="D773" s="8" t="s">
        <v>7</v>
      </c>
      <c r="E773" s="8" t="s">
        <v>6</v>
      </c>
      <c r="F773" s="8" t="s">
        <v>561</v>
      </c>
      <c r="G773" s="8" t="s">
        <v>574</v>
      </c>
      <c r="H773" s="8" t="s">
        <v>11</v>
      </c>
      <c r="I773" s="7">
        <v>-22000</v>
      </c>
    </row>
    <row r="774" spans="2:9" ht="25" outlineLevel="2" x14ac:dyDescent="0.2">
      <c r="B774" s="8" t="s">
        <v>9</v>
      </c>
      <c r="C774" s="8" t="s">
        <v>8</v>
      </c>
      <c r="D774" s="8" t="s">
        <v>7</v>
      </c>
      <c r="E774" s="8" t="s">
        <v>6</v>
      </c>
      <c r="F774" s="8" t="s">
        <v>561</v>
      </c>
      <c r="G774" s="8" t="s">
        <v>574</v>
      </c>
      <c r="H774" s="8" t="s">
        <v>221</v>
      </c>
      <c r="I774" s="7">
        <v>22000</v>
      </c>
    </row>
    <row r="775" spans="2:9" outlineLevel="2" x14ac:dyDescent="0.2">
      <c r="B775" s="8"/>
      <c r="C775" s="8"/>
      <c r="D775" s="8"/>
      <c r="E775" s="8"/>
      <c r="F775" s="8"/>
      <c r="G775" s="8"/>
      <c r="H775" s="8"/>
      <c r="I775" s="7"/>
    </row>
    <row r="776" spans="2:9" ht="25" outlineLevel="2" x14ac:dyDescent="0.2">
      <c r="B776" s="8" t="s">
        <v>9</v>
      </c>
      <c r="C776" s="8" t="s">
        <v>8</v>
      </c>
      <c r="D776" s="8" t="s">
        <v>7</v>
      </c>
      <c r="E776" s="8" t="s">
        <v>6</v>
      </c>
      <c r="F776" s="8" t="s">
        <v>571</v>
      </c>
      <c r="G776" s="8" t="s">
        <v>573</v>
      </c>
      <c r="H776" s="8" t="s">
        <v>11</v>
      </c>
      <c r="I776" s="7">
        <v>-34650000</v>
      </c>
    </row>
    <row r="777" spans="2:9" ht="25" outlineLevel="2" x14ac:dyDescent="0.2">
      <c r="B777" s="8" t="s">
        <v>9</v>
      </c>
      <c r="C777" s="8" t="s">
        <v>8</v>
      </c>
      <c r="D777" s="8" t="s">
        <v>7</v>
      </c>
      <c r="E777" s="8" t="s">
        <v>6</v>
      </c>
      <c r="F777" s="8" t="s">
        <v>571</v>
      </c>
      <c r="G777" s="8" t="s">
        <v>573</v>
      </c>
      <c r="H777" s="8" t="s">
        <v>61</v>
      </c>
      <c r="I777" s="7">
        <v>38500000</v>
      </c>
    </row>
    <row r="778" spans="2:9" ht="25" outlineLevel="2" x14ac:dyDescent="0.2">
      <c r="B778" s="8" t="s">
        <v>9</v>
      </c>
      <c r="C778" s="8" t="s">
        <v>8</v>
      </c>
      <c r="D778" s="8" t="s">
        <v>7</v>
      </c>
      <c r="E778" s="8" t="s">
        <v>6</v>
      </c>
      <c r="F778" s="8" t="s">
        <v>571</v>
      </c>
      <c r="G778" s="8" t="s">
        <v>572</v>
      </c>
      <c r="H778" s="8" t="s">
        <v>26</v>
      </c>
      <c r="I778" s="7">
        <v>3850000</v>
      </c>
    </row>
    <row r="779" spans="2:9" outlineLevel="2" x14ac:dyDescent="0.2">
      <c r="B779" s="8"/>
      <c r="C779" s="8"/>
      <c r="D779" s="8"/>
      <c r="E779" s="8"/>
      <c r="F779" s="8"/>
      <c r="G779" s="8"/>
      <c r="H779" s="8"/>
      <c r="I779" s="7"/>
    </row>
    <row r="780" spans="2:9" ht="25" outlineLevel="2" x14ac:dyDescent="0.2">
      <c r="B780" s="8" t="s">
        <v>9</v>
      </c>
      <c r="C780" s="8" t="s">
        <v>8</v>
      </c>
      <c r="D780" s="8" t="s">
        <v>7</v>
      </c>
      <c r="E780" s="8" t="s">
        <v>6</v>
      </c>
      <c r="F780" s="8" t="s">
        <v>571</v>
      </c>
      <c r="G780" s="8" t="s">
        <v>570</v>
      </c>
      <c r="H780" s="8" t="s">
        <v>11</v>
      </c>
      <c r="I780" s="7">
        <v>-22000</v>
      </c>
    </row>
    <row r="781" spans="2:9" ht="25" outlineLevel="2" x14ac:dyDescent="0.2">
      <c r="B781" s="8" t="s">
        <v>9</v>
      </c>
      <c r="C781" s="8" t="s">
        <v>8</v>
      </c>
      <c r="D781" s="8" t="s">
        <v>7</v>
      </c>
      <c r="E781" s="8" t="s">
        <v>6</v>
      </c>
      <c r="F781" s="8" t="s">
        <v>571</v>
      </c>
      <c r="G781" s="8" t="s">
        <v>570</v>
      </c>
      <c r="H781" s="8" t="s">
        <v>221</v>
      </c>
      <c r="I781" s="7">
        <v>22000</v>
      </c>
    </row>
    <row r="782" spans="2:9" outlineLevel="2" x14ac:dyDescent="0.2">
      <c r="B782" s="8"/>
      <c r="C782" s="8"/>
      <c r="D782" s="8"/>
      <c r="E782" s="8"/>
      <c r="F782" s="8"/>
      <c r="G782" s="8"/>
      <c r="H782" s="8"/>
      <c r="I782" s="7"/>
    </row>
    <row r="783" spans="2:9" ht="25" outlineLevel="2" x14ac:dyDescent="0.2">
      <c r="B783" s="8" t="s">
        <v>9</v>
      </c>
      <c r="C783" s="8" t="s">
        <v>8</v>
      </c>
      <c r="D783" s="8" t="s">
        <v>7</v>
      </c>
      <c r="E783" s="8" t="s">
        <v>6</v>
      </c>
      <c r="F783" s="8" t="s">
        <v>561</v>
      </c>
      <c r="G783" s="8" t="s">
        <v>569</v>
      </c>
      <c r="H783" s="8" t="s">
        <v>11</v>
      </c>
      <c r="I783" s="7">
        <v>-14175000</v>
      </c>
    </row>
    <row r="784" spans="2:9" ht="25" outlineLevel="2" x14ac:dyDescent="0.2">
      <c r="B784" s="8" t="s">
        <v>9</v>
      </c>
      <c r="C784" s="8" t="s">
        <v>8</v>
      </c>
      <c r="D784" s="8" t="s">
        <v>7</v>
      </c>
      <c r="E784" s="8" t="s">
        <v>6</v>
      </c>
      <c r="F784" s="8" t="s">
        <v>561</v>
      </c>
      <c r="G784" s="8" t="s">
        <v>569</v>
      </c>
      <c r="H784" s="8" t="s">
        <v>61</v>
      </c>
      <c r="I784" s="7">
        <v>15750000</v>
      </c>
    </row>
    <row r="785" spans="2:9" ht="25" outlineLevel="2" x14ac:dyDescent="0.2">
      <c r="B785" s="8" t="s">
        <v>9</v>
      </c>
      <c r="C785" s="8" t="s">
        <v>8</v>
      </c>
      <c r="D785" s="8" t="s">
        <v>7</v>
      </c>
      <c r="E785" s="8" t="s">
        <v>6</v>
      </c>
      <c r="F785" s="8" t="s">
        <v>561</v>
      </c>
      <c r="G785" s="8" t="s">
        <v>568</v>
      </c>
      <c r="H785" s="8" t="s">
        <v>26</v>
      </c>
      <c r="I785" s="7">
        <v>1575000</v>
      </c>
    </row>
    <row r="786" spans="2:9" outlineLevel="2" x14ac:dyDescent="0.2">
      <c r="B786" s="8"/>
      <c r="C786" s="8"/>
      <c r="D786" s="8"/>
      <c r="E786" s="8"/>
      <c r="F786" s="8"/>
      <c r="G786" s="8"/>
      <c r="H786" s="8"/>
      <c r="I786" s="7"/>
    </row>
    <row r="787" spans="2:9" ht="25" outlineLevel="2" x14ac:dyDescent="0.2">
      <c r="B787" s="8" t="s">
        <v>9</v>
      </c>
      <c r="C787" s="8" t="s">
        <v>8</v>
      </c>
      <c r="D787" s="8" t="s">
        <v>7</v>
      </c>
      <c r="E787" s="8" t="s">
        <v>6</v>
      </c>
      <c r="F787" s="8" t="s">
        <v>561</v>
      </c>
      <c r="G787" s="8" t="s">
        <v>567</v>
      </c>
      <c r="H787" s="8" t="s">
        <v>11</v>
      </c>
      <c r="I787" s="7">
        <v>-22000</v>
      </c>
    </row>
    <row r="788" spans="2:9" ht="25" outlineLevel="2" x14ac:dyDescent="0.2">
      <c r="B788" s="8" t="s">
        <v>9</v>
      </c>
      <c r="C788" s="8" t="s">
        <v>8</v>
      </c>
      <c r="D788" s="8" t="s">
        <v>7</v>
      </c>
      <c r="E788" s="8" t="s">
        <v>6</v>
      </c>
      <c r="F788" s="8" t="s">
        <v>561</v>
      </c>
      <c r="G788" s="8" t="s">
        <v>567</v>
      </c>
      <c r="H788" s="8" t="s">
        <v>221</v>
      </c>
      <c r="I788" s="7">
        <v>22000</v>
      </c>
    </row>
    <row r="789" spans="2:9" outlineLevel="2" x14ac:dyDescent="0.2">
      <c r="B789" s="8"/>
      <c r="C789" s="8"/>
      <c r="D789" s="8"/>
      <c r="E789" s="8"/>
      <c r="F789" s="8"/>
      <c r="G789" s="8"/>
      <c r="H789" s="8"/>
      <c r="I789" s="7"/>
    </row>
    <row r="790" spans="2:9" ht="25" outlineLevel="2" x14ac:dyDescent="0.2">
      <c r="B790" s="8" t="s">
        <v>9</v>
      </c>
      <c r="C790" s="8" t="s">
        <v>8</v>
      </c>
      <c r="D790" s="8" t="s">
        <v>7</v>
      </c>
      <c r="E790" s="8" t="s">
        <v>6</v>
      </c>
      <c r="F790" s="8" t="s">
        <v>565</v>
      </c>
      <c r="G790" s="8" t="s">
        <v>566</v>
      </c>
      <c r="H790" s="8" t="s">
        <v>11</v>
      </c>
      <c r="I790" s="7">
        <v>-14550000</v>
      </c>
    </row>
    <row r="791" spans="2:9" ht="25" outlineLevel="2" x14ac:dyDescent="0.2">
      <c r="B791" s="8" t="s">
        <v>9</v>
      </c>
      <c r="C791" s="8" t="s">
        <v>8</v>
      </c>
      <c r="D791" s="8" t="s">
        <v>7</v>
      </c>
      <c r="E791" s="8" t="s">
        <v>6</v>
      </c>
      <c r="F791" s="8" t="s">
        <v>565</v>
      </c>
      <c r="G791" s="8" t="s">
        <v>566</v>
      </c>
      <c r="H791" s="8" t="s">
        <v>61</v>
      </c>
      <c r="I791" s="7">
        <v>14550000</v>
      </c>
    </row>
    <row r="792" spans="2:9" outlineLevel="2" x14ac:dyDescent="0.2">
      <c r="B792" s="8"/>
      <c r="C792" s="8"/>
      <c r="D792" s="8"/>
      <c r="E792" s="8"/>
      <c r="F792" s="8"/>
      <c r="G792" s="8"/>
      <c r="H792" s="8"/>
      <c r="I792" s="7"/>
    </row>
    <row r="793" spans="2:9" ht="25" outlineLevel="2" x14ac:dyDescent="0.2">
      <c r="B793" s="8" t="s">
        <v>9</v>
      </c>
      <c r="C793" s="8" t="s">
        <v>8</v>
      </c>
      <c r="D793" s="8" t="s">
        <v>7</v>
      </c>
      <c r="E793" s="8" t="s">
        <v>6</v>
      </c>
      <c r="F793" s="8" t="s">
        <v>565</v>
      </c>
      <c r="G793" s="8" t="s">
        <v>564</v>
      </c>
      <c r="H793" s="8" t="s">
        <v>11</v>
      </c>
      <c r="I793" s="7">
        <v>-22000</v>
      </c>
    </row>
    <row r="794" spans="2:9" ht="25" outlineLevel="2" x14ac:dyDescent="0.2">
      <c r="B794" s="8" t="s">
        <v>9</v>
      </c>
      <c r="C794" s="8" t="s">
        <v>8</v>
      </c>
      <c r="D794" s="8" t="s">
        <v>7</v>
      </c>
      <c r="E794" s="8" t="s">
        <v>6</v>
      </c>
      <c r="F794" s="8" t="s">
        <v>565</v>
      </c>
      <c r="G794" s="8" t="s">
        <v>564</v>
      </c>
      <c r="H794" s="8" t="s">
        <v>221</v>
      </c>
      <c r="I794" s="7">
        <v>22000</v>
      </c>
    </row>
    <row r="795" spans="2:9" outlineLevel="2" x14ac:dyDescent="0.2">
      <c r="B795" s="8"/>
      <c r="C795" s="8"/>
      <c r="D795" s="8"/>
      <c r="E795" s="8"/>
      <c r="F795" s="8"/>
      <c r="G795" s="8"/>
      <c r="H795" s="8"/>
      <c r="I795" s="7"/>
    </row>
    <row r="796" spans="2:9" ht="25" outlineLevel="2" x14ac:dyDescent="0.2">
      <c r="B796" s="8" t="s">
        <v>9</v>
      </c>
      <c r="C796" s="8" t="s">
        <v>8</v>
      </c>
      <c r="D796" s="8" t="s">
        <v>7</v>
      </c>
      <c r="E796" s="8" t="s">
        <v>6</v>
      </c>
      <c r="F796" s="8" t="s">
        <v>561</v>
      </c>
      <c r="G796" s="8" t="s">
        <v>563</v>
      </c>
      <c r="H796" s="8" t="s">
        <v>11</v>
      </c>
      <c r="I796" s="7">
        <v>-11025000</v>
      </c>
    </row>
    <row r="797" spans="2:9" ht="25" outlineLevel="2" x14ac:dyDescent="0.2">
      <c r="B797" s="8" t="s">
        <v>9</v>
      </c>
      <c r="C797" s="8" t="s">
        <v>8</v>
      </c>
      <c r="D797" s="8" t="s">
        <v>7</v>
      </c>
      <c r="E797" s="8" t="s">
        <v>6</v>
      </c>
      <c r="F797" s="8" t="s">
        <v>561</v>
      </c>
      <c r="G797" s="8" t="s">
        <v>563</v>
      </c>
      <c r="H797" s="8" t="s">
        <v>61</v>
      </c>
      <c r="I797" s="7">
        <v>12250000</v>
      </c>
    </row>
    <row r="798" spans="2:9" ht="25" outlineLevel="2" x14ac:dyDescent="0.2">
      <c r="B798" s="8" t="s">
        <v>9</v>
      </c>
      <c r="C798" s="8" t="s">
        <v>8</v>
      </c>
      <c r="D798" s="8" t="s">
        <v>7</v>
      </c>
      <c r="E798" s="8" t="s">
        <v>6</v>
      </c>
      <c r="F798" s="8" t="s">
        <v>561</v>
      </c>
      <c r="G798" s="8" t="s">
        <v>562</v>
      </c>
      <c r="H798" s="8" t="s">
        <v>26</v>
      </c>
      <c r="I798" s="7">
        <v>1225000</v>
      </c>
    </row>
    <row r="799" spans="2:9" outlineLevel="2" x14ac:dyDescent="0.2">
      <c r="B799" s="8"/>
      <c r="C799" s="8"/>
      <c r="D799" s="8"/>
      <c r="E799" s="8"/>
      <c r="F799" s="8"/>
      <c r="G799" s="8"/>
      <c r="H799" s="8"/>
      <c r="I799" s="7"/>
    </row>
    <row r="800" spans="2:9" ht="25" outlineLevel="2" x14ac:dyDescent="0.2">
      <c r="B800" s="8" t="s">
        <v>9</v>
      </c>
      <c r="C800" s="8" t="s">
        <v>8</v>
      </c>
      <c r="D800" s="8" t="s">
        <v>7</v>
      </c>
      <c r="E800" s="8" t="s">
        <v>6</v>
      </c>
      <c r="F800" s="8" t="s">
        <v>561</v>
      </c>
      <c r="G800" s="8" t="s">
        <v>560</v>
      </c>
      <c r="H800" s="8" t="s">
        <v>11</v>
      </c>
      <c r="I800" s="7">
        <v>-22000</v>
      </c>
    </row>
    <row r="801" spans="2:9" ht="25" outlineLevel="2" x14ac:dyDescent="0.2">
      <c r="B801" s="8" t="s">
        <v>9</v>
      </c>
      <c r="C801" s="8" t="s">
        <v>8</v>
      </c>
      <c r="D801" s="8" t="s">
        <v>7</v>
      </c>
      <c r="E801" s="8" t="s">
        <v>6</v>
      </c>
      <c r="F801" s="8" t="s">
        <v>561</v>
      </c>
      <c r="G801" s="8" t="s">
        <v>560</v>
      </c>
      <c r="H801" s="8" t="s">
        <v>221</v>
      </c>
      <c r="I801" s="7">
        <v>22000</v>
      </c>
    </row>
    <row r="802" spans="2:9" outlineLevel="2" x14ac:dyDescent="0.2">
      <c r="B802" s="8"/>
      <c r="C802" s="8"/>
      <c r="D802" s="8"/>
      <c r="E802" s="8"/>
      <c r="F802" s="8"/>
      <c r="G802" s="8"/>
      <c r="H802" s="8"/>
      <c r="I802" s="7"/>
    </row>
    <row r="803" spans="2:9" ht="37" outlineLevel="2" x14ac:dyDescent="0.2">
      <c r="B803" s="8" t="s">
        <v>9</v>
      </c>
      <c r="C803" s="8" t="s">
        <v>8</v>
      </c>
      <c r="D803" s="8" t="s">
        <v>7</v>
      </c>
      <c r="E803" s="8" t="s">
        <v>6</v>
      </c>
      <c r="F803" s="8" t="s">
        <v>556</v>
      </c>
      <c r="G803" s="8" t="s">
        <v>559</v>
      </c>
      <c r="H803" s="8" t="s">
        <v>11</v>
      </c>
      <c r="I803" s="7">
        <v>-6998400</v>
      </c>
    </row>
    <row r="804" spans="2:9" outlineLevel="2" x14ac:dyDescent="0.2">
      <c r="B804" s="8" t="s">
        <v>9</v>
      </c>
      <c r="C804" s="8" t="s">
        <v>8</v>
      </c>
      <c r="D804" s="8" t="s">
        <v>7</v>
      </c>
      <c r="E804" s="8" t="s">
        <v>6</v>
      </c>
      <c r="F804" s="8" t="s">
        <v>556</v>
      </c>
      <c r="G804" s="8" t="s">
        <v>558</v>
      </c>
      <c r="H804" s="8" t="s">
        <v>29</v>
      </c>
      <c r="I804" s="7">
        <v>3499200</v>
      </c>
    </row>
    <row r="805" spans="2:9" ht="25" outlineLevel="2" x14ac:dyDescent="0.2">
      <c r="B805" s="8" t="s">
        <v>9</v>
      </c>
      <c r="C805" s="8" t="s">
        <v>8</v>
      </c>
      <c r="D805" s="8" t="s">
        <v>7</v>
      </c>
      <c r="E805" s="8" t="s">
        <v>6</v>
      </c>
      <c r="F805" s="8" t="s">
        <v>556</v>
      </c>
      <c r="G805" s="8" t="s">
        <v>557</v>
      </c>
      <c r="H805" s="8" t="s">
        <v>58</v>
      </c>
      <c r="I805" s="7">
        <v>3499200</v>
      </c>
    </row>
    <row r="806" spans="2:9" outlineLevel="2" x14ac:dyDescent="0.2">
      <c r="B806" s="8"/>
      <c r="C806" s="8"/>
      <c r="D806" s="8"/>
      <c r="E806" s="8"/>
      <c r="F806" s="8"/>
      <c r="G806" s="8"/>
      <c r="H806" s="8"/>
      <c r="I806" s="7"/>
    </row>
    <row r="807" spans="2:9" outlineLevel="2" x14ac:dyDescent="0.2">
      <c r="B807" s="8" t="s">
        <v>9</v>
      </c>
      <c r="C807" s="8" t="s">
        <v>8</v>
      </c>
      <c r="D807" s="8" t="s">
        <v>7</v>
      </c>
      <c r="E807" s="8" t="s">
        <v>6</v>
      </c>
      <c r="F807" s="8" t="s">
        <v>556</v>
      </c>
      <c r="G807" s="8" t="s">
        <v>555</v>
      </c>
      <c r="H807" s="8" t="s">
        <v>11</v>
      </c>
      <c r="I807" s="7">
        <v>-11000</v>
      </c>
    </row>
    <row r="808" spans="2:9" outlineLevel="2" x14ac:dyDescent="0.2">
      <c r="B808" s="8" t="s">
        <v>9</v>
      </c>
      <c r="C808" s="8" t="s">
        <v>8</v>
      </c>
      <c r="D808" s="8" t="s">
        <v>7</v>
      </c>
      <c r="E808" s="8" t="s">
        <v>6</v>
      </c>
      <c r="F808" s="8" t="s">
        <v>556</v>
      </c>
      <c r="G808" s="8" t="s">
        <v>555</v>
      </c>
      <c r="H808" s="8" t="s">
        <v>221</v>
      </c>
      <c r="I808" s="7">
        <v>11000</v>
      </c>
    </row>
    <row r="809" spans="2:9" outlineLevel="2" x14ac:dyDescent="0.2">
      <c r="B809" s="8"/>
      <c r="C809" s="8"/>
      <c r="D809" s="8"/>
      <c r="E809" s="8"/>
      <c r="F809" s="8"/>
      <c r="G809" s="8"/>
      <c r="H809" s="8"/>
      <c r="I809" s="7"/>
    </row>
    <row r="810" spans="2:9" ht="25" outlineLevel="2" x14ac:dyDescent="0.2">
      <c r="B810" s="8" t="s">
        <v>9</v>
      </c>
      <c r="C810" s="8" t="s">
        <v>8</v>
      </c>
      <c r="D810" s="8" t="s">
        <v>7</v>
      </c>
      <c r="E810" s="8" t="s">
        <v>6</v>
      </c>
      <c r="F810" s="8" t="s">
        <v>531</v>
      </c>
      <c r="G810" s="8" t="s">
        <v>554</v>
      </c>
      <c r="H810" s="8" t="s">
        <v>11</v>
      </c>
      <c r="I810" s="7">
        <v>-12658000</v>
      </c>
    </row>
    <row r="811" spans="2:9" ht="25" outlineLevel="2" x14ac:dyDescent="0.2">
      <c r="B811" s="8" t="s">
        <v>9</v>
      </c>
      <c r="C811" s="8" t="s">
        <v>8</v>
      </c>
      <c r="D811" s="8" t="s">
        <v>7</v>
      </c>
      <c r="E811" s="8" t="s">
        <v>6</v>
      </c>
      <c r="F811" s="8" t="s">
        <v>531</v>
      </c>
      <c r="G811" s="8" t="s">
        <v>554</v>
      </c>
      <c r="H811" s="8" t="s">
        <v>33</v>
      </c>
      <c r="I811" s="7">
        <v>12658000</v>
      </c>
    </row>
    <row r="812" spans="2:9" outlineLevel="2" x14ac:dyDescent="0.2">
      <c r="B812" s="8"/>
      <c r="C812" s="8"/>
      <c r="D812" s="8"/>
      <c r="E812" s="8"/>
      <c r="F812" s="8"/>
      <c r="G812" s="8"/>
      <c r="H812" s="8"/>
      <c r="I812" s="7"/>
    </row>
    <row r="813" spans="2:9" ht="25" outlineLevel="2" x14ac:dyDescent="0.2">
      <c r="B813" s="8" t="s">
        <v>9</v>
      </c>
      <c r="C813" s="8" t="s">
        <v>8</v>
      </c>
      <c r="D813" s="8" t="s">
        <v>7</v>
      </c>
      <c r="E813" s="8" t="s">
        <v>6</v>
      </c>
      <c r="F813" s="8" t="s">
        <v>531</v>
      </c>
      <c r="G813" s="8" t="s">
        <v>553</v>
      </c>
      <c r="H813" s="8" t="s">
        <v>11</v>
      </c>
      <c r="I813" s="7">
        <v>-11000</v>
      </c>
    </row>
    <row r="814" spans="2:9" ht="25" outlineLevel="2" x14ac:dyDescent="0.2">
      <c r="B814" s="8" t="s">
        <v>9</v>
      </c>
      <c r="C814" s="8" t="s">
        <v>8</v>
      </c>
      <c r="D814" s="8" t="s">
        <v>7</v>
      </c>
      <c r="E814" s="8" t="s">
        <v>6</v>
      </c>
      <c r="F814" s="8" t="s">
        <v>531</v>
      </c>
      <c r="G814" s="8" t="s">
        <v>553</v>
      </c>
      <c r="H814" s="8" t="s">
        <v>221</v>
      </c>
      <c r="I814" s="7">
        <v>11000</v>
      </c>
    </row>
    <row r="815" spans="2:9" outlineLevel="2" x14ac:dyDescent="0.2">
      <c r="B815" s="8"/>
      <c r="C815" s="8"/>
      <c r="D815" s="8"/>
      <c r="E815" s="8"/>
      <c r="F815" s="8"/>
      <c r="G815" s="8"/>
      <c r="H815" s="8"/>
      <c r="I815" s="7"/>
    </row>
    <row r="816" spans="2:9" ht="25" outlineLevel="2" x14ac:dyDescent="0.2">
      <c r="B816" s="8" t="s">
        <v>9</v>
      </c>
      <c r="C816" s="8" t="s">
        <v>8</v>
      </c>
      <c r="D816" s="8" t="s">
        <v>7</v>
      </c>
      <c r="E816" s="8" t="s">
        <v>6</v>
      </c>
      <c r="F816" s="8" t="s">
        <v>399</v>
      </c>
      <c r="G816" s="8" t="s">
        <v>552</v>
      </c>
      <c r="H816" s="8" t="s">
        <v>11</v>
      </c>
      <c r="I816" s="7">
        <v>-8383499</v>
      </c>
    </row>
    <row r="817" spans="2:9" ht="25" outlineLevel="2" x14ac:dyDescent="0.2">
      <c r="B817" s="8" t="s">
        <v>9</v>
      </c>
      <c r="C817" s="8" t="s">
        <v>8</v>
      </c>
      <c r="D817" s="8" t="s">
        <v>7</v>
      </c>
      <c r="E817" s="8" t="s">
        <v>6</v>
      </c>
      <c r="F817" s="8" t="s">
        <v>399</v>
      </c>
      <c r="G817" s="8" t="s">
        <v>552</v>
      </c>
      <c r="H817" s="8" t="s">
        <v>33</v>
      </c>
      <c r="I817" s="7">
        <v>8383499</v>
      </c>
    </row>
    <row r="818" spans="2:9" outlineLevel="2" x14ac:dyDescent="0.2">
      <c r="B818" s="8"/>
      <c r="C818" s="8"/>
      <c r="D818" s="8"/>
      <c r="E818" s="8"/>
      <c r="F818" s="8"/>
      <c r="G818" s="8"/>
      <c r="H818" s="8"/>
      <c r="I818" s="7"/>
    </row>
    <row r="819" spans="2:9" ht="25" outlineLevel="2" x14ac:dyDescent="0.2">
      <c r="B819" s="8" t="s">
        <v>9</v>
      </c>
      <c r="C819" s="8" t="s">
        <v>8</v>
      </c>
      <c r="D819" s="8" t="s">
        <v>7</v>
      </c>
      <c r="E819" s="8" t="s">
        <v>6</v>
      </c>
      <c r="F819" s="8" t="s">
        <v>399</v>
      </c>
      <c r="G819" s="8" t="s">
        <v>551</v>
      </c>
      <c r="H819" s="8" t="s">
        <v>11</v>
      </c>
      <c r="I819" s="7">
        <v>-11000</v>
      </c>
    </row>
    <row r="820" spans="2:9" ht="25" outlineLevel="2" x14ac:dyDescent="0.2">
      <c r="B820" s="8" t="s">
        <v>9</v>
      </c>
      <c r="C820" s="8" t="s">
        <v>8</v>
      </c>
      <c r="D820" s="8" t="s">
        <v>7</v>
      </c>
      <c r="E820" s="8" t="s">
        <v>6</v>
      </c>
      <c r="F820" s="8" t="s">
        <v>399</v>
      </c>
      <c r="G820" s="8" t="s">
        <v>551</v>
      </c>
      <c r="H820" s="8" t="s">
        <v>221</v>
      </c>
      <c r="I820" s="7">
        <v>11000</v>
      </c>
    </row>
    <row r="821" spans="2:9" outlineLevel="2" x14ac:dyDescent="0.2">
      <c r="B821" s="8"/>
      <c r="C821" s="8"/>
      <c r="D821" s="8"/>
      <c r="E821" s="8"/>
      <c r="F821" s="8"/>
      <c r="G821" s="8"/>
      <c r="H821" s="8"/>
      <c r="I821" s="7"/>
    </row>
    <row r="822" spans="2:9" ht="25" outlineLevel="2" x14ac:dyDescent="0.2">
      <c r="B822" s="8" t="s">
        <v>9</v>
      </c>
      <c r="C822" s="8" t="s">
        <v>8</v>
      </c>
      <c r="D822" s="8" t="s">
        <v>7</v>
      </c>
      <c r="E822" s="8" t="s">
        <v>6</v>
      </c>
      <c r="F822" s="8" t="s">
        <v>548</v>
      </c>
      <c r="G822" s="8" t="s">
        <v>550</v>
      </c>
      <c r="H822" s="8" t="s">
        <v>11</v>
      </c>
      <c r="I822" s="7">
        <v>-10281068</v>
      </c>
    </row>
    <row r="823" spans="2:9" ht="25" outlineLevel="2" x14ac:dyDescent="0.2">
      <c r="B823" s="8" t="s">
        <v>9</v>
      </c>
      <c r="C823" s="8" t="s">
        <v>8</v>
      </c>
      <c r="D823" s="8" t="s">
        <v>7</v>
      </c>
      <c r="E823" s="8" t="s">
        <v>6</v>
      </c>
      <c r="F823" s="8" t="s">
        <v>548</v>
      </c>
      <c r="G823" s="8" t="s">
        <v>550</v>
      </c>
      <c r="H823" s="8" t="s">
        <v>33</v>
      </c>
      <c r="I823" s="7">
        <v>11423409</v>
      </c>
    </row>
    <row r="824" spans="2:9" ht="25" outlineLevel="2" x14ac:dyDescent="0.2">
      <c r="B824" s="8" t="s">
        <v>9</v>
      </c>
      <c r="C824" s="8" t="s">
        <v>8</v>
      </c>
      <c r="D824" s="8" t="s">
        <v>7</v>
      </c>
      <c r="E824" s="8" t="s">
        <v>6</v>
      </c>
      <c r="F824" s="8" t="s">
        <v>548</v>
      </c>
      <c r="G824" s="8" t="s">
        <v>549</v>
      </c>
      <c r="H824" s="8" t="s">
        <v>26</v>
      </c>
      <c r="I824" s="7">
        <v>1142341</v>
      </c>
    </row>
    <row r="825" spans="2:9" outlineLevel="2" x14ac:dyDescent="0.2">
      <c r="B825" s="8"/>
      <c r="C825" s="8"/>
      <c r="D825" s="8"/>
      <c r="E825" s="8"/>
      <c r="F825" s="8"/>
      <c r="G825" s="8"/>
      <c r="H825" s="8"/>
      <c r="I825" s="7"/>
    </row>
    <row r="826" spans="2:9" ht="25" outlineLevel="2" x14ac:dyDescent="0.2">
      <c r="B826" s="8" t="s">
        <v>9</v>
      </c>
      <c r="C826" s="8" t="s">
        <v>8</v>
      </c>
      <c r="D826" s="8" t="s">
        <v>7</v>
      </c>
      <c r="E826" s="8" t="s">
        <v>6</v>
      </c>
      <c r="F826" s="8" t="s">
        <v>548</v>
      </c>
      <c r="G826" s="8" t="s">
        <v>547</v>
      </c>
      <c r="H826" s="8" t="s">
        <v>11</v>
      </c>
      <c r="I826" s="7">
        <v>-11000</v>
      </c>
    </row>
    <row r="827" spans="2:9" ht="25" outlineLevel="2" x14ac:dyDescent="0.2">
      <c r="B827" s="8" t="s">
        <v>9</v>
      </c>
      <c r="C827" s="8" t="s">
        <v>8</v>
      </c>
      <c r="D827" s="8" t="s">
        <v>7</v>
      </c>
      <c r="E827" s="8" t="s">
        <v>6</v>
      </c>
      <c r="F827" s="8" t="s">
        <v>548</v>
      </c>
      <c r="G827" s="8" t="s">
        <v>547</v>
      </c>
      <c r="H827" s="8" t="s">
        <v>221</v>
      </c>
      <c r="I827" s="7">
        <v>11000</v>
      </c>
    </row>
    <row r="828" spans="2:9" outlineLevel="2" x14ac:dyDescent="0.2">
      <c r="B828" s="8"/>
      <c r="C828" s="8"/>
      <c r="D828" s="8"/>
      <c r="E828" s="8"/>
      <c r="F828" s="8"/>
      <c r="G828" s="8"/>
      <c r="H828" s="8"/>
      <c r="I828" s="7"/>
    </row>
    <row r="829" spans="2:9" ht="25" outlineLevel="2" x14ac:dyDescent="0.2">
      <c r="B829" s="8" t="s">
        <v>9</v>
      </c>
      <c r="C829" s="8" t="s">
        <v>8</v>
      </c>
      <c r="D829" s="8" t="s">
        <v>7</v>
      </c>
      <c r="E829" s="8" t="s">
        <v>6</v>
      </c>
      <c r="F829" s="8" t="s">
        <v>399</v>
      </c>
      <c r="G829" s="8" t="s">
        <v>546</v>
      </c>
      <c r="H829" s="8" t="s">
        <v>11</v>
      </c>
      <c r="I829" s="7">
        <v>-4431990</v>
      </c>
    </row>
    <row r="830" spans="2:9" ht="25" outlineLevel="2" x14ac:dyDescent="0.2">
      <c r="B830" s="8" t="s">
        <v>9</v>
      </c>
      <c r="C830" s="8" t="s">
        <v>8</v>
      </c>
      <c r="D830" s="8" t="s">
        <v>7</v>
      </c>
      <c r="E830" s="8" t="s">
        <v>6</v>
      </c>
      <c r="F830" s="8" t="s">
        <v>399</v>
      </c>
      <c r="G830" s="8" t="s">
        <v>546</v>
      </c>
      <c r="H830" s="8" t="s">
        <v>55</v>
      </c>
      <c r="I830" s="7">
        <v>-53960000</v>
      </c>
    </row>
    <row r="831" spans="2:9" ht="25" outlineLevel="2" x14ac:dyDescent="0.2">
      <c r="B831" s="8" t="s">
        <v>9</v>
      </c>
      <c r="C831" s="8" t="s">
        <v>8</v>
      </c>
      <c r="D831" s="8" t="s">
        <v>7</v>
      </c>
      <c r="E831" s="8" t="s">
        <v>6</v>
      </c>
      <c r="F831" s="8" t="s">
        <v>399</v>
      </c>
      <c r="G831" s="8" t="s">
        <v>545</v>
      </c>
      <c r="H831" s="8" t="s">
        <v>33</v>
      </c>
      <c r="I831" s="7">
        <v>3116000</v>
      </c>
    </row>
    <row r="832" spans="2:9" ht="25" outlineLevel="2" x14ac:dyDescent="0.2">
      <c r="B832" s="8" t="s">
        <v>9</v>
      </c>
      <c r="C832" s="8" t="s">
        <v>8</v>
      </c>
      <c r="D832" s="8" t="s">
        <v>7</v>
      </c>
      <c r="E832" s="8" t="s">
        <v>6</v>
      </c>
      <c r="F832" s="8" t="s">
        <v>399</v>
      </c>
      <c r="G832" s="8" t="s">
        <v>544</v>
      </c>
      <c r="H832" s="8" t="s">
        <v>33</v>
      </c>
      <c r="I832" s="7">
        <v>18030000</v>
      </c>
    </row>
    <row r="833" spans="2:9" ht="25" outlineLevel="2" x14ac:dyDescent="0.2">
      <c r="B833" s="8" t="s">
        <v>9</v>
      </c>
      <c r="C833" s="8" t="s">
        <v>8</v>
      </c>
      <c r="D833" s="8" t="s">
        <v>7</v>
      </c>
      <c r="E833" s="8" t="s">
        <v>6</v>
      </c>
      <c r="F833" s="8" t="s">
        <v>399</v>
      </c>
      <c r="G833" s="8" t="s">
        <v>543</v>
      </c>
      <c r="H833" s="8" t="s">
        <v>33</v>
      </c>
      <c r="I833" s="7">
        <v>28970284</v>
      </c>
    </row>
    <row r="834" spans="2:9" ht="25" outlineLevel="2" x14ac:dyDescent="0.2">
      <c r="B834" s="8" t="s">
        <v>9</v>
      </c>
      <c r="C834" s="8" t="s">
        <v>8</v>
      </c>
      <c r="D834" s="8" t="s">
        <v>7</v>
      </c>
      <c r="E834" s="8" t="s">
        <v>6</v>
      </c>
      <c r="F834" s="8" t="s">
        <v>399</v>
      </c>
      <c r="G834" s="8" t="s">
        <v>542</v>
      </c>
      <c r="H834" s="8" t="s">
        <v>33</v>
      </c>
      <c r="I834" s="7">
        <v>8275706</v>
      </c>
    </row>
    <row r="835" spans="2:9" outlineLevel="2" x14ac:dyDescent="0.2">
      <c r="B835" s="8"/>
      <c r="C835" s="8"/>
      <c r="D835" s="8"/>
      <c r="E835" s="8"/>
      <c r="F835" s="8"/>
      <c r="G835" s="8"/>
      <c r="H835" s="8"/>
      <c r="I835" s="7"/>
    </row>
    <row r="836" spans="2:9" ht="25" outlineLevel="2" x14ac:dyDescent="0.2">
      <c r="B836" s="8" t="s">
        <v>9</v>
      </c>
      <c r="C836" s="8" t="s">
        <v>8</v>
      </c>
      <c r="D836" s="8" t="s">
        <v>7</v>
      </c>
      <c r="E836" s="8" t="s">
        <v>6</v>
      </c>
      <c r="F836" s="8" t="s">
        <v>399</v>
      </c>
      <c r="G836" s="8" t="s">
        <v>541</v>
      </c>
      <c r="H836" s="8" t="s">
        <v>11</v>
      </c>
      <c r="I836" s="7">
        <v>-11000</v>
      </c>
    </row>
    <row r="837" spans="2:9" ht="25" outlineLevel="2" x14ac:dyDescent="0.2">
      <c r="B837" s="8" t="s">
        <v>9</v>
      </c>
      <c r="C837" s="8" t="s">
        <v>8</v>
      </c>
      <c r="D837" s="8" t="s">
        <v>7</v>
      </c>
      <c r="E837" s="8" t="s">
        <v>6</v>
      </c>
      <c r="F837" s="8" t="s">
        <v>399</v>
      </c>
      <c r="G837" s="8" t="s">
        <v>541</v>
      </c>
      <c r="H837" s="8" t="s">
        <v>221</v>
      </c>
      <c r="I837" s="7">
        <v>11000</v>
      </c>
    </row>
    <row r="838" spans="2:9" outlineLevel="2" x14ac:dyDescent="0.2">
      <c r="B838" s="8"/>
      <c r="C838" s="8"/>
      <c r="D838" s="8"/>
      <c r="E838" s="8"/>
      <c r="F838" s="8"/>
      <c r="G838" s="8"/>
      <c r="H838" s="8"/>
      <c r="I838" s="7"/>
    </row>
    <row r="839" spans="2:9" ht="49" outlineLevel="2" x14ac:dyDescent="0.2">
      <c r="B839" s="8" t="s">
        <v>9</v>
      </c>
      <c r="C839" s="8" t="s">
        <v>8</v>
      </c>
      <c r="D839" s="8" t="s">
        <v>7</v>
      </c>
      <c r="E839" s="8" t="s">
        <v>6</v>
      </c>
      <c r="F839" s="8" t="s">
        <v>204</v>
      </c>
      <c r="G839" s="8" t="s">
        <v>540</v>
      </c>
      <c r="H839" s="8" t="s">
        <v>11</v>
      </c>
      <c r="I839" s="7">
        <v>-20911800</v>
      </c>
    </row>
    <row r="840" spans="2:9" ht="25" outlineLevel="2" x14ac:dyDescent="0.2">
      <c r="B840" s="8" t="s">
        <v>9</v>
      </c>
      <c r="C840" s="8" t="s">
        <v>8</v>
      </c>
      <c r="D840" s="8" t="s">
        <v>7</v>
      </c>
      <c r="E840" s="8" t="s">
        <v>6</v>
      </c>
      <c r="F840" s="8" t="s">
        <v>204</v>
      </c>
      <c r="G840" s="8" t="s">
        <v>539</v>
      </c>
      <c r="H840" s="8" t="s">
        <v>61</v>
      </c>
      <c r="I840" s="7">
        <v>5152800</v>
      </c>
    </row>
    <row r="841" spans="2:9" ht="25" outlineLevel="2" x14ac:dyDescent="0.2">
      <c r="B841" s="8" t="s">
        <v>9</v>
      </c>
      <c r="C841" s="8" t="s">
        <v>8</v>
      </c>
      <c r="D841" s="8" t="s">
        <v>7</v>
      </c>
      <c r="E841" s="8" t="s">
        <v>6</v>
      </c>
      <c r="F841" s="8" t="s">
        <v>204</v>
      </c>
      <c r="G841" s="8" t="s">
        <v>538</v>
      </c>
      <c r="H841" s="8" t="s">
        <v>61</v>
      </c>
      <c r="I841" s="7">
        <v>17710000</v>
      </c>
    </row>
    <row r="842" spans="2:9" ht="25" outlineLevel="2" x14ac:dyDescent="0.2">
      <c r="B842" s="8" t="s">
        <v>9</v>
      </c>
      <c r="C842" s="8" t="s">
        <v>8</v>
      </c>
      <c r="D842" s="8" t="s">
        <v>7</v>
      </c>
      <c r="E842" s="8" t="s">
        <v>6</v>
      </c>
      <c r="F842" s="8" t="s">
        <v>204</v>
      </c>
      <c r="G842" s="8" t="s">
        <v>537</v>
      </c>
      <c r="H842" s="8" t="s">
        <v>26</v>
      </c>
      <c r="I842" s="7">
        <v>1338000</v>
      </c>
    </row>
    <row r="843" spans="2:9" ht="25" outlineLevel="2" x14ac:dyDescent="0.2">
      <c r="B843" s="8" t="s">
        <v>9</v>
      </c>
      <c r="C843" s="8" t="s">
        <v>8</v>
      </c>
      <c r="D843" s="8" t="s">
        <v>7</v>
      </c>
      <c r="E843" s="8" t="s">
        <v>6</v>
      </c>
      <c r="F843" s="8" t="s">
        <v>204</v>
      </c>
      <c r="G843" s="8" t="s">
        <v>536</v>
      </c>
      <c r="H843" s="8" t="s">
        <v>26</v>
      </c>
      <c r="I843" s="7">
        <v>613000</v>
      </c>
    </row>
    <row r="844" spans="2:9" outlineLevel="2" x14ac:dyDescent="0.2">
      <c r="B844" s="8"/>
      <c r="C844" s="8"/>
      <c r="D844" s="8"/>
      <c r="E844" s="8"/>
      <c r="F844" s="8"/>
      <c r="G844" s="8"/>
      <c r="H844" s="8"/>
      <c r="I844" s="7"/>
    </row>
    <row r="845" spans="2:9" ht="25" outlineLevel="2" x14ac:dyDescent="0.2">
      <c r="B845" s="8" t="s">
        <v>9</v>
      </c>
      <c r="C845" s="8" t="s">
        <v>8</v>
      </c>
      <c r="D845" s="8" t="s">
        <v>7</v>
      </c>
      <c r="E845" s="8" t="s">
        <v>6</v>
      </c>
      <c r="F845" s="8" t="s">
        <v>204</v>
      </c>
      <c r="G845" s="8" t="s">
        <v>535</v>
      </c>
      <c r="H845" s="8" t="s">
        <v>11</v>
      </c>
      <c r="I845" s="7">
        <v>-22000</v>
      </c>
    </row>
    <row r="846" spans="2:9" ht="25" outlineLevel="2" x14ac:dyDescent="0.2">
      <c r="B846" s="8" t="s">
        <v>9</v>
      </c>
      <c r="C846" s="8" t="s">
        <v>8</v>
      </c>
      <c r="D846" s="8" t="s">
        <v>7</v>
      </c>
      <c r="E846" s="8" t="s">
        <v>6</v>
      </c>
      <c r="F846" s="8" t="s">
        <v>204</v>
      </c>
      <c r="G846" s="8" t="s">
        <v>535</v>
      </c>
      <c r="H846" s="8" t="s">
        <v>221</v>
      </c>
      <c r="I846" s="7">
        <v>22000</v>
      </c>
    </row>
    <row r="847" spans="2:9" outlineLevel="2" x14ac:dyDescent="0.2">
      <c r="B847" s="8"/>
      <c r="C847" s="8"/>
      <c r="D847" s="8"/>
      <c r="E847" s="8"/>
      <c r="F847" s="8"/>
      <c r="G847" s="8"/>
      <c r="H847" s="8"/>
      <c r="I847" s="7"/>
    </row>
    <row r="848" spans="2:9" ht="25" outlineLevel="2" x14ac:dyDescent="0.2">
      <c r="B848" s="8" t="s">
        <v>9</v>
      </c>
      <c r="C848" s="8" t="s">
        <v>8</v>
      </c>
      <c r="D848" s="8" t="s">
        <v>7</v>
      </c>
      <c r="E848" s="8" t="s">
        <v>6</v>
      </c>
      <c r="F848" s="8" t="s">
        <v>399</v>
      </c>
      <c r="G848" s="8" t="s">
        <v>534</v>
      </c>
      <c r="H848" s="8" t="s">
        <v>11</v>
      </c>
      <c r="I848" s="7">
        <v>-6113300</v>
      </c>
    </row>
    <row r="849" spans="2:9" ht="25" outlineLevel="2" x14ac:dyDescent="0.2">
      <c r="B849" s="8" t="s">
        <v>9</v>
      </c>
      <c r="C849" s="8" t="s">
        <v>8</v>
      </c>
      <c r="D849" s="8" t="s">
        <v>7</v>
      </c>
      <c r="E849" s="8" t="s">
        <v>6</v>
      </c>
      <c r="F849" s="8" t="s">
        <v>399</v>
      </c>
      <c r="G849" s="8" t="s">
        <v>534</v>
      </c>
      <c r="H849" s="8" t="s">
        <v>33</v>
      </c>
      <c r="I849" s="7">
        <v>6113300</v>
      </c>
    </row>
    <row r="850" spans="2:9" outlineLevel="2" x14ac:dyDescent="0.2">
      <c r="B850" s="8"/>
      <c r="C850" s="8"/>
      <c r="D850" s="8"/>
      <c r="E850" s="8"/>
      <c r="F850" s="8"/>
      <c r="G850" s="8"/>
      <c r="H850" s="8"/>
      <c r="I850" s="7"/>
    </row>
    <row r="851" spans="2:9" ht="25" outlineLevel="2" x14ac:dyDescent="0.2">
      <c r="B851" s="8" t="s">
        <v>9</v>
      </c>
      <c r="C851" s="8" t="s">
        <v>8</v>
      </c>
      <c r="D851" s="8" t="s">
        <v>7</v>
      </c>
      <c r="E851" s="8" t="s">
        <v>6</v>
      </c>
      <c r="F851" s="8" t="s">
        <v>399</v>
      </c>
      <c r="G851" s="8" t="s">
        <v>533</v>
      </c>
      <c r="H851" s="8" t="s">
        <v>11</v>
      </c>
      <c r="I851" s="7">
        <v>-11000</v>
      </c>
    </row>
    <row r="852" spans="2:9" ht="25" outlineLevel="2" x14ac:dyDescent="0.2">
      <c r="B852" s="8" t="s">
        <v>9</v>
      </c>
      <c r="C852" s="8" t="s">
        <v>8</v>
      </c>
      <c r="D852" s="8" t="s">
        <v>7</v>
      </c>
      <c r="E852" s="8" t="s">
        <v>6</v>
      </c>
      <c r="F852" s="8" t="s">
        <v>399</v>
      </c>
      <c r="G852" s="8" t="s">
        <v>533</v>
      </c>
      <c r="H852" s="8" t="s">
        <v>221</v>
      </c>
      <c r="I852" s="7">
        <v>11000</v>
      </c>
    </row>
    <row r="853" spans="2:9" outlineLevel="2" x14ac:dyDescent="0.2">
      <c r="B853" s="8"/>
      <c r="C853" s="8"/>
      <c r="D853" s="8"/>
      <c r="E853" s="8"/>
      <c r="F853" s="8"/>
      <c r="G853" s="8"/>
      <c r="H853" s="8"/>
      <c r="I853" s="7"/>
    </row>
    <row r="854" spans="2:9" ht="25" outlineLevel="2" x14ac:dyDescent="0.2">
      <c r="B854" s="8" t="s">
        <v>9</v>
      </c>
      <c r="C854" s="8" t="s">
        <v>8</v>
      </c>
      <c r="D854" s="8" t="s">
        <v>7</v>
      </c>
      <c r="E854" s="8" t="s">
        <v>6</v>
      </c>
      <c r="F854" s="8" t="s">
        <v>531</v>
      </c>
      <c r="G854" s="8" t="s">
        <v>532</v>
      </c>
      <c r="H854" s="8" t="s">
        <v>11</v>
      </c>
      <c r="I854" s="7">
        <v>-34445000</v>
      </c>
    </row>
    <row r="855" spans="2:9" ht="25" outlineLevel="2" x14ac:dyDescent="0.2">
      <c r="B855" s="8" t="s">
        <v>9</v>
      </c>
      <c r="C855" s="8" t="s">
        <v>8</v>
      </c>
      <c r="D855" s="8" t="s">
        <v>7</v>
      </c>
      <c r="E855" s="8" t="s">
        <v>6</v>
      </c>
      <c r="F855" s="8" t="s">
        <v>531</v>
      </c>
      <c r="G855" s="8" t="s">
        <v>532</v>
      </c>
      <c r="H855" s="8" t="s">
        <v>33</v>
      </c>
      <c r="I855" s="7">
        <v>34445000</v>
      </c>
    </row>
    <row r="856" spans="2:9" outlineLevel="2" x14ac:dyDescent="0.2">
      <c r="B856" s="8"/>
      <c r="C856" s="8"/>
      <c r="D856" s="8"/>
      <c r="E856" s="8"/>
      <c r="F856" s="8"/>
      <c r="G856" s="8"/>
      <c r="H856" s="8"/>
      <c r="I856" s="7"/>
    </row>
    <row r="857" spans="2:9" ht="25" outlineLevel="2" x14ac:dyDescent="0.2">
      <c r="B857" s="8" t="s">
        <v>9</v>
      </c>
      <c r="C857" s="8" t="s">
        <v>8</v>
      </c>
      <c r="D857" s="8" t="s">
        <v>7</v>
      </c>
      <c r="E857" s="8" t="s">
        <v>6</v>
      </c>
      <c r="F857" s="8" t="s">
        <v>531</v>
      </c>
      <c r="G857" s="8" t="s">
        <v>530</v>
      </c>
      <c r="H857" s="8" t="s">
        <v>11</v>
      </c>
      <c r="I857" s="7">
        <v>-11000</v>
      </c>
    </row>
    <row r="858" spans="2:9" ht="25" outlineLevel="2" x14ac:dyDescent="0.2">
      <c r="B858" s="8" t="s">
        <v>9</v>
      </c>
      <c r="C858" s="8" t="s">
        <v>8</v>
      </c>
      <c r="D858" s="8" t="s">
        <v>7</v>
      </c>
      <c r="E858" s="8" t="s">
        <v>6</v>
      </c>
      <c r="F858" s="8" t="s">
        <v>531</v>
      </c>
      <c r="G858" s="8" t="s">
        <v>530</v>
      </c>
      <c r="H858" s="8" t="s">
        <v>221</v>
      </c>
      <c r="I858" s="7">
        <v>11000</v>
      </c>
    </row>
    <row r="859" spans="2:9" outlineLevel="2" x14ac:dyDescent="0.2">
      <c r="B859" s="8"/>
      <c r="C859" s="8"/>
      <c r="D859" s="8"/>
      <c r="E859" s="8"/>
      <c r="F859" s="8"/>
      <c r="G859" s="8"/>
      <c r="H859" s="8"/>
      <c r="I859" s="7"/>
    </row>
    <row r="860" spans="2:9" ht="25" outlineLevel="2" x14ac:dyDescent="0.2">
      <c r="B860" s="8" t="s">
        <v>9</v>
      </c>
      <c r="C860" s="8" t="s">
        <v>8</v>
      </c>
      <c r="D860" s="8" t="s">
        <v>7</v>
      </c>
      <c r="E860" s="8" t="s">
        <v>6</v>
      </c>
      <c r="F860" s="8" t="s">
        <v>32</v>
      </c>
      <c r="G860" s="8" t="s">
        <v>529</v>
      </c>
      <c r="H860" s="8" t="s">
        <v>11</v>
      </c>
      <c r="I860" s="7">
        <v>-2928000</v>
      </c>
    </row>
    <row r="861" spans="2:9" ht="25" outlineLevel="2" x14ac:dyDescent="0.2">
      <c r="B861" s="8" t="s">
        <v>9</v>
      </c>
      <c r="C861" s="8" t="s">
        <v>8</v>
      </c>
      <c r="D861" s="8" t="s">
        <v>7</v>
      </c>
      <c r="E861" s="8" t="s">
        <v>6</v>
      </c>
      <c r="F861" s="8" t="s">
        <v>32</v>
      </c>
      <c r="G861" s="8" t="s">
        <v>529</v>
      </c>
      <c r="H861" s="8" t="s">
        <v>33</v>
      </c>
      <c r="I861" s="7">
        <v>2928000</v>
      </c>
    </row>
    <row r="862" spans="2:9" outlineLevel="2" x14ac:dyDescent="0.2">
      <c r="B862" s="8"/>
      <c r="C862" s="8"/>
      <c r="D862" s="8"/>
      <c r="E862" s="8"/>
      <c r="F862" s="8"/>
      <c r="G862" s="8"/>
      <c r="H862" s="8"/>
      <c r="I862" s="7"/>
    </row>
    <row r="863" spans="2:9" ht="25" outlineLevel="2" x14ac:dyDescent="0.2">
      <c r="B863" s="8" t="s">
        <v>9</v>
      </c>
      <c r="C863" s="8" t="s">
        <v>8</v>
      </c>
      <c r="D863" s="8" t="s">
        <v>7</v>
      </c>
      <c r="E863" s="8" t="s">
        <v>6</v>
      </c>
      <c r="F863" s="8" t="s">
        <v>32</v>
      </c>
      <c r="G863" s="8" t="s">
        <v>528</v>
      </c>
      <c r="H863" s="8" t="s">
        <v>11</v>
      </c>
      <c r="I863" s="7">
        <v>-11000</v>
      </c>
    </row>
    <row r="864" spans="2:9" ht="25" outlineLevel="2" x14ac:dyDescent="0.2">
      <c r="B864" s="8" t="s">
        <v>9</v>
      </c>
      <c r="C864" s="8" t="s">
        <v>8</v>
      </c>
      <c r="D864" s="8" t="s">
        <v>7</v>
      </c>
      <c r="E864" s="8" t="s">
        <v>6</v>
      </c>
      <c r="F864" s="8" t="s">
        <v>32</v>
      </c>
      <c r="G864" s="8" t="s">
        <v>528</v>
      </c>
      <c r="H864" s="8" t="s">
        <v>221</v>
      </c>
      <c r="I864" s="7">
        <v>11000</v>
      </c>
    </row>
    <row r="865" spans="2:9" outlineLevel="2" x14ac:dyDescent="0.2">
      <c r="B865" s="8"/>
      <c r="C865" s="8"/>
      <c r="D865" s="8"/>
      <c r="E865" s="8"/>
      <c r="F865" s="8"/>
      <c r="G865" s="8"/>
      <c r="H865" s="8"/>
      <c r="I865" s="7"/>
    </row>
    <row r="866" spans="2:9" ht="25" outlineLevel="2" x14ac:dyDescent="0.2">
      <c r="B866" s="8" t="s">
        <v>9</v>
      </c>
      <c r="C866" s="8" t="s">
        <v>8</v>
      </c>
      <c r="D866" s="8" t="s">
        <v>7</v>
      </c>
      <c r="E866" s="8" t="s">
        <v>6</v>
      </c>
      <c r="F866" s="8" t="s">
        <v>526</v>
      </c>
      <c r="G866" s="8" t="s">
        <v>527</v>
      </c>
      <c r="H866" s="8" t="s">
        <v>11</v>
      </c>
      <c r="I866" s="7">
        <v>-1512000</v>
      </c>
    </row>
    <row r="867" spans="2:9" ht="25" outlineLevel="2" x14ac:dyDescent="0.2">
      <c r="B867" s="8" t="s">
        <v>9</v>
      </c>
      <c r="C867" s="8" t="s">
        <v>8</v>
      </c>
      <c r="D867" s="8" t="s">
        <v>7</v>
      </c>
      <c r="E867" s="8" t="s">
        <v>6</v>
      </c>
      <c r="F867" s="8" t="s">
        <v>526</v>
      </c>
      <c r="G867" s="8" t="s">
        <v>527</v>
      </c>
      <c r="H867" s="8" t="s">
        <v>33</v>
      </c>
      <c r="I867" s="7">
        <v>1512000</v>
      </c>
    </row>
    <row r="868" spans="2:9" outlineLevel="2" x14ac:dyDescent="0.2">
      <c r="B868" s="8"/>
      <c r="C868" s="8"/>
      <c r="D868" s="8"/>
      <c r="E868" s="8"/>
      <c r="F868" s="8"/>
      <c r="G868" s="8"/>
      <c r="H868" s="8"/>
      <c r="I868" s="7"/>
    </row>
    <row r="869" spans="2:9" ht="25" outlineLevel="2" x14ac:dyDescent="0.2">
      <c r="B869" s="8" t="s">
        <v>9</v>
      </c>
      <c r="C869" s="8" t="s">
        <v>8</v>
      </c>
      <c r="D869" s="8" t="s">
        <v>7</v>
      </c>
      <c r="E869" s="8" t="s">
        <v>6</v>
      </c>
      <c r="F869" s="8" t="s">
        <v>526</v>
      </c>
      <c r="G869" s="8" t="s">
        <v>525</v>
      </c>
      <c r="H869" s="8" t="s">
        <v>11</v>
      </c>
      <c r="I869" s="7">
        <v>-11000</v>
      </c>
    </row>
    <row r="870" spans="2:9" ht="25" outlineLevel="2" x14ac:dyDescent="0.2">
      <c r="B870" s="8" t="s">
        <v>9</v>
      </c>
      <c r="C870" s="8" t="s">
        <v>8</v>
      </c>
      <c r="D870" s="8" t="s">
        <v>7</v>
      </c>
      <c r="E870" s="8" t="s">
        <v>6</v>
      </c>
      <c r="F870" s="8" t="s">
        <v>526</v>
      </c>
      <c r="G870" s="8" t="s">
        <v>525</v>
      </c>
      <c r="H870" s="8" t="s">
        <v>221</v>
      </c>
      <c r="I870" s="7">
        <v>11000</v>
      </c>
    </row>
    <row r="871" spans="2:9" outlineLevel="2" x14ac:dyDescent="0.2">
      <c r="B871" s="8"/>
      <c r="C871" s="8"/>
      <c r="D871" s="8"/>
      <c r="E871" s="8"/>
      <c r="F871" s="8"/>
      <c r="G871" s="8"/>
      <c r="H871" s="8"/>
      <c r="I871" s="7"/>
    </row>
    <row r="872" spans="2:9" ht="25" outlineLevel="2" x14ac:dyDescent="0.2">
      <c r="B872" s="8" t="s">
        <v>9</v>
      </c>
      <c r="C872" s="8" t="s">
        <v>8</v>
      </c>
      <c r="D872" s="8" t="s">
        <v>7</v>
      </c>
      <c r="E872" s="8" t="s">
        <v>6</v>
      </c>
      <c r="F872" s="8" t="s">
        <v>523</v>
      </c>
      <c r="G872" s="8" t="s">
        <v>524</v>
      </c>
      <c r="H872" s="8" t="s">
        <v>11</v>
      </c>
      <c r="I872" s="7">
        <v>-9030000</v>
      </c>
    </row>
    <row r="873" spans="2:9" ht="25" outlineLevel="2" x14ac:dyDescent="0.2">
      <c r="B873" s="8" t="s">
        <v>9</v>
      </c>
      <c r="C873" s="8" t="s">
        <v>8</v>
      </c>
      <c r="D873" s="8" t="s">
        <v>7</v>
      </c>
      <c r="E873" s="8" t="s">
        <v>6</v>
      </c>
      <c r="F873" s="8" t="s">
        <v>523</v>
      </c>
      <c r="G873" s="8" t="s">
        <v>524</v>
      </c>
      <c r="H873" s="8" t="s">
        <v>33</v>
      </c>
      <c r="I873" s="7">
        <v>9030000</v>
      </c>
    </row>
    <row r="874" spans="2:9" outlineLevel="2" x14ac:dyDescent="0.2">
      <c r="B874" s="8"/>
      <c r="C874" s="8"/>
      <c r="D874" s="8"/>
      <c r="E874" s="8"/>
      <c r="F874" s="8"/>
      <c r="G874" s="8"/>
      <c r="H874" s="8"/>
      <c r="I874" s="7"/>
    </row>
    <row r="875" spans="2:9" ht="25" outlineLevel="2" x14ac:dyDescent="0.2">
      <c r="B875" s="8" t="s">
        <v>9</v>
      </c>
      <c r="C875" s="8" t="s">
        <v>8</v>
      </c>
      <c r="D875" s="8" t="s">
        <v>7</v>
      </c>
      <c r="E875" s="8" t="s">
        <v>6</v>
      </c>
      <c r="F875" s="8" t="s">
        <v>523</v>
      </c>
      <c r="G875" s="8" t="s">
        <v>522</v>
      </c>
      <c r="H875" s="8" t="s">
        <v>11</v>
      </c>
      <c r="I875" s="7">
        <v>-22000</v>
      </c>
    </row>
    <row r="876" spans="2:9" ht="25" outlineLevel="2" x14ac:dyDescent="0.2">
      <c r="B876" s="8" t="s">
        <v>9</v>
      </c>
      <c r="C876" s="8" t="s">
        <v>8</v>
      </c>
      <c r="D876" s="8" t="s">
        <v>7</v>
      </c>
      <c r="E876" s="8" t="s">
        <v>6</v>
      </c>
      <c r="F876" s="8" t="s">
        <v>523</v>
      </c>
      <c r="G876" s="8" t="s">
        <v>522</v>
      </c>
      <c r="H876" s="8" t="s">
        <v>221</v>
      </c>
      <c r="I876" s="7">
        <v>22000</v>
      </c>
    </row>
    <row r="877" spans="2:9" outlineLevel="2" x14ac:dyDescent="0.2">
      <c r="B877" s="8"/>
      <c r="C877" s="8"/>
      <c r="D877" s="8"/>
      <c r="E877" s="8"/>
      <c r="F877" s="8"/>
      <c r="G877" s="8"/>
      <c r="H877" s="8"/>
      <c r="I877" s="7"/>
    </row>
    <row r="878" spans="2:9" ht="37" outlineLevel="2" x14ac:dyDescent="0.2">
      <c r="B878" s="8" t="s">
        <v>9</v>
      </c>
      <c r="C878" s="8" t="s">
        <v>8</v>
      </c>
      <c r="D878" s="8" t="s">
        <v>7</v>
      </c>
      <c r="E878" s="8" t="s">
        <v>6</v>
      </c>
      <c r="F878" s="8" t="s">
        <v>408</v>
      </c>
      <c r="G878" s="8" t="s">
        <v>520</v>
      </c>
      <c r="H878" s="8" t="s">
        <v>11</v>
      </c>
      <c r="I878" s="7">
        <v>0</v>
      </c>
    </row>
    <row r="879" spans="2:9" ht="37" outlineLevel="2" x14ac:dyDescent="0.2">
      <c r="B879" s="8" t="s">
        <v>9</v>
      </c>
      <c r="C879" s="8" t="s">
        <v>8</v>
      </c>
      <c r="D879" s="8" t="s">
        <v>7</v>
      </c>
      <c r="E879" s="8" t="s">
        <v>6</v>
      </c>
      <c r="F879" s="8" t="s">
        <v>408</v>
      </c>
      <c r="G879" s="8" t="s">
        <v>521</v>
      </c>
      <c r="H879" s="8" t="s">
        <v>55</v>
      </c>
      <c r="I879" s="7">
        <v>-17284000</v>
      </c>
    </row>
    <row r="880" spans="2:9" ht="37" outlineLevel="2" x14ac:dyDescent="0.2">
      <c r="B880" s="8" t="s">
        <v>9</v>
      </c>
      <c r="C880" s="8" t="s">
        <v>8</v>
      </c>
      <c r="D880" s="8" t="s">
        <v>7</v>
      </c>
      <c r="E880" s="8" t="s">
        <v>6</v>
      </c>
      <c r="F880" s="8" t="s">
        <v>408</v>
      </c>
      <c r="G880" s="8" t="s">
        <v>520</v>
      </c>
      <c r="H880" s="8" t="s">
        <v>61</v>
      </c>
      <c r="I880" s="7">
        <v>10764000</v>
      </c>
    </row>
    <row r="881" spans="2:9" ht="37" outlineLevel="2" x14ac:dyDescent="0.2">
      <c r="B881" s="8" t="s">
        <v>9</v>
      </c>
      <c r="C881" s="8" t="s">
        <v>8</v>
      </c>
      <c r="D881" s="8" t="s">
        <v>7</v>
      </c>
      <c r="E881" s="8" t="s">
        <v>6</v>
      </c>
      <c r="F881" s="8" t="s">
        <v>408</v>
      </c>
      <c r="G881" s="8" t="s">
        <v>519</v>
      </c>
      <c r="H881" s="8" t="s">
        <v>61</v>
      </c>
      <c r="I881" s="7">
        <v>1000000</v>
      </c>
    </row>
    <row r="882" spans="2:9" ht="37" outlineLevel="2" x14ac:dyDescent="0.2">
      <c r="B882" s="8" t="s">
        <v>9</v>
      </c>
      <c r="C882" s="8" t="s">
        <v>8</v>
      </c>
      <c r="D882" s="8" t="s">
        <v>7</v>
      </c>
      <c r="E882" s="8" t="s">
        <v>6</v>
      </c>
      <c r="F882" s="8" t="s">
        <v>408</v>
      </c>
      <c r="G882" s="8" t="s">
        <v>518</v>
      </c>
      <c r="H882" s="8" t="s">
        <v>26</v>
      </c>
      <c r="I882" s="7">
        <v>0</v>
      </c>
    </row>
    <row r="883" spans="2:9" ht="37" outlineLevel="2" x14ac:dyDescent="0.2">
      <c r="B883" s="8" t="s">
        <v>9</v>
      </c>
      <c r="C883" s="8" t="s">
        <v>8</v>
      </c>
      <c r="D883" s="8" t="s">
        <v>7</v>
      </c>
      <c r="E883" s="8" t="s">
        <v>6</v>
      </c>
      <c r="F883" s="8" t="s">
        <v>408</v>
      </c>
      <c r="G883" s="8" t="s">
        <v>517</v>
      </c>
      <c r="H883" s="8" t="s">
        <v>205</v>
      </c>
      <c r="I883" s="7">
        <v>5520000</v>
      </c>
    </row>
    <row r="884" spans="2:9" outlineLevel="2" x14ac:dyDescent="0.2">
      <c r="B884" s="8"/>
      <c r="C884" s="8"/>
      <c r="D884" s="8"/>
      <c r="E884" s="8"/>
      <c r="F884" s="8"/>
      <c r="G884" s="8"/>
      <c r="H884" s="8"/>
      <c r="I884" s="7"/>
    </row>
    <row r="885" spans="2:9" ht="37" outlineLevel="2" x14ac:dyDescent="0.2">
      <c r="B885" s="8" t="s">
        <v>9</v>
      </c>
      <c r="C885" s="8" t="s">
        <v>8</v>
      </c>
      <c r="D885" s="8" t="s">
        <v>7</v>
      </c>
      <c r="E885" s="8" t="s">
        <v>6</v>
      </c>
      <c r="F885" s="8" t="s">
        <v>516</v>
      </c>
      <c r="G885" s="8" t="s">
        <v>515</v>
      </c>
      <c r="H885" s="8" t="s">
        <v>11</v>
      </c>
      <c r="I885" s="7">
        <v>-140800</v>
      </c>
    </row>
    <row r="886" spans="2:9" ht="37" outlineLevel="2" x14ac:dyDescent="0.2">
      <c r="B886" s="8" t="s">
        <v>9</v>
      </c>
      <c r="C886" s="8" t="s">
        <v>8</v>
      </c>
      <c r="D886" s="8" t="s">
        <v>7</v>
      </c>
      <c r="E886" s="8" t="s">
        <v>6</v>
      </c>
      <c r="F886" s="8" t="s">
        <v>516</v>
      </c>
      <c r="G886" s="8" t="s">
        <v>515</v>
      </c>
      <c r="H886" s="8" t="s">
        <v>221</v>
      </c>
      <c r="I886" s="7">
        <v>140800</v>
      </c>
    </row>
    <row r="887" spans="2:9" outlineLevel="2" x14ac:dyDescent="0.2">
      <c r="B887" s="8"/>
      <c r="C887" s="8"/>
      <c r="D887" s="8"/>
      <c r="E887" s="8"/>
      <c r="F887" s="8"/>
      <c r="G887" s="8"/>
      <c r="H887" s="8"/>
      <c r="I887" s="7"/>
    </row>
    <row r="888" spans="2:9" outlineLevel="2" x14ac:dyDescent="0.2">
      <c r="B888" s="8" t="s">
        <v>9</v>
      </c>
      <c r="C888" s="8" t="s">
        <v>8</v>
      </c>
      <c r="D888" s="8" t="s">
        <v>7</v>
      </c>
      <c r="E888" s="8" t="s">
        <v>6</v>
      </c>
      <c r="F888" s="8" t="s">
        <v>212</v>
      </c>
      <c r="G888" s="8" t="s">
        <v>514</v>
      </c>
      <c r="H888" s="8" t="s">
        <v>11</v>
      </c>
      <c r="I888" s="7">
        <v>-228862088</v>
      </c>
    </row>
    <row r="889" spans="2:9" ht="25" outlineLevel="2" x14ac:dyDescent="0.2">
      <c r="B889" s="8" t="s">
        <v>9</v>
      </c>
      <c r="C889" s="8" t="s">
        <v>8</v>
      </c>
      <c r="D889" s="8" t="s">
        <v>7</v>
      </c>
      <c r="E889" s="8" t="s">
        <v>6</v>
      </c>
      <c r="F889" s="8" t="s">
        <v>212</v>
      </c>
      <c r="G889" s="8" t="s">
        <v>513</v>
      </c>
      <c r="H889" s="8" t="s">
        <v>509</v>
      </c>
      <c r="I889" s="7">
        <v>204971712</v>
      </c>
    </row>
    <row r="890" spans="2:9" ht="25" outlineLevel="2" x14ac:dyDescent="0.2">
      <c r="B890" s="8" t="s">
        <v>9</v>
      </c>
      <c r="C890" s="8" t="s">
        <v>8</v>
      </c>
      <c r="D890" s="8" t="s">
        <v>7</v>
      </c>
      <c r="E890" s="8" t="s">
        <v>6</v>
      </c>
      <c r="F890" s="8" t="s">
        <v>212</v>
      </c>
      <c r="G890" s="8" t="s">
        <v>512</v>
      </c>
      <c r="H890" s="8" t="s">
        <v>509</v>
      </c>
      <c r="I890" s="7">
        <v>6285600</v>
      </c>
    </row>
    <row r="891" spans="2:9" ht="25" outlineLevel="2" x14ac:dyDescent="0.2">
      <c r="B891" s="8" t="s">
        <v>9</v>
      </c>
      <c r="C891" s="8" t="s">
        <v>8</v>
      </c>
      <c r="D891" s="8" t="s">
        <v>7</v>
      </c>
      <c r="E891" s="8" t="s">
        <v>6</v>
      </c>
      <c r="F891" s="8" t="s">
        <v>212</v>
      </c>
      <c r="G891" s="8" t="s">
        <v>507</v>
      </c>
      <c r="H891" s="8" t="s">
        <v>218</v>
      </c>
      <c r="I891" s="7">
        <v>0</v>
      </c>
    </row>
    <row r="892" spans="2:9" ht="25" outlineLevel="2" x14ac:dyDescent="0.2">
      <c r="B892" s="8" t="s">
        <v>9</v>
      </c>
      <c r="C892" s="8" t="s">
        <v>8</v>
      </c>
      <c r="D892" s="8" t="s">
        <v>7</v>
      </c>
      <c r="E892" s="8" t="s">
        <v>6</v>
      </c>
      <c r="F892" s="8" t="s">
        <v>212</v>
      </c>
      <c r="G892" s="8" t="s">
        <v>511</v>
      </c>
      <c r="H892" s="8" t="s">
        <v>509</v>
      </c>
      <c r="I892" s="7">
        <v>136647808</v>
      </c>
    </row>
    <row r="893" spans="2:9" ht="25" outlineLevel="2" x14ac:dyDescent="0.2">
      <c r="B893" s="8" t="s">
        <v>9</v>
      </c>
      <c r="C893" s="8" t="s">
        <v>8</v>
      </c>
      <c r="D893" s="8" t="s">
        <v>7</v>
      </c>
      <c r="E893" s="8" t="s">
        <v>6</v>
      </c>
      <c r="F893" s="8" t="s">
        <v>212</v>
      </c>
      <c r="G893" s="8" t="s">
        <v>510</v>
      </c>
      <c r="H893" s="8" t="s">
        <v>509</v>
      </c>
      <c r="I893" s="7">
        <v>4190400</v>
      </c>
    </row>
    <row r="894" spans="2:9" ht="25" outlineLevel="2" x14ac:dyDescent="0.2">
      <c r="B894" s="8" t="s">
        <v>9</v>
      </c>
      <c r="C894" s="8" t="s">
        <v>8</v>
      </c>
      <c r="D894" s="8" t="s">
        <v>7</v>
      </c>
      <c r="E894" s="8" t="s">
        <v>6</v>
      </c>
      <c r="F894" s="8" t="s">
        <v>212</v>
      </c>
      <c r="G894" s="8" t="s">
        <v>506</v>
      </c>
      <c r="H894" s="8" t="s">
        <v>218</v>
      </c>
      <c r="I894" s="7">
        <v>0</v>
      </c>
    </row>
    <row r="895" spans="2:9" outlineLevel="2" x14ac:dyDescent="0.2">
      <c r="B895" s="8" t="s">
        <v>9</v>
      </c>
      <c r="C895" s="8" t="s">
        <v>8</v>
      </c>
      <c r="D895" s="8" t="s">
        <v>7</v>
      </c>
      <c r="E895" s="8" t="s">
        <v>6</v>
      </c>
      <c r="F895" s="8" t="s">
        <v>212</v>
      </c>
      <c r="G895" s="8" t="s">
        <v>508</v>
      </c>
      <c r="H895" s="8" t="s">
        <v>26</v>
      </c>
      <c r="I895" s="7">
        <v>123233432</v>
      </c>
    </row>
    <row r="896" spans="2:9" outlineLevel="2" x14ac:dyDescent="0.2">
      <c r="B896" s="8" t="s">
        <v>9</v>
      </c>
      <c r="C896" s="8" t="s">
        <v>8</v>
      </c>
      <c r="D896" s="8" t="s">
        <v>7</v>
      </c>
      <c r="E896" s="8" t="s">
        <v>6</v>
      </c>
      <c r="F896" s="8" t="s">
        <v>212</v>
      </c>
      <c r="G896" s="8" t="s">
        <v>222</v>
      </c>
      <c r="H896" s="8" t="s">
        <v>221</v>
      </c>
      <c r="I896" s="7">
        <v>0</v>
      </c>
    </row>
    <row r="897" spans="2:9" outlineLevel="2" x14ac:dyDescent="0.2">
      <c r="B897" s="8" t="s">
        <v>9</v>
      </c>
      <c r="C897" s="8" t="s">
        <v>8</v>
      </c>
      <c r="D897" s="8" t="s">
        <v>7</v>
      </c>
      <c r="E897" s="8" t="s">
        <v>6</v>
      </c>
      <c r="F897" s="8" t="s">
        <v>212</v>
      </c>
      <c r="G897" s="8" t="s">
        <v>507</v>
      </c>
      <c r="H897" s="8" t="s">
        <v>26</v>
      </c>
      <c r="I897" s="7">
        <v>0</v>
      </c>
    </row>
    <row r="898" spans="2:9" ht="25" outlineLevel="2" x14ac:dyDescent="0.2">
      <c r="B898" s="8" t="s">
        <v>9</v>
      </c>
      <c r="C898" s="8" t="s">
        <v>8</v>
      </c>
      <c r="D898" s="8" t="s">
        <v>7</v>
      </c>
      <c r="E898" s="8" t="s">
        <v>6</v>
      </c>
      <c r="F898" s="8" t="s">
        <v>212</v>
      </c>
      <c r="G898" s="8" t="s">
        <v>507</v>
      </c>
      <c r="H898" s="8" t="s">
        <v>218</v>
      </c>
      <c r="I898" s="7">
        <v>0</v>
      </c>
    </row>
    <row r="899" spans="2:9" ht="25" outlineLevel="2" x14ac:dyDescent="0.2">
      <c r="B899" s="8" t="s">
        <v>9</v>
      </c>
      <c r="C899" s="8" t="s">
        <v>8</v>
      </c>
      <c r="D899" s="8" t="s">
        <v>7</v>
      </c>
      <c r="E899" s="8" t="s">
        <v>6</v>
      </c>
      <c r="F899" s="8" t="s">
        <v>212</v>
      </c>
      <c r="G899" s="8" t="s">
        <v>506</v>
      </c>
      <c r="H899" s="8" t="s">
        <v>218</v>
      </c>
      <c r="I899" s="7">
        <v>0</v>
      </c>
    </row>
    <row r="900" spans="2:9" outlineLevel="2" x14ac:dyDescent="0.2">
      <c r="B900" s="8" t="s">
        <v>9</v>
      </c>
      <c r="C900" s="8" t="s">
        <v>8</v>
      </c>
      <c r="D900" s="8" t="s">
        <v>7</v>
      </c>
      <c r="E900" s="8" t="s">
        <v>6</v>
      </c>
      <c r="F900" s="8" t="s">
        <v>212</v>
      </c>
      <c r="G900" s="8" t="s">
        <v>505</v>
      </c>
      <c r="H900" s="8" t="s">
        <v>26</v>
      </c>
      <c r="I900" s="7">
        <v>0</v>
      </c>
    </row>
    <row r="901" spans="2:9" outlineLevel="2" x14ac:dyDescent="0.2">
      <c r="B901" s="8"/>
      <c r="C901" s="8"/>
      <c r="D901" s="8"/>
      <c r="E901" s="8"/>
      <c r="F901" s="8"/>
      <c r="G901" s="8"/>
      <c r="H901" s="8"/>
      <c r="I901" s="7"/>
    </row>
    <row r="902" spans="2:9" outlineLevel="2" x14ac:dyDescent="0.2">
      <c r="B902" s="8" t="s">
        <v>9</v>
      </c>
      <c r="C902" s="8" t="s">
        <v>8</v>
      </c>
      <c r="D902" s="8" t="s">
        <v>7</v>
      </c>
      <c r="E902" s="8" t="s">
        <v>6</v>
      </c>
      <c r="F902" s="8" t="s">
        <v>497</v>
      </c>
      <c r="G902" s="8" t="s">
        <v>504</v>
      </c>
      <c r="H902" s="8" t="s">
        <v>11</v>
      </c>
      <c r="I902" s="7">
        <v>-42281523</v>
      </c>
    </row>
    <row r="903" spans="2:9" ht="25" outlineLevel="2" x14ac:dyDescent="0.2">
      <c r="B903" s="8" t="s">
        <v>9</v>
      </c>
      <c r="C903" s="8" t="s">
        <v>8</v>
      </c>
      <c r="D903" s="8" t="s">
        <v>7</v>
      </c>
      <c r="E903" s="8" t="s">
        <v>6</v>
      </c>
      <c r="F903" s="8" t="s">
        <v>497</v>
      </c>
      <c r="G903" s="8" t="s">
        <v>503</v>
      </c>
      <c r="H903" s="8" t="s">
        <v>384</v>
      </c>
      <c r="I903" s="7">
        <v>32748155</v>
      </c>
    </row>
    <row r="904" spans="2:9" ht="25" outlineLevel="2" x14ac:dyDescent="0.2">
      <c r="B904" s="8" t="s">
        <v>9</v>
      </c>
      <c r="C904" s="8" t="s">
        <v>8</v>
      </c>
      <c r="D904" s="8" t="s">
        <v>7</v>
      </c>
      <c r="E904" s="8" t="s">
        <v>6</v>
      </c>
      <c r="F904" s="8" t="s">
        <v>497</v>
      </c>
      <c r="G904" s="8" t="s">
        <v>502</v>
      </c>
      <c r="H904" s="8" t="s">
        <v>384</v>
      </c>
      <c r="I904" s="7">
        <v>0</v>
      </c>
    </row>
    <row r="905" spans="2:9" ht="25" outlineLevel="2" x14ac:dyDescent="0.2">
      <c r="B905" s="8" t="s">
        <v>9</v>
      </c>
      <c r="C905" s="8" t="s">
        <v>8</v>
      </c>
      <c r="D905" s="8" t="s">
        <v>7</v>
      </c>
      <c r="E905" s="8" t="s">
        <v>6</v>
      </c>
      <c r="F905" s="8" t="s">
        <v>497</v>
      </c>
      <c r="G905" s="8" t="s">
        <v>501</v>
      </c>
      <c r="H905" s="8" t="s">
        <v>379</v>
      </c>
      <c r="I905" s="7">
        <v>-2546474</v>
      </c>
    </row>
    <row r="906" spans="2:9" ht="25" outlineLevel="2" x14ac:dyDescent="0.2">
      <c r="B906" s="8" t="s">
        <v>9</v>
      </c>
      <c r="C906" s="8" t="s">
        <v>8</v>
      </c>
      <c r="D906" s="8" t="s">
        <v>7</v>
      </c>
      <c r="E906" s="8" t="s">
        <v>6</v>
      </c>
      <c r="F906" s="8" t="s">
        <v>497</v>
      </c>
      <c r="G906" s="8" t="s">
        <v>503</v>
      </c>
      <c r="H906" s="8" t="s">
        <v>384</v>
      </c>
      <c r="I906" s="7">
        <v>32748155</v>
      </c>
    </row>
    <row r="907" spans="2:9" ht="25" outlineLevel="2" x14ac:dyDescent="0.2">
      <c r="B907" s="8" t="s">
        <v>9</v>
      </c>
      <c r="C907" s="8" t="s">
        <v>8</v>
      </c>
      <c r="D907" s="8" t="s">
        <v>7</v>
      </c>
      <c r="E907" s="8" t="s">
        <v>6</v>
      </c>
      <c r="F907" s="8" t="s">
        <v>497</v>
      </c>
      <c r="G907" s="8" t="s">
        <v>502</v>
      </c>
      <c r="H907" s="8" t="s">
        <v>384</v>
      </c>
      <c r="I907" s="7">
        <v>0</v>
      </c>
    </row>
    <row r="908" spans="2:9" ht="25" outlineLevel="2" x14ac:dyDescent="0.2">
      <c r="B908" s="8" t="s">
        <v>9</v>
      </c>
      <c r="C908" s="8" t="s">
        <v>8</v>
      </c>
      <c r="D908" s="8" t="s">
        <v>7</v>
      </c>
      <c r="E908" s="8" t="s">
        <v>6</v>
      </c>
      <c r="F908" s="8" t="s">
        <v>497</v>
      </c>
      <c r="G908" s="8" t="s">
        <v>501</v>
      </c>
      <c r="H908" s="8" t="s">
        <v>379</v>
      </c>
      <c r="I908" s="7">
        <v>-2546474</v>
      </c>
    </row>
    <row r="909" spans="2:9" outlineLevel="2" x14ac:dyDescent="0.2">
      <c r="B909" s="8" t="s">
        <v>9</v>
      </c>
      <c r="C909" s="8" t="s">
        <v>8</v>
      </c>
      <c r="D909" s="8" t="s">
        <v>7</v>
      </c>
      <c r="E909" s="8" t="s">
        <v>6</v>
      </c>
      <c r="F909" s="8" t="s">
        <v>497</v>
      </c>
      <c r="G909" s="8" t="s">
        <v>500</v>
      </c>
      <c r="H909" s="8" t="s">
        <v>26</v>
      </c>
      <c r="I909" s="7">
        <v>18121839</v>
      </c>
    </row>
    <row r="910" spans="2:9" outlineLevel="2" x14ac:dyDescent="0.2">
      <c r="B910" s="8" t="s">
        <v>9</v>
      </c>
      <c r="C910" s="8" t="s">
        <v>8</v>
      </c>
      <c r="D910" s="8" t="s">
        <v>7</v>
      </c>
      <c r="E910" s="8" t="s">
        <v>6</v>
      </c>
      <c r="F910" s="8" t="s">
        <v>497</v>
      </c>
      <c r="G910" s="8" t="s">
        <v>222</v>
      </c>
      <c r="H910" s="8" t="s">
        <v>221</v>
      </c>
      <c r="I910" s="7">
        <v>0</v>
      </c>
    </row>
    <row r="911" spans="2:9" ht="25" outlineLevel="2" x14ac:dyDescent="0.2">
      <c r="B911" s="8" t="s">
        <v>9</v>
      </c>
      <c r="C911" s="8" t="s">
        <v>8</v>
      </c>
      <c r="D911" s="8" t="s">
        <v>7</v>
      </c>
      <c r="E911" s="8" t="s">
        <v>6</v>
      </c>
      <c r="F911" s="8" t="s">
        <v>497</v>
      </c>
      <c r="G911" s="8" t="s">
        <v>499</v>
      </c>
      <c r="H911" s="8" t="s">
        <v>379</v>
      </c>
      <c r="I911" s="7">
        <v>5092948</v>
      </c>
    </row>
    <row r="912" spans="2:9" ht="25" outlineLevel="2" x14ac:dyDescent="0.2">
      <c r="B912" s="8" t="s">
        <v>9</v>
      </c>
      <c r="C912" s="8" t="s">
        <v>8</v>
      </c>
      <c r="D912" s="8" t="s">
        <v>7</v>
      </c>
      <c r="E912" s="8" t="s">
        <v>6</v>
      </c>
      <c r="F912" s="8" t="s">
        <v>497</v>
      </c>
      <c r="G912" s="8" t="s">
        <v>498</v>
      </c>
      <c r="H912" s="8" t="s">
        <v>379</v>
      </c>
      <c r="I912" s="7">
        <v>5120474</v>
      </c>
    </row>
    <row r="913" spans="2:9" ht="25" outlineLevel="2" x14ac:dyDescent="0.2">
      <c r="B913" s="8" t="s">
        <v>9</v>
      </c>
      <c r="C913" s="8" t="s">
        <v>8</v>
      </c>
      <c r="D913" s="8" t="s">
        <v>7</v>
      </c>
      <c r="E913" s="8" t="s">
        <v>6</v>
      </c>
      <c r="F913" s="8" t="s">
        <v>497</v>
      </c>
      <c r="G913" s="8" t="s">
        <v>498</v>
      </c>
      <c r="H913" s="8" t="s">
        <v>379</v>
      </c>
      <c r="I913" s="7">
        <v>5120474</v>
      </c>
    </row>
    <row r="914" spans="2:9" outlineLevel="2" x14ac:dyDescent="0.2">
      <c r="B914" s="8" t="s">
        <v>9</v>
      </c>
      <c r="C914" s="8" t="s">
        <v>8</v>
      </c>
      <c r="D914" s="8" t="s">
        <v>7</v>
      </c>
      <c r="E914" s="8" t="s">
        <v>6</v>
      </c>
      <c r="F914" s="8" t="s">
        <v>497</v>
      </c>
      <c r="G914" s="8" t="s">
        <v>496</v>
      </c>
      <c r="H914" s="8" t="s">
        <v>26</v>
      </c>
      <c r="I914" s="7">
        <v>15333896</v>
      </c>
    </row>
    <row r="915" spans="2:9" outlineLevel="2" x14ac:dyDescent="0.2">
      <c r="B915" s="8"/>
      <c r="C915" s="8"/>
      <c r="D915" s="8"/>
      <c r="E915" s="8"/>
      <c r="F915" s="8"/>
      <c r="G915" s="8"/>
      <c r="H915" s="8"/>
      <c r="I915" s="7"/>
    </row>
    <row r="916" spans="2:9" outlineLevel="2" x14ac:dyDescent="0.2">
      <c r="B916" s="8" t="s">
        <v>9</v>
      </c>
      <c r="C916" s="8" t="s">
        <v>8</v>
      </c>
      <c r="D916" s="8" t="s">
        <v>7</v>
      </c>
      <c r="E916" s="8" t="s">
        <v>6</v>
      </c>
      <c r="F916" s="8" t="s">
        <v>32</v>
      </c>
      <c r="G916" s="8" t="s">
        <v>495</v>
      </c>
      <c r="H916" s="8" t="s">
        <v>11</v>
      </c>
      <c r="I916" s="7">
        <v>-45901717</v>
      </c>
    </row>
    <row r="917" spans="2:9" ht="25" outlineLevel="2" x14ac:dyDescent="0.2">
      <c r="B917" s="8" t="s">
        <v>9</v>
      </c>
      <c r="C917" s="8" t="s">
        <v>8</v>
      </c>
      <c r="D917" s="8" t="s">
        <v>7</v>
      </c>
      <c r="E917" s="8" t="s">
        <v>6</v>
      </c>
      <c r="F917" s="8" t="s">
        <v>32</v>
      </c>
      <c r="G917" s="8" t="s">
        <v>495</v>
      </c>
      <c r="H917" s="8" t="s">
        <v>493</v>
      </c>
      <c r="I917" s="7">
        <v>73050550</v>
      </c>
    </row>
    <row r="918" spans="2:9" ht="25" outlineLevel="2" x14ac:dyDescent="0.2">
      <c r="B918" s="8" t="s">
        <v>9</v>
      </c>
      <c r="C918" s="8" t="s">
        <v>8</v>
      </c>
      <c r="D918" s="8" t="s">
        <v>7</v>
      </c>
      <c r="E918" s="8" t="s">
        <v>6</v>
      </c>
      <c r="F918" s="8" t="s">
        <v>32</v>
      </c>
      <c r="G918" s="8" t="s">
        <v>494</v>
      </c>
      <c r="H918" s="8" t="s">
        <v>493</v>
      </c>
      <c r="I918" s="7">
        <v>0</v>
      </c>
    </row>
    <row r="919" spans="2:9" ht="25" outlineLevel="2" x14ac:dyDescent="0.2">
      <c r="B919" s="8" t="s">
        <v>9</v>
      </c>
      <c r="C919" s="8" t="s">
        <v>8</v>
      </c>
      <c r="D919" s="8" t="s">
        <v>7</v>
      </c>
      <c r="E919" s="8" t="s">
        <v>6</v>
      </c>
      <c r="F919" s="8" t="s">
        <v>32</v>
      </c>
      <c r="G919" s="8" t="s">
        <v>492</v>
      </c>
      <c r="H919" s="8" t="s">
        <v>488</v>
      </c>
      <c r="I919" s="7">
        <v>-5167566</v>
      </c>
    </row>
    <row r="920" spans="2:9" outlineLevel="2" x14ac:dyDescent="0.2">
      <c r="B920" s="8" t="s">
        <v>9</v>
      </c>
      <c r="C920" s="8" t="s">
        <v>8</v>
      </c>
      <c r="D920" s="8" t="s">
        <v>7</v>
      </c>
      <c r="E920" s="8" t="s">
        <v>6</v>
      </c>
      <c r="F920" s="8" t="s">
        <v>32</v>
      </c>
      <c r="G920" s="8" t="s">
        <v>491</v>
      </c>
      <c r="H920" s="8" t="s">
        <v>26</v>
      </c>
      <c r="I920" s="7">
        <v>21981267</v>
      </c>
    </row>
    <row r="921" spans="2:9" outlineLevel="2" x14ac:dyDescent="0.2">
      <c r="B921" s="8" t="s">
        <v>9</v>
      </c>
      <c r="C921" s="8" t="s">
        <v>8</v>
      </c>
      <c r="D921" s="8" t="s">
        <v>7</v>
      </c>
      <c r="E921" s="8" t="s">
        <v>6</v>
      </c>
      <c r="F921" s="8" t="s">
        <v>32</v>
      </c>
      <c r="G921" s="8" t="s">
        <v>222</v>
      </c>
      <c r="H921" s="8" t="s">
        <v>221</v>
      </c>
      <c r="I921" s="7">
        <v>0</v>
      </c>
    </row>
    <row r="922" spans="2:9" ht="25" outlineLevel="2" x14ac:dyDescent="0.2">
      <c r="B922" s="8" t="s">
        <v>9</v>
      </c>
      <c r="C922" s="8" t="s">
        <v>8</v>
      </c>
      <c r="D922" s="8" t="s">
        <v>7</v>
      </c>
      <c r="E922" s="8" t="s">
        <v>6</v>
      </c>
      <c r="F922" s="8" t="s">
        <v>32</v>
      </c>
      <c r="G922" s="8" t="s">
        <v>490</v>
      </c>
      <c r="H922" s="8" t="s">
        <v>488</v>
      </c>
      <c r="I922" s="7">
        <v>5167566</v>
      </c>
    </row>
    <row r="923" spans="2:9" ht="25" outlineLevel="2" x14ac:dyDescent="0.2">
      <c r="B923" s="8" t="s">
        <v>9</v>
      </c>
      <c r="C923" s="8" t="s">
        <v>8</v>
      </c>
      <c r="D923" s="8" t="s">
        <v>7</v>
      </c>
      <c r="E923" s="8" t="s">
        <v>6</v>
      </c>
      <c r="F923" s="8" t="s">
        <v>32</v>
      </c>
      <c r="G923" s="8" t="s">
        <v>489</v>
      </c>
      <c r="H923" s="8" t="s">
        <v>488</v>
      </c>
      <c r="I923" s="7">
        <v>10315566</v>
      </c>
    </row>
    <row r="924" spans="2:9" outlineLevel="2" x14ac:dyDescent="0.2">
      <c r="B924" s="8" t="s">
        <v>9</v>
      </c>
      <c r="C924" s="8" t="s">
        <v>8</v>
      </c>
      <c r="D924" s="8" t="s">
        <v>7</v>
      </c>
      <c r="E924" s="8" t="s">
        <v>6</v>
      </c>
      <c r="F924" s="8" t="s">
        <v>32</v>
      </c>
      <c r="G924" s="8" t="s">
        <v>487</v>
      </c>
      <c r="H924" s="8" t="s">
        <v>26</v>
      </c>
      <c r="I924" s="7">
        <v>15483132</v>
      </c>
    </row>
    <row r="925" spans="2:9" outlineLevel="2" x14ac:dyDescent="0.2">
      <c r="B925" s="8"/>
      <c r="C925" s="8"/>
      <c r="D925" s="8"/>
      <c r="E925" s="8"/>
      <c r="F925" s="8"/>
      <c r="G925" s="8"/>
      <c r="H925" s="8"/>
      <c r="I925" s="7"/>
    </row>
    <row r="926" spans="2:9" outlineLevel="2" x14ac:dyDescent="0.2">
      <c r="B926" s="8" t="s">
        <v>9</v>
      </c>
      <c r="C926" s="8" t="s">
        <v>8</v>
      </c>
      <c r="D926" s="8" t="s">
        <v>7</v>
      </c>
      <c r="E926" s="8" t="s">
        <v>6</v>
      </c>
      <c r="F926" s="8" t="s">
        <v>473</v>
      </c>
      <c r="G926" s="8" t="s">
        <v>486</v>
      </c>
      <c r="H926" s="8" t="s">
        <v>11</v>
      </c>
      <c r="I926" s="7">
        <v>-38262451</v>
      </c>
    </row>
    <row r="927" spans="2:9" ht="25" outlineLevel="2" x14ac:dyDescent="0.2">
      <c r="B927" s="8" t="s">
        <v>9</v>
      </c>
      <c r="C927" s="8" t="s">
        <v>8</v>
      </c>
      <c r="D927" s="8" t="s">
        <v>7</v>
      </c>
      <c r="E927" s="8" t="s">
        <v>6</v>
      </c>
      <c r="F927" s="8" t="s">
        <v>473</v>
      </c>
      <c r="G927" s="8" t="s">
        <v>485</v>
      </c>
      <c r="H927" s="8" t="s">
        <v>480</v>
      </c>
      <c r="I927" s="7">
        <v>19475775</v>
      </c>
    </row>
    <row r="928" spans="2:9" ht="25" outlineLevel="2" x14ac:dyDescent="0.2">
      <c r="B928" s="8" t="s">
        <v>9</v>
      </c>
      <c r="C928" s="8" t="s">
        <v>8</v>
      </c>
      <c r="D928" s="8" t="s">
        <v>7</v>
      </c>
      <c r="E928" s="8" t="s">
        <v>6</v>
      </c>
      <c r="F928" s="8" t="s">
        <v>473</v>
      </c>
      <c r="G928" s="8" t="s">
        <v>484</v>
      </c>
      <c r="H928" s="8" t="s">
        <v>480</v>
      </c>
      <c r="I928" s="7">
        <v>0</v>
      </c>
    </row>
    <row r="929" spans="2:9" ht="25" outlineLevel="2" x14ac:dyDescent="0.2">
      <c r="B929" s="8" t="s">
        <v>9</v>
      </c>
      <c r="C929" s="8" t="s">
        <v>8</v>
      </c>
      <c r="D929" s="8" t="s">
        <v>7</v>
      </c>
      <c r="E929" s="8" t="s">
        <v>6</v>
      </c>
      <c r="F929" s="8" t="s">
        <v>473</v>
      </c>
      <c r="G929" s="8" t="s">
        <v>483</v>
      </c>
      <c r="H929" s="8" t="s">
        <v>474</v>
      </c>
      <c r="I929" s="7">
        <v>-1659554.49</v>
      </c>
    </row>
    <row r="930" spans="2:9" ht="25" outlineLevel="2" x14ac:dyDescent="0.2">
      <c r="B930" s="8" t="s">
        <v>9</v>
      </c>
      <c r="C930" s="8" t="s">
        <v>8</v>
      </c>
      <c r="D930" s="8" t="s">
        <v>7</v>
      </c>
      <c r="E930" s="8" t="s">
        <v>6</v>
      </c>
      <c r="F930" s="8" t="s">
        <v>473</v>
      </c>
      <c r="G930" s="8" t="s">
        <v>482</v>
      </c>
      <c r="H930" s="8" t="s">
        <v>480</v>
      </c>
      <c r="I930" s="7">
        <v>39541725</v>
      </c>
    </row>
    <row r="931" spans="2:9" ht="25" outlineLevel="2" x14ac:dyDescent="0.2">
      <c r="B931" s="8" t="s">
        <v>9</v>
      </c>
      <c r="C931" s="8" t="s">
        <v>8</v>
      </c>
      <c r="D931" s="8" t="s">
        <v>7</v>
      </c>
      <c r="E931" s="8" t="s">
        <v>6</v>
      </c>
      <c r="F931" s="8" t="s">
        <v>473</v>
      </c>
      <c r="G931" s="8" t="s">
        <v>481</v>
      </c>
      <c r="H931" s="8" t="s">
        <v>480</v>
      </c>
      <c r="I931" s="7">
        <v>0</v>
      </c>
    </row>
    <row r="932" spans="2:9" ht="25" outlineLevel="2" x14ac:dyDescent="0.2">
      <c r="B932" s="8" t="s">
        <v>9</v>
      </c>
      <c r="C932" s="8" t="s">
        <v>8</v>
      </c>
      <c r="D932" s="8" t="s">
        <v>7</v>
      </c>
      <c r="E932" s="8" t="s">
        <v>6</v>
      </c>
      <c r="F932" s="8" t="s">
        <v>473</v>
      </c>
      <c r="G932" s="8" t="s">
        <v>479</v>
      </c>
      <c r="H932" s="8" t="s">
        <v>474</v>
      </c>
      <c r="I932" s="7">
        <v>-3369398.51</v>
      </c>
    </row>
    <row r="933" spans="2:9" outlineLevel="2" x14ac:dyDescent="0.2">
      <c r="B933" s="8" t="s">
        <v>9</v>
      </c>
      <c r="C933" s="8" t="s">
        <v>8</v>
      </c>
      <c r="D933" s="8" t="s">
        <v>7</v>
      </c>
      <c r="E933" s="8" t="s">
        <v>6</v>
      </c>
      <c r="F933" s="8" t="s">
        <v>473</v>
      </c>
      <c r="G933" s="8" t="s">
        <v>478</v>
      </c>
      <c r="H933" s="8" t="s">
        <v>26</v>
      </c>
      <c r="I933" s="7">
        <v>15726096</v>
      </c>
    </row>
    <row r="934" spans="2:9" outlineLevel="2" x14ac:dyDescent="0.2">
      <c r="B934" s="8" t="s">
        <v>9</v>
      </c>
      <c r="C934" s="8" t="s">
        <v>8</v>
      </c>
      <c r="D934" s="8" t="s">
        <v>7</v>
      </c>
      <c r="E934" s="8" t="s">
        <v>6</v>
      </c>
      <c r="F934" s="8" t="s">
        <v>473</v>
      </c>
      <c r="G934" s="8" t="s">
        <v>222</v>
      </c>
      <c r="H934" s="8" t="s">
        <v>221</v>
      </c>
      <c r="I934" s="7">
        <v>0</v>
      </c>
    </row>
    <row r="935" spans="2:9" ht="25" outlineLevel="2" x14ac:dyDescent="0.2">
      <c r="B935" s="8" t="s">
        <v>9</v>
      </c>
      <c r="C935" s="8" t="s">
        <v>8</v>
      </c>
      <c r="D935" s="8" t="s">
        <v>7</v>
      </c>
      <c r="E935" s="8" t="s">
        <v>6</v>
      </c>
      <c r="F935" s="8" t="s">
        <v>473</v>
      </c>
      <c r="G935" s="8" t="s">
        <v>477</v>
      </c>
      <c r="H935" s="8" t="s">
        <v>474</v>
      </c>
      <c r="I935" s="7">
        <v>5028953</v>
      </c>
    </row>
    <row r="936" spans="2:9" ht="25" outlineLevel="2" x14ac:dyDescent="0.2">
      <c r="B936" s="8" t="s">
        <v>9</v>
      </c>
      <c r="C936" s="8" t="s">
        <v>8</v>
      </c>
      <c r="D936" s="8" t="s">
        <v>7</v>
      </c>
      <c r="E936" s="8" t="s">
        <v>6</v>
      </c>
      <c r="F936" s="8" t="s">
        <v>473</v>
      </c>
      <c r="G936" s="8" t="s">
        <v>476</v>
      </c>
      <c r="H936" s="8" t="s">
        <v>474</v>
      </c>
      <c r="I936" s="7">
        <v>3358394.49</v>
      </c>
    </row>
    <row r="937" spans="2:9" ht="25" outlineLevel="2" x14ac:dyDescent="0.2">
      <c r="B937" s="8" t="s">
        <v>9</v>
      </c>
      <c r="C937" s="8" t="s">
        <v>8</v>
      </c>
      <c r="D937" s="8" t="s">
        <v>7</v>
      </c>
      <c r="E937" s="8" t="s">
        <v>6</v>
      </c>
      <c r="F937" s="8" t="s">
        <v>473</v>
      </c>
      <c r="G937" s="8" t="s">
        <v>475</v>
      </c>
      <c r="H937" s="8" t="s">
        <v>474</v>
      </c>
      <c r="I937" s="7">
        <v>6818558.5099999998</v>
      </c>
    </row>
    <row r="938" spans="2:9" outlineLevel="2" x14ac:dyDescent="0.2">
      <c r="B938" s="8" t="s">
        <v>9</v>
      </c>
      <c r="C938" s="8" t="s">
        <v>8</v>
      </c>
      <c r="D938" s="8" t="s">
        <v>7</v>
      </c>
      <c r="E938" s="8" t="s">
        <v>6</v>
      </c>
      <c r="F938" s="8" t="s">
        <v>473</v>
      </c>
      <c r="G938" s="8" t="s">
        <v>472</v>
      </c>
      <c r="H938" s="8" t="s">
        <v>26</v>
      </c>
      <c r="I938" s="7">
        <v>15205906</v>
      </c>
    </row>
    <row r="939" spans="2:9" outlineLevel="2" x14ac:dyDescent="0.2">
      <c r="B939" s="8"/>
      <c r="C939" s="8"/>
      <c r="D939" s="8"/>
      <c r="E939" s="8"/>
      <c r="F939" s="8"/>
      <c r="G939" s="8"/>
      <c r="H939" s="8"/>
      <c r="I939" s="7"/>
    </row>
    <row r="940" spans="2:9" outlineLevel="2" x14ac:dyDescent="0.2">
      <c r="B940" s="8" t="s">
        <v>9</v>
      </c>
      <c r="C940" s="8" t="s">
        <v>8</v>
      </c>
      <c r="D940" s="8" t="s">
        <v>7</v>
      </c>
      <c r="E940" s="8" t="s">
        <v>6</v>
      </c>
      <c r="F940" s="8" t="s">
        <v>52</v>
      </c>
      <c r="G940" s="8" t="s">
        <v>471</v>
      </c>
      <c r="H940" s="8" t="s">
        <v>11</v>
      </c>
      <c r="I940" s="7">
        <v>-29939735</v>
      </c>
    </row>
    <row r="941" spans="2:9" ht="25" outlineLevel="2" x14ac:dyDescent="0.2">
      <c r="B941" s="8" t="s">
        <v>9</v>
      </c>
      <c r="C941" s="8" t="s">
        <v>8</v>
      </c>
      <c r="D941" s="8" t="s">
        <v>7</v>
      </c>
      <c r="E941" s="8" t="s">
        <v>6</v>
      </c>
      <c r="F941" s="8" t="s">
        <v>52</v>
      </c>
      <c r="G941" s="8" t="s">
        <v>470</v>
      </c>
      <c r="H941" s="8" t="s">
        <v>270</v>
      </c>
      <c r="I941" s="7">
        <v>14585191.5</v>
      </c>
    </row>
    <row r="942" spans="2:9" ht="25" outlineLevel="2" x14ac:dyDescent="0.2">
      <c r="B942" s="8" t="s">
        <v>9</v>
      </c>
      <c r="C942" s="8" t="s">
        <v>8</v>
      </c>
      <c r="D942" s="8" t="s">
        <v>7</v>
      </c>
      <c r="E942" s="8" t="s">
        <v>6</v>
      </c>
      <c r="F942" s="8" t="s">
        <v>52</v>
      </c>
      <c r="G942" s="8" t="s">
        <v>469</v>
      </c>
      <c r="H942" s="8" t="s">
        <v>270</v>
      </c>
      <c r="I942" s="7">
        <v>0</v>
      </c>
    </row>
    <row r="943" spans="2:9" ht="25" outlineLevel="2" x14ac:dyDescent="0.2">
      <c r="B943" s="8" t="s">
        <v>9</v>
      </c>
      <c r="C943" s="8" t="s">
        <v>8</v>
      </c>
      <c r="D943" s="8" t="s">
        <v>7</v>
      </c>
      <c r="E943" s="8" t="s">
        <v>6</v>
      </c>
      <c r="F943" s="8" t="s">
        <v>52</v>
      </c>
      <c r="G943" s="8" t="s">
        <v>468</v>
      </c>
      <c r="H943" s="8" t="s">
        <v>218</v>
      </c>
      <c r="I943" s="7">
        <v>-1512703.5</v>
      </c>
    </row>
    <row r="944" spans="2:9" ht="25" outlineLevel="2" x14ac:dyDescent="0.2">
      <c r="B944" s="8" t="s">
        <v>9</v>
      </c>
      <c r="C944" s="8" t="s">
        <v>8</v>
      </c>
      <c r="D944" s="8" t="s">
        <v>7</v>
      </c>
      <c r="E944" s="8" t="s">
        <v>6</v>
      </c>
      <c r="F944" s="8" t="s">
        <v>52</v>
      </c>
      <c r="G944" s="8" t="s">
        <v>467</v>
      </c>
      <c r="H944" s="8" t="s">
        <v>270</v>
      </c>
      <c r="I944" s="7">
        <v>29612358.5</v>
      </c>
    </row>
    <row r="945" spans="2:9" ht="25" outlineLevel="2" x14ac:dyDescent="0.2">
      <c r="B945" s="8" t="s">
        <v>9</v>
      </c>
      <c r="C945" s="8" t="s">
        <v>8</v>
      </c>
      <c r="D945" s="8" t="s">
        <v>7</v>
      </c>
      <c r="E945" s="8" t="s">
        <v>6</v>
      </c>
      <c r="F945" s="8" t="s">
        <v>52</v>
      </c>
      <c r="G945" s="8" t="s">
        <v>466</v>
      </c>
      <c r="H945" s="8" t="s">
        <v>270</v>
      </c>
      <c r="I945" s="7">
        <v>0</v>
      </c>
    </row>
    <row r="946" spans="2:9" ht="25" outlineLevel="2" x14ac:dyDescent="0.2">
      <c r="B946" s="8" t="s">
        <v>9</v>
      </c>
      <c r="C946" s="8" t="s">
        <v>8</v>
      </c>
      <c r="D946" s="8" t="s">
        <v>7</v>
      </c>
      <c r="E946" s="8" t="s">
        <v>6</v>
      </c>
      <c r="F946" s="8" t="s">
        <v>52</v>
      </c>
      <c r="G946" s="8" t="s">
        <v>465</v>
      </c>
      <c r="H946" s="8" t="s">
        <v>218</v>
      </c>
      <c r="I946" s="7">
        <v>-3071246.5</v>
      </c>
    </row>
    <row r="947" spans="2:9" outlineLevel="2" x14ac:dyDescent="0.2">
      <c r="B947" s="8" t="s">
        <v>9</v>
      </c>
      <c r="C947" s="8" t="s">
        <v>8</v>
      </c>
      <c r="D947" s="8" t="s">
        <v>7</v>
      </c>
      <c r="E947" s="8" t="s">
        <v>6</v>
      </c>
      <c r="F947" s="8" t="s">
        <v>52</v>
      </c>
      <c r="G947" s="8" t="s">
        <v>464</v>
      </c>
      <c r="H947" s="8" t="s">
        <v>26</v>
      </c>
      <c r="I947" s="7">
        <v>9673865</v>
      </c>
    </row>
    <row r="948" spans="2:9" outlineLevel="2" x14ac:dyDescent="0.2">
      <c r="B948" s="8" t="s">
        <v>9</v>
      </c>
      <c r="C948" s="8" t="s">
        <v>8</v>
      </c>
      <c r="D948" s="8" t="s">
        <v>7</v>
      </c>
      <c r="E948" s="8" t="s">
        <v>6</v>
      </c>
      <c r="F948" s="8" t="s">
        <v>52</v>
      </c>
      <c r="G948" s="8" t="s">
        <v>222</v>
      </c>
      <c r="H948" s="8" t="s">
        <v>221</v>
      </c>
      <c r="I948" s="7">
        <v>0</v>
      </c>
    </row>
    <row r="949" spans="2:9" ht="25" outlineLevel="2" x14ac:dyDescent="0.2">
      <c r="B949" s="8" t="s">
        <v>9</v>
      </c>
      <c r="C949" s="8" t="s">
        <v>8</v>
      </c>
      <c r="D949" s="8" t="s">
        <v>7</v>
      </c>
      <c r="E949" s="8" t="s">
        <v>6</v>
      </c>
      <c r="F949" s="8" t="s">
        <v>52</v>
      </c>
      <c r="G949" s="8" t="s">
        <v>463</v>
      </c>
      <c r="H949" s="8" t="s">
        <v>218</v>
      </c>
      <c r="I949" s="7">
        <v>4583950</v>
      </c>
    </row>
    <row r="950" spans="2:9" ht="25" outlineLevel="2" x14ac:dyDescent="0.2">
      <c r="B950" s="8" t="s">
        <v>9</v>
      </c>
      <c r="C950" s="8" t="s">
        <v>8</v>
      </c>
      <c r="D950" s="8" t="s">
        <v>7</v>
      </c>
      <c r="E950" s="8" t="s">
        <v>6</v>
      </c>
      <c r="F950" s="8" t="s">
        <v>52</v>
      </c>
      <c r="G950" s="8" t="s">
        <v>462</v>
      </c>
      <c r="H950" s="8" t="s">
        <v>218</v>
      </c>
      <c r="I950" s="7">
        <v>3097440.39</v>
      </c>
    </row>
    <row r="951" spans="2:9" ht="25" outlineLevel="2" x14ac:dyDescent="0.2">
      <c r="B951" s="8" t="s">
        <v>9</v>
      </c>
      <c r="C951" s="8" t="s">
        <v>8</v>
      </c>
      <c r="D951" s="8" t="s">
        <v>7</v>
      </c>
      <c r="E951" s="8" t="s">
        <v>6</v>
      </c>
      <c r="F951" s="8" t="s">
        <v>52</v>
      </c>
      <c r="G951" s="8" t="s">
        <v>461</v>
      </c>
      <c r="H951" s="8" t="s">
        <v>218</v>
      </c>
      <c r="I951" s="7">
        <v>6288742.6100000003</v>
      </c>
    </row>
    <row r="952" spans="2:9" outlineLevel="2" x14ac:dyDescent="0.2">
      <c r="B952" s="8" t="s">
        <v>9</v>
      </c>
      <c r="C952" s="8" t="s">
        <v>8</v>
      </c>
      <c r="D952" s="8" t="s">
        <v>7</v>
      </c>
      <c r="E952" s="8" t="s">
        <v>6</v>
      </c>
      <c r="F952" s="8" t="s">
        <v>52</v>
      </c>
      <c r="G952" s="8" t="s">
        <v>460</v>
      </c>
      <c r="H952" s="8" t="s">
        <v>26</v>
      </c>
      <c r="I952" s="7">
        <v>13970133</v>
      </c>
    </row>
    <row r="953" spans="2:9" outlineLevel="2" x14ac:dyDescent="0.2">
      <c r="B953" s="8"/>
      <c r="C953" s="8"/>
      <c r="D953" s="8"/>
      <c r="E953" s="8"/>
      <c r="F953" s="8"/>
      <c r="G953" s="8"/>
      <c r="H953" s="8"/>
      <c r="I953" s="7"/>
    </row>
    <row r="954" spans="2:9" outlineLevel="2" x14ac:dyDescent="0.2">
      <c r="B954" s="8" t="s">
        <v>9</v>
      </c>
      <c r="C954" s="8" t="s">
        <v>8</v>
      </c>
      <c r="D954" s="8" t="s">
        <v>7</v>
      </c>
      <c r="E954" s="8" t="s">
        <v>6</v>
      </c>
      <c r="F954" s="8" t="s">
        <v>453</v>
      </c>
      <c r="G954" s="8" t="s">
        <v>459</v>
      </c>
      <c r="H954" s="8" t="s">
        <v>11</v>
      </c>
      <c r="I954" s="7">
        <v>-19960822</v>
      </c>
    </row>
    <row r="955" spans="2:9" ht="25" outlineLevel="2" x14ac:dyDescent="0.2">
      <c r="B955" s="8" t="s">
        <v>9</v>
      </c>
      <c r="C955" s="8" t="s">
        <v>8</v>
      </c>
      <c r="D955" s="8" t="s">
        <v>7</v>
      </c>
      <c r="E955" s="8" t="s">
        <v>6</v>
      </c>
      <c r="F955" s="8" t="s">
        <v>453</v>
      </c>
      <c r="G955" s="8" t="s">
        <v>459</v>
      </c>
      <c r="H955" s="8" t="s">
        <v>436</v>
      </c>
      <c r="I955" s="7">
        <v>28092330</v>
      </c>
    </row>
    <row r="956" spans="2:9" ht="25" outlineLevel="2" x14ac:dyDescent="0.2">
      <c r="B956" s="8" t="s">
        <v>9</v>
      </c>
      <c r="C956" s="8" t="s">
        <v>8</v>
      </c>
      <c r="D956" s="8" t="s">
        <v>7</v>
      </c>
      <c r="E956" s="8" t="s">
        <v>6</v>
      </c>
      <c r="F956" s="8" t="s">
        <v>453</v>
      </c>
      <c r="G956" s="8" t="s">
        <v>458</v>
      </c>
      <c r="H956" s="8" t="s">
        <v>436</v>
      </c>
      <c r="I956" s="7">
        <v>0</v>
      </c>
    </row>
    <row r="957" spans="2:9" ht="25" outlineLevel="2" x14ac:dyDescent="0.2">
      <c r="B957" s="8" t="s">
        <v>9</v>
      </c>
      <c r="C957" s="8" t="s">
        <v>8</v>
      </c>
      <c r="D957" s="8" t="s">
        <v>7</v>
      </c>
      <c r="E957" s="8" t="s">
        <v>6</v>
      </c>
      <c r="F957" s="8" t="s">
        <v>453</v>
      </c>
      <c r="G957" s="8" t="s">
        <v>457</v>
      </c>
      <c r="H957" s="8" t="s">
        <v>230</v>
      </c>
      <c r="I957" s="7">
        <v>-2913596</v>
      </c>
    </row>
    <row r="958" spans="2:9" outlineLevel="2" x14ac:dyDescent="0.2">
      <c r="B958" s="8" t="s">
        <v>9</v>
      </c>
      <c r="C958" s="8" t="s">
        <v>8</v>
      </c>
      <c r="D958" s="8" t="s">
        <v>7</v>
      </c>
      <c r="E958" s="8" t="s">
        <v>6</v>
      </c>
      <c r="F958" s="8" t="s">
        <v>453</v>
      </c>
      <c r="G958" s="8" t="s">
        <v>456</v>
      </c>
      <c r="H958" s="8" t="s">
        <v>26</v>
      </c>
      <c r="I958" s="7">
        <v>5217912</v>
      </c>
    </row>
    <row r="959" spans="2:9" outlineLevel="2" x14ac:dyDescent="0.2">
      <c r="B959" s="8" t="s">
        <v>9</v>
      </c>
      <c r="C959" s="8" t="s">
        <v>8</v>
      </c>
      <c r="D959" s="8" t="s">
        <v>7</v>
      </c>
      <c r="E959" s="8" t="s">
        <v>6</v>
      </c>
      <c r="F959" s="8" t="s">
        <v>453</v>
      </c>
      <c r="G959" s="8" t="s">
        <v>222</v>
      </c>
      <c r="H959" s="8" t="s">
        <v>221</v>
      </c>
      <c r="I959" s="7">
        <v>0</v>
      </c>
    </row>
    <row r="960" spans="2:9" ht="25" outlineLevel="2" x14ac:dyDescent="0.2">
      <c r="B960" s="8" t="s">
        <v>9</v>
      </c>
      <c r="C960" s="8" t="s">
        <v>8</v>
      </c>
      <c r="D960" s="8" t="s">
        <v>7</v>
      </c>
      <c r="E960" s="8" t="s">
        <v>6</v>
      </c>
      <c r="F960" s="8" t="s">
        <v>453</v>
      </c>
      <c r="G960" s="8" t="s">
        <v>455</v>
      </c>
      <c r="H960" s="8" t="s">
        <v>230</v>
      </c>
      <c r="I960" s="7">
        <v>2913596</v>
      </c>
    </row>
    <row r="961" spans="2:9" ht="25" outlineLevel="2" x14ac:dyDescent="0.2">
      <c r="B961" s="8" t="s">
        <v>9</v>
      </c>
      <c r="C961" s="8" t="s">
        <v>8</v>
      </c>
      <c r="D961" s="8" t="s">
        <v>7</v>
      </c>
      <c r="E961" s="8" t="s">
        <v>6</v>
      </c>
      <c r="F961" s="8" t="s">
        <v>453</v>
      </c>
      <c r="G961" s="8" t="s">
        <v>454</v>
      </c>
      <c r="H961" s="8" t="s">
        <v>230</v>
      </c>
      <c r="I961" s="7">
        <v>5965935</v>
      </c>
    </row>
    <row r="962" spans="2:9" outlineLevel="2" x14ac:dyDescent="0.2">
      <c r="B962" s="8" t="s">
        <v>9</v>
      </c>
      <c r="C962" s="8" t="s">
        <v>8</v>
      </c>
      <c r="D962" s="8" t="s">
        <v>7</v>
      </c>
      <c r="E962" s="8" t="s">
        <v>6</v>
      </c>
      <c r="F962" s="8" t="s">
        <v>453</v>
      </c>
      <c r="G962" s="8" t="s">
        <v>452</v>
      </c>
      <c r="H962" s="8" t="s">
        <v>26</v>
      </c>
      <c r="I962" s="7">
        <v>8879531</v>
      </c>
    </row>
    <row r="963" spans="2:9" outlineLevel="2" x14ac:dyDescent="0.2">
      <c r="B963" s="8"/>
      <c r="C963" s="8"/>
      <c r="D963" s="8"/>
      <c r="E963" s="8"/>
      <c r="F963" s="8"/>
      <c r="G963" s="8"/>
      <c r="H963" s="8"/>
      <c r="I963" s="7"/>
    </row>
    <row r="964" spans="2:9" outlineLevel="2" x14ac:dyDescent="0.2">
      <c r="B964" s="8" t="s">
        <v>9</v>
      </c>
      <c r="C964" s="8" t="s">
        <v>8</v>
      </c>
      <c r="D964" s="8" t="s">
        <v>7</v>
      </c>
      <c r="E964" s="8" t="s">
        <v>6</v>
      </c>
      <c r="F964" s="8" t="s">
        <v>444</v>
      </c>
      <c r="G964" s="8" t="s">
        <v>451</v>
      </c>
      <c r="H964" s="8" t="s">
        <v>11</v>
      </c>
      <c r="I964" s="7">
        <v>-42244681</v>
      </c>
    </row>
    <row r="965" spans="2:9" ht="25" outlineLevel="2" x14ac:dyDescent="0.2">
      <c r="B965" s="8" t="s">
        <v>9</v>
      </c>
      <c r="C965" s="8" t="s">
        <v>8</v>
      </c>
      <c r="D965" s="8" t="s">
        <v>7</v>
      </c>
      <c r="E965" s="8" t="s">
        <v>6</v>
      </c>
      <c r="F965" s="8" t="s">
        <v>444</v>
      </c>
      <c r="G965" s="8" t="s">
        <v>451</v>
      </c>
      <c r="H965" s="8" t="s">
        <v>449</v>
      </c>
      <c r="I965" s="7">
        <v>64630720</v>
      </c>
    </row>
    <row r="966" spans="2:9" ht="25" outlineLevel="2" x14ac:dyDescent="0.2">
      <c r="B966" s="8" t="s">
        <v>9</v>
      </c>
      <c r="C966" s="8" t="s">
        <v>8</v>
      </c>
      <c r="D966" s="8" t="s">
        <v>7</v>
      </c>
      <c r="E966" s="8" t="s">
        <v>6</v>
      </c>
      <c r="F966" s="8" t="s">
        <v>444</v>
      </c>
      <c r="G966" s="8" t="s">
        <v>450</v>
      </c>
      <c r="H966" s="8" t="s">
        <v>449</v>
      </c>
      <c r="I966" s="7">
        <v>0</v>
      </c>
    </row>
    <row r="967" spans="2:9" ht="25" outlineLevel="2" x14ac:dyDescent="0.2">
      <c r="B967" s="8" t="s">
        <v>9</v>
      </c>
      <c r="C967" s="8" t="s">
        <v>8</v>
      </c>
      <c r="D967" s="8" t="s">
        <v>7</v>
      </c>
      <c r="E967" s="8" t="s">
        <v>6</v>
      </c>
      <c r="F967" s="8" t="s">
        <v>444</v>
      </c>
      <c r="G967" s="8" t="s">
        <v>448</v>
      </c>
      <c r="H967" s="8" t="s">
        <v>230</v>
      </c>
      <c r="I967" s="7">
        <v>-5084398</v>
      </c>
    </row>
    <row r="968" spans="2:9" outlineLevel="2" x14ac:dyDescent="0.2">
      <c r="B968" s="8" t="s">
        <v>9</v>
      </c>
      <c r="C968" s="8" t="s">
        <v>8</v>
      </c>
      <c r="D968" s="8" t="s">
        <v>7</v>
      </c>
      <c r="E968" s="8" t="s">
        <v>6</v>
      </c>
      <c r="F968" s="8" t="s">
        <v>444</v>
      </c>
      <c r="G968" s="8" t="s">
        <v>447</v>
      </c>
      <c r="H968" s="8" t="s">
        <v>26</v>
      </c>
      <c r="I968" s="7">
        <v>17301641</v>
      </c>
    </row>
    <row r="969" spans="2:9" outlineLevel="2" x14ac:dyDescent="0.2">
      <c r="B969" s="8" t="s">
        <v>9</v>
      </c>
      <c r="C969" s="8" t="s">
        <v>8</v>
      </c>
      <c r="D969" s="8" t="s">
        <v>7</v>
      </c>
      <c r="E969" s="8" t="s">
        <v>6</v>
      </c>
      <c r="F969" s="8" t="s">
        <v>444</v>
      </c>
      <c r="G969" s="8" t="s">
        <v>222</v>
      </c>
      <c r="H969" s="8" t="s">
        <v>221</v>
      </c>
      <c r="I969" s="7">
        <v>0</v>
      </c>
    </row>
    <row r="970" spans="2:9" ht="25" outlineLevel="2" x14ac:dyDescent="0.2">
      <c r="B970" s="8" t="s">
        <v>9</v>
      </c>
      <c r="C970" s="8" t="s">
        <v>8</v>
      </c>
      <c r="D970" s="8" t="s">
        <v>7</v>
      </c>
      <c r="E970" s="8" t="s">
        <v>6</v>
      </c>
      <c r="F970" s="8" t="s">
        <v>444</v>
      </c>
      <c r="G970" s="8" t="s">
        <v>446</v>
      </c>
      <c r="H970" s="8" t="s">
        <v>230</v>
      </c>
      <c r="I970" s="7">
        <v>5084398</v>
      </c>
    </row>
    <row r="971" spans="2:9" ht="25" outlineLevel="2" x14ac:dyDescent="0.2">
      <c r="B971" s="8" t="s">
        <v>9</v>
      </c>
      <c r="C971" s="8" t="s">
        <v>8</v>
      </c>
      <c r="D971" s="8" t="s">
        <v>7</v>
      </c>
      <c r="E971" s="8" t="s">
        <v>6</v>
      </c>
      <c r="F971" s="8" t="s">
        <v>444</v>
      </c>
      <c r="G971" s="8" t="s">
        <v>445</v>
      </c>
      <c r="H971" s="8" t="s">
        <v>230</v>
      </c>
      <c r="I971" s="7">
        <v>10232398</v>
      </c>
    </row>
    <row r="972" spans="2:9" outlineLevel="2" x14ac:dyDescent="0.2">
      <c r="B972" s="8" t="s">
        <v>9</v>
      </c>
      <c r="C972" s="8" t="s">
        <v>8</v>
      </c>
      <c r="D972" s="8" t="s">
        <v>7</v>
      </c>
      <c r="E972" s="8" t="s">
        <v>6</v>
      </c>
      <c r="F972" s="8" t="s">
        <v>444</v>
      </c>
      <c r="G972" s="8" t="s">
        <v>443</v>
      </c>
      <c r="H972" s="8" t="s">
        <v>26</v>
      </c>
      <c r="I972" s="7">
        <v>15316796</v>
      </c>
    </row>
    <row r="973" spans="2:9" outlineLevel="2" x14ac:dyDescent="0.2">
      <c r="B973" s="8"/>
      <c r="C973" s="8"/>
      <c r="D973" s="8"/>
      <c r="E973" s="8"/>
      <c r="F973" s="8"/>
      <c r="G973" s="8"/>
      <c r="H973" s="8"/>
      <c r="I973" s="7"/>
    </row>
    <row r="974" spans="2:9" outlineLevel="2" x14ac:dyDescent="0.2">
      <c r="B974" s="8" t="s">
        <v>9</v>
      </c>
      <c r="C974" s="8" t="s">
        <v>8</v>
      </c>
      <c r="D974" s="8" t="s">
        <v>7</v>
      </c>
      <c r="E974" s="8" t="s">
        <v>6</v>
      </c>
      <c r="F974" s="8" t="s">
        <v>430</v>
      </c>
      <c r="G974" s="8" t="s">
        <v>442</v>
      </c>
      <c r="H974" s="8" t="s">
        <v>11</v>
      </c>
      <c r="I974" s="7">
        <v>-15751305</v>
      </c>
    </row>
    <row r="975" spans="2:9" ht="25" outlineLevel="2" x14ac:dyDescent="0.2">
      <c r="B975" s="8" t="s">
        <v>9</v>
      </c>
      <c r="C975" s="8" t="s">
        <v>8</v>
      </c>
      <c r="D975" s="8" t="s">
        <v>7</v>
      </c>
      <c r="E975" s="8" t="s">
        <v>6</v>
      </c>
      <c r="F975" s="8" t="s">
        <v>430</v>
      </c>
      <c r="G975" s="8" t="s">
        <v>441</v>
      </c>
      <c r="H975" s="8" t="s">
        <v>436</v>
      </c>
      <c r="I975" s="7">
        <v>0</v>
      </c>
    </row>
    <row r="976" spans="2:9" ht="25" outlineLevel="2" x14ac:dyDescent="0.2">
      <c r="B976" s="8" t="s">
        <v>9</v>
      </c>
      <c r="C976" s="8" t="s">
        <v>8</v>
      </c>
      <c r="D976" s="8" t="s">
        <v>7</v>
      </c>
      <c r="E976" s="8" t="s">
        <v>6</v>
      </c>
      <c r="F976" s="8" t="s">
        <v>430</v>
      </c>
      <c r="G976" s="8" t="s">
        <v>440</v>
      </c>
      <c r="H976" s="8" t="s">
        <v>436</v>
      </c>
      <c r="I976" s="7">
        <v>0</v>
      </c>
    </row>
    <row r="977" spans="2:9" ht="25" outlineLevel="2" x14ac:dyDescent="0.2">
      <c r="B977" s="8" t="s">
        <v>9</v>
      </c>
      <c r="C977" s="8" t="s">
        <v>8</v>
      </c>
      <c r="D977" s="8" t="s">
        <v>7</v>
      </c>
      <c r="E977" s="8" t="s">
        <v>6</v>
      </c>
      <c r="F977" s="8" t="s">
        <v>430</v>
      </c>
      <c r="G977" s="8" t="s">
        <v>439</v>
      </c>
      <c r="H977" s="8" t="s">
        <v>230</v>
      </c>
      <c r="I977" s="7">
        <v>0</v>
      </c>
    </row>
    <row r="978" spans="2:9" ht="25" outlineLevel="2" x14ac:dyDescent="0.2">
      <c r="B978" s="8" t="s">
        <v>9</v>
      </c>
      <c r="C978" s="8" t="s">
        <v>8</v>
      </c>
      <c r="D978" s="8" t="s">
        <v>7</v>
      </c>
      <c r="E978" s="8" t="s">
        <v>6</v>
      </c>
      <c r="F978" s="8" t="s">
        <v>430</v>
      </c>
      <c r="G978" s="8" t="s">
        <v>438</v>
      </c>
      <c r="H978" s="8" t="s">
        <v>436</v>
      </c>
      <c r="I978" s="7">
        <v>20249560</v>
      </c>
    </row>
    <row r="979" spans="2:9" ht="25" outlineLevel="2" x14ac:dyDescent="0.2">
      <c r="B979" s="8" t="s">
        <v>9</v>
      </c>
      <c r="C979" s="8" t="s">
        <v>8</v>
      </c>
      <c r="D979" s="8" t="s">
        <v>7</v>
      </c>
      <c r="E979" s="8" t="s">
        <v>6</v>
      </c>
      <c r="F979" s="8" t="s">
        <v>430</v>
      </c>
      <c r="G979" s="8" t="s">
        <v>437</v>
      </c>
      <c r="H979" s="8" t="s">
        <v>436</v>
      </c>
      <c r="I979" s="7">
        <v>0</v>
      </c>
    </row>
    <row r="980" spans="2:9" ht="25" outlineLevel="2" x14ac:dyDescent="0.2">
      <c r="B980" s="8" t="s">
        <v>9</v>
      </c>
      <c r="C980" s="8" t="s">
        <v>8</v>
      </c>
      <c r="D980" s="8" t="s">
        <v>7</v>
      </c>
      <c r="E980" s="8" t="s">
        <v>6</v>
      </c>
      <c r="F980" s="8" t="s">
        <v>430</v>
      </c>
      <c r="G980" s="8" t="s">
        <v>435</v>
      </c>
      <c r="H980" s="8" t="s">
        <v>230</v>
      </c>
      <c r="I980" s="7">
        <v>-2100183</v>
      </c>
    </row>
    <row r="981" spans="2:9" outlineLevel="2" x14ac:dyDescent="0.2">
      <c r="B981" s="8" t="s">
        <v>9</v>
      </c>
      <c r="C981" s="8" t="s">
        <v>8</v>
      </c>
      <c r="D981" s="8" t="s">
        <v>7</v>
      </c>
      <c r="E981" s="8" t="s">
        <v>6</v>
      </c>
      <c r="F981" s="8" t="s">
        <v>430</v>
      </c>
      <c r="G981" s="8" t="s">
        <v>434</v>
      </c>
      <c r="H981" s="8" t="s">
        <v>26</v>
      </c>
      <c r="I981" s="7">
        <v>2398072</v>
      </c>
    </row>
    <row r="982" spans="2:9" outlineLevel="2" x14ac:dyDescent="0.2">
      <c r="B982" s="8" t="s">
        <v>9</v>
      </c>
      <c r="C982" s="8" t="s">
        <v>8</v>
      </c>
      <c r="D982" s="8" t="s">
        <v>7</v>
      </c>
      <c r="E982" s="8" t="s">
        <v>6</v>
      </c>
      <c r="F982" s="8" t="s">
        <v>430</v>
      </c>
      <c r="G982" s="8" t="s">
        <v>222</v>
      </c>
      <c r="H982" s="8" t="s">
        <v>221</v>
      </c>
      <c r="I982" s="7">
        <v>0</v>
      </c>
    </row>
    <row r="983" spans="2:9" ht="25" outlineLevel="2" x14ac:dyDescent="0.2">
      <c r="B983" s="8" t="s">
        <v>9</v>
      </c>
      <c r="C983" s="8" t="s">
        <v>8</v>
      </c>
      <c r="D983" s="8" t="s">
        <v>7</v>
      </c>
      <c r="E983" s="8" t="s">
        <v>6</v>
      </c>
      <c r="F983" s="8" t="s">
        <v>430</v>
      </c>
      <c r="G983" s="8" t="s">
        <v>433</v>
      </c>
      <c r="H983" s="8" t="s">
        <v>230</v>
      </c>
      <c r="I983" s="7">
        <v>2100183</v>
      </c>
    </row>
    <row r="984" spans="2:9" ht="25" outlineLevel="2" x14ac:dyDescent="0.2">
      <c r="B984" s="8" t="s">
        <v>9</v>
      </c>
      <c r="C984" s="8" t="s">
        <v>8</v>
      </c>
      <c r="D984" s="8" t="s">
        <v>7</v>
      </c>
      <c r="E984" s="8" t="s">
        <v>6</v>
      </c>
      <c r="F984" s="8" t="s">
        <v>430</v>
      </c>
      <c r="G984" s="8" t="s">
        <v>432</v>
      </c>
      <c r="H984" s="8" t="s">
        <v>230</v>
      </c>
      <c r="I984" s="7">
        <v>0</v>
      </c>
    </row>
    <row r="985" spans="2:9" ht="25" outlineLevel="2" x14ac:dyDescent="0.2">
      <c r="B985" s="8" t="s">
        <v>9</v>
      </c>
      <c r="C985" s="8" t="s">
        <v>8</v>
      </c>
      <c r="D985" s="8" t="s">
        <v>7</v>
      </c>
      <c r="E985" s="8" t="s">
        <v>6</v>
      </c>
      <c r="F985" s="8" t="s">
        <v>430</v>
      </c>
      <c r="G985" s="8" t="s">
        <v>431</v>
      </c>
      <c r="H985" s="8" t="s">
        <v>230</v>
      </c>
      <c r="I985" s="7">
        <v>4300375</v>
      </c>
    </row>
    <row r="986" spans="2:9" outlineLevel="2" x14ac:dyDescent="0.2">
      <c r="B986" s="8" t="s">
        <v>9</v>
      </c>
      <c r="C986" s="8" t="s">
        <v>8</v>
      </c>
      <c r="D986" s="8" t="s">
        <v>7</v>
      </c>
      <c r="E986" s="8" t="s">
        <v>6</v>
      </c>
      <c r="F986" s="8" t="s">
        <v>430</v>
      </c>
      <c r="G986" s="8" t="s">
        <v>429</v>
      </c>
      <c r="H986" s="8" t="s">
        <v>26</v>
      </c>
      <c r="I986" s="7">
        <v>6400558</v>
      </c>
    </row>
    <row r="987" spans="2:9" outlineLevel="2" x14ac:dyDescent="0.2">
      <c r="B987" s="8"/>
      <c r="C987" s="8"/>
      <c r="D987" s="8"/>
      <c r="E987" s="8"/>
      <c r="F987" s="8"/>
      <c r="G987" s="8"/>
      <c r="H987" s="8"/>
      <c r="I987" s="7"/>
    </row>
    <row r="988" spans="2:9" outlineLevel="2" x14ac:dyDescent="0.2">
      <c r="B988" s="8" t="s">
        <v>9</v>
      </c>
      <c r="C988" s="8" t="s">
        <v>8</v>
      </c>
      <c r="D988" s="8" t="s">
        <v>7</v>
      </c>
      <c r="E988" s="8" t="s">
        <v>6</v>
      </c>
      <c r="F988" s="8" t="s">
        <v>416</v>
      </c>
      <c r="G988" s="8" t="s">
        <v>428</v>
      </c>
      <c r="H988" s="8" t="s">
        <v>11</v>
      </c>
      <c r="I988" s="7">
        <v>-35395021</v>
      </c>
    </row>
    <row r="989" spans="2:9" ht="25" outlineLevel="2" x14ac:dyDescent="0.2">
      <c r="B989" s="8" t="s">
        <v>9</v>
      </c>
      <c r="C989" s="8" t="s">
        <v>8</v>
      </c>
      <c r="D989" s="8" t="s">
        <v>7</v>
      </c>
      <c r="E989" s="8" t="s">
        <v>6</v>
      </c>
      <c r="F989" s="8" t="s">
        <v>416</v>
      </c>
      <c r="G989" s="8" t="s">
        <v>427</v>
      </c>
      <c r="H989" s="8" t="s">
        <v>422</v>
      </c>
      <c r="I989" s="7">
        <v>43646720</v>
      </c>
    </row>
    <row r="990" spans="2:9" ht="25" outlineLevel="2" x14ac:dyDescent="0.2">
      <c r="B990" s="8" t="s">
        <v>9</v>
      </c>
      <c r="C990" s="8" t="s">
        <v>8</v>
      </c>
      <c r="D990" s="8" t="s">
        <v>7</v>
      </c>
      <c r="E990" s="8" t="s">
        <v>6</v>
      </c>
      <c r="F990" s="8" t="s">
        <v>416</v>
      </c>
      <c r="G990" s="8" t="s">
        <v>426</v>
      </c>
      <c r="H990" s="8" t="s">
        <v>422</v>
      </c>
      <c r="I990" s="7">
        <v>0</v>
      </c>
    </row>
    <row r="991" spans="2:9" ht="25" outlineLevel="2" x14ac:dyDescent="0.2">
      <c r="B991" s="8" t="s">
        <v>9</v>
      </c>
      <c r="C991" s="8" t="s">
        <v>8</v>
      </c>
      <c r="D991" s="8" t="s">
        <v>7</v>
      </c>
      <c r="E991" s="8" t="s">
        <v>6</v>
      </c>
      <c r="F991" s="8" t="s">
        <v>416</v>
      </c>
      <c r="G991" s="8" t="s">
        <v>425</v>
      </c>
      <c r="H991" s="8" t="s">
        <v>218</v>
      </c>
      <c r="I991" s="7">
        <v>-3987925.6</v>
      </c>
    </row>
    <row r="992" spans="2:9" ht="25" outlineLevel="2" x14ac:dyDescent="0.2">
      <c r="B992" s="8" t="s">
        <v>9</v>
      </c>
      <c r="C992" s="8" t="s">
        <v>8</v>
      </c>
      <c r="D992" s="8" t="s">
        <v>7</v>
      </c>
      <c r="E992" s="8" t="s">
        <v>6</v>
      </c>
      <c r="F992" s="8" t="s">
        <v>416</v>
      </c>
      <c r="G992" s="8" t="s">
        <v>424</v>
      </c>
      <c r="H992" s="8" t="s">
        <v>422</v>
      </c>
      <c r="I992" s="7">
        <v>10911680</v>
      </c>
    </row>
    <row r="993" spans="2:9" ht="25" outlineLevel="2" x14ac:dyDescent="0.2">
      <c r="B993" s="8" t="s">
        <v>9</v>
      </c>
      <c r="C993" s="8" t="s">
        <v>8</v>
      </c>
      <c r="D993" s="8" t="s">
        <v>7</v>
      </c>
      <c r="E993" s="8" t="s">
        <v>6</v>
      </c>
      <c r="F993" s="8" t="s">
        <v>416</v>
      </c>
      <c r="G993" s="8" t="s">
        <v>423</v>
      </c>
      <c r="H993" s="8" t="s">
        <v>422</v>
      </c>
      <c r="I993" s="7">
        <v>0</v>
      </c>
    </row>
    <row r="994" spans="2:9" ht="25" outlineLevel="2" x14ac:dyDescent="0.2">
      <c r="B994" s="8" t="s">
        <v>9</v>
      </c>
      <c r="C994" s="8" t="s">
        <v>8</v>
      </c>
      <c r="D994" s="8" t="s">
        <v>7</v>
      </c>
      <c r="E994" s="8" t="s">
        <v>6</v>
      </c>
      <c r="F994" s="8" t="s">
        <v>416</v>
      </c>
      <c r="G994" s="8" t="s">
        <v>421</v>
      </c>
      <c r="H994" s="8" t="s">
        <v>218</v>
      </c>
      <c r="I994" s="7">
        <v>-996981.4</v>
      </c>
    </row>
    <row r="995" spans="2:9" outlineLevel="2" x14ac:dyDescent="0.2">
      <c r="B995" s="8" t="s">
        <v>9</v>
      </c>
      <c r="C995" s="8" t="s">
        <v>8</v>
      </c>
      <c r="D995" s="8" t="s">
        <v>7</v>
      </c>
      <c r="E995" s="8" t="s">
        <v>6</v>
      </c>
      <c r="F995" s="8" t="s">
        <v>416</v>
      </c>
      <c r="G995" s="8" t="s">
        <v>420</v>
      </c>
      <c r="H995" s="8" t="s">
        <v>26</v>
      </c>
      <c r="I995" s="7">
        <v>14178472</v>
      </c>
    </row>
    <row r="996" spans="2:9" outlineLevel="2" x14ac:dyDescent="0.2">
      <c r="B996" s="8" t="s">
        <v>9</v>
      </c>
      <c r="C996" s="8" t="s">
        <v>8</v>
      </c>
      <c r="D996" s="8" t="s">
        <v>7</v>
      </c>
      <c r="E996" s="8" t="s">
        <v>6</v>
      </c>
      <c r="F996" s="8" t="s">
        <v>416</v>
      </c>
      <c r="G996" s="8" t="s">
        <v>222</v>
      </c>
      <c r="H996" s="8" t="s">
        <v>221</v>
      </c>
      <c r="I996" s="7">
        <v>0</v>
      </c>
    </row>
    <row r="997" spans="2:9" ht="25" outlineLevel="2" x14ac:dyDescent="0.2">
      <c r="B997" s="8" t="s">
        <v>9</v>
      </c>
      <c r="C997" s="8" t="s">
        <v>8</v>
      </c>
      <c r="D997" s="8" t="s">
        <v>7</v>
      </c>
      <c r="E997" s="8" t="s">
        <v>6</v>
      </c>
      <c r="F997" s="8" t="s">
        <v>416</v>
      </c>
      <c r="G997" s="8" t="s">
        <v>419</v>
      </c>
      <c r="H997" s="8" t="s">
        <v>218</v>
      </c>
      <c r="I997" s="7">
        <v>4984907</v>
      </c>
    </row>
    <row r="998" spans="2:9" ht="25" outlineLevel="2" x14ac:dyDescent="0.2">
      <c r="B998" s="8" t="s">
        <v>9</v>
      </c>
      <c r="C998" s="8" t="s">
        <v>8</v>
      </c>
      <c r="D998" s="8" t="s">
        <v>7</v>
      </c>
      <c r="E998" s="8" t="s">
        <v>6</v>
      </c>
      <c r="F998" s="8" t="s">
        <v>416</v>
      </c>
      <c r="G998" s="8" t="s">
        <v>418</v>
      </c>
      <c r="H998" s="8" t="s">
        <v>218</v>
      </c>
      <c r="I998" s="7">
        <v>8106325.5999999996</v>
      </c>
    </row>
    <row r="999" spans="2:9" ht="25" outlineLevel="2" x14ac:dyDescent="0.2">
      <c r="B999" s="8" t="s">
        <v>9</v>
      </c>
      <c r="C999" s="8" t="s">
        <v>8</v>
      </c>
      <c r="D999" s="8" t="s">
        <v>7</v>
      </c>
      <c r="E999" s="8" t="s">
        <v>6</v>
      </c>
      <c r="F999" s="8" t="s">
        <v>416</v>
      </c>
      <c r="G999" s="8" t="s">
        <v>417</v>
      </c>
      <c r="H999" s="8" t="s">
        <v>218</v>
      </c>
      <c r="I999" s="7">
        <v>2026581.4</v>
      </c>
    </row>
    <row r="1000" spans="2:9" outlineLevel="2" x14ac:dyDescent="0.2">
      <c r="B1000" s="8" t="s">
        <v>9</v>
      </c>
      <c r="C1000" s="8" t="s">
        <v>8</v>
      </c>
      <c r="D1000" s="8" t="s">
        <v>7</v>
      </c>
      <c r="E1000" s="8" t="s">
        <v>6</v>
      </c>
      <c r="F1000" s="8" t="s">
        <v>416</v>
      </c>
      <c r="G1000" s="8" t="s">
        <v>415</v>
      </c>
      <c r="H1000" s="8" t="s">
        <v>26</v>
      </c>
      <c r="I1000" s="7">
        <v>15117814</v>
      </c>
    </row>
    <row r="1001" spans="2:9" outlineLevel="2" x14ac:dyDescent="0.2">
      <c r="B1001" s="8"/>
      <c r="C1001" s="8"/>
      <c r="D1001" s="8"/>
      <c r="E1001" s="8"/>
      <c r="F1001" s="8"/>
      <c r="G1001" s="8"/>
      <c r="H1001" s="8"/>
      <c r="I1001" s="7"/>
    </row>
    <row r="1002" spans="2:9" outlineLevel="2" x14ac:dyDescent="0.2">
      <c r="B1002" s="8" t="s">
        <v>9</v>
      </c>
      <c r="C1002" s="8" t="s">
        <v>8</v>
      </c>
      <c r="D1002" s="8" t="s">
        <v>7</v>
      </c>
      <c r="E1002" s="8" t="s">
        <v>6</v>
      </c>
      <c r="F1002" s="8" t="s">
        <v>408</v>
      </c>
      <c r="G1002" s="8" t="s">
        <v>414</v>
      </c>
      <c r="H1002" s="8" t="s">
        <v>11</v>
      </c>
      <c r="I1002" s="7">
        <v>-33853631</v>
      </c>
    </row>
    <row r="1003" spans="2:9" ht="25" outlineLevel="2" x14ac:dyDescent="0.2">
      <c r="B1003" s="8" t="s">
        <v>9</v>
      </c>
      <c r="C1003" s="8" t="s">
        <v>8</v>
      </c>
      <c r="D1003" s="8" t="s">
        <v>7</v>
      </c>
      <c r="E1003" s="8" t="s">
        <v>6</v>
      </c>
      <c r="F1003" s="8" t="s">
        <v>408</v>
      </c>
      <c r="G1003" s="8" t="s">
        <v>414</v>
      </c>
      <c r="H1003" s="8" t="s">
        <v>404</v>
      </c>
      <c r="I1003" s="7">
        <v>51830480</v>
      </c>
    </row>
    <row r="1004" spans="2:9" ht="25" outlineLevel="2" x14ac:dyDescent="0.2">
      <c r="B1004" s="8" t="s">
        <v>9</v>
      </c>
      <c r="C1004" s="8" t="s">
        <v>8</v>
      </c>
      <c r="D1004" s="8" t="s">
        <v>7</v>
      </c>
      <c r="E1004" s="8" t="s">
        <v>6</v>
      </c>
      <c r="F1004" s="8" t="s">
        <v>408</v>
      </c>
      <c r="G1004" s="8" t="s">
        <v>413</v>
      </c>
      <c r="H1004" s="8" t="s">
        <v>404</v>
      </c>
      <c r="I1004" s="7">
        <v>0</v>
      </c>
    </row>
    <row r="1005" spans="2:9" ht="25" outlineLevel="2" x14ac:dyDescent="0.2">
      <c r="B1005" s="8" t="s">
        <v>9</v>
      </c>
      <c r="C1005" s="8" t="s">
        <v>8</v>
      </c>
      <c r="D1005" s="8" t="s">
        <v>7</v>
      </c>
      <c r="E1005" s="8" t="s">
        <v>6</v>
      </c>
      <c r="F1005" s="8" t="s">
        <v>408</v>
      </c>
      <c r="G1005" s="8" t="s">
        <v>412</v>
      </c>
      <c r="H1005" s="8" t="s">
        <v>218</v>
      </c>
      <c r="I1005" s="7">
        <v>-4957962</v>
      </c>
    </row>
    <row r="1006" spans="2:9" outlineLevel="2" x14ac:dyDescent="0.2">
      <c r="B1006" s="8" t="s">
        <v>9</v>
      </c>
      <c r="C1006" s="8" t="s">
        <v>8</v>
      </c>
      <c r="D1006" s="8" t="s">
        <v>7</v>
      </c>
      <c r="E1006" s="8" t="s">
        <v>6</v>
      </c>
      <c r="F1006" s="8" t="s">
        <v>408</v>
      </c>
      <c r="G1006" s="8" t="s">
        <v>411</v>
      </c>
      <c r="H1006" s="8" t="s">
        <v>26</v>
      </c>
      <c r="I1006" s="7">
        <v>13018887</v>
      </c>
    </row>
    <row r="1007" spans="2:9" outlineLevel="2" x14ac:dyDescent="0.2">
      <c r="B1007" s="8" t="s">
        <v>9</v>
      </c>
      <c r="C1007" s="8" t="s">
        <v>8</v>
      </c>
      <c r="D1007" s="8" t="s">
        <v>7</v>
      </c>
      <c r="E1007" s="8" t="s">
        <v>6</v>
      </c>
      <c r="F1007" s="8" t="s">
        <v>408</v>
      </c>
      <c r="G1007" s="8" t="s">
        <v>222</v>
      </c>
      <c r="H1007" s="8" t="s">
        <v>221</v>
      </c>
      <c r="I1007" s="7">
        <v>0</v>
      </c>
    </row>
    <row r="1008" spans="2:9" ht="25" outlineLevel="2" x14ac:dyDescent="0.2">
      <c r="B1008" s="8" t="s">
        <v>9</v>
      </c>
      <c r="C1008" s="8" t="s">
        <v>8</v>
      </c>
      <c r="D1008" s="8" t="s">
        <v>7</v>
      </c>
      <c r="E1008" s="8" t="s">
        <v>6</v>
      </c>
      <c r="F1008" s="8" t="s">
        <v>408</v>
      </c>
      <c r="G1008" s="8" t="s">
        <v>410</v>
      </c>
      <c r="H1008" s="8" t="s">
        <v>218</v>
      </c>
      <c r="I1008" s="7">
        <v>4957962</v>
      </c>
    </row>
    <row r="1009" spans="2:9" ht="25" outlineLevel="2" x14ac:dyDescent="0.2">
      <c r="B1009" s="8" t="s">
        <v>9</v>
      </c>
      <c r="C1009" s="8" t="s">
        <v>8</v>
      </c>
      <c r="D1009" s="8" t="s">
        <v>7</v>
      </c>
      <c r="E1009" s="8" t="s">
        <v>6</v>
      </c>
      <c r="F1009" s="8" t="s">
        <v>408</v>
      </c>
      <c r="G1009" s="8" t="s">
        <v>409</v>
      </c>
      <c r="H1009" s="8" t="s">
        <v>218</v>
      </c>
      <c r="I1009" s="7">
        <v>10105962</v>
      </c>
    </row>
    <row r="1010" spans="2:9" outlineLevel="2" x14ac:dyDescent="0.2">
      <c r="B1010" s="8" t="s">
        <v>9</v>
      </c>
      <c r="C1010" s="8" t="s">
        <v>8</v>
      </c>
      <c r="D1010" s="8" t="s">
        <v>7</v>
      </c>
      <c r="E1010" s="8" t="s">
        <v>6</v>
      </c>
      <c r="F1010" s="8" t="s">
        <v>408</v>
      </c>
      <c r="G1010" s="8" t="s">
        <v>407</v>
      </c>
      <c r="H1010" s="8" t="s">
        <v>26</v>
      </c>
      <c r="I1010" s="7">
        <v>15063924</v>
      </c>
    </row>
    <row r="1011" spans="2:9" outlineLevel="2" x14ac:dyDescent="0.2">
      <c r="B1011" s="8"/>
      <c r="C1011" s="8"/>
      <c r="D1011" s="8"/>
      <c r="E1011" s="8"/>
      <c r="F1011" s="8"/>
      <c r="G1011" s="8"/>
      <c r="H1011" s="8"/>
      <c r="I1011" s="7"/>
    </row>
    <row r="1012" spans="2:9" outlineLevel="2" x14ac:dyDescent="0.2">
      <c r="B1012" s="8" t="s">
        <v>9</v>
      </c>
      <c r="C1012" s="8" t="s">
        <v>8</v>
      </c>
      <c r="D1012" s="8" t="s">
        <v>7</v>
      </c>
      <c r="E1012" s="8" t="s">
        <v>6</v>
      </c>
      <c r="F1012" s="8" t="s">
        <v>399</v>
      </c>
      <c r="G1012" s="8" t="s">
        <v>406</v>
      </c>
      <c r="H1012" s="8" t="s">
        <v>11</v>
      </c>
      <c r="I1012" s="7">
        <v>-35395021</v>
      </c>
    </row>
    <row r="1013" spans="2:9" ht="25" outlineLevel="2" x14ac:dyDescent="0.2">
      <c r="B1013" s="8" t="s">
        <v>9</v>
      </c>
      <c r="C1013" s="8" t="s">
        <v>8</v>
      </c>
      <c r="D1013" s="8" t="s">
        <v>7</v>
      </c>
      <c r="E1013" s="8" t="s">
        <v>6</v>
      </c>
      <c r="F1013" s="8" t="s">
        <v>399</v>
      </c>
      <c r="G1013" s="8" t="s">
        <v>406</v>
      </c>
      <c r="H1013" s="8" t="s">
        <v>404</v>
      </c>
      <c r="I1013" s="7">
        <v>54558400</v>
      </c>
    </row>
    <row r="1014" spans="2:9" ht="25" outlineLevel="2" x14ac:dyDescent="0.2">
      <c r="B1014" s="8" t="s">
        <v>9</v>
      </c>
      <c r="C1014" s="8" t="s">
        <v>8</v>
      </c>
      <c r="D1014" s="8" t="s">
        <v>7</v>
      </c>
      <c r="E1014" s="8" t="s">
        <v>6</v>
      </c>
      <c r="F1014" s="8" t="s">
        <v>399</v>
      </c>
      <c r="G1014" s="8" t="s">
        <v>405</v>
      </c>
      <c r="H1014" s="8" t="s">
        <v>404</v>
      </c>
      <c r="I1014" s="7">
        <v>0</v>
      </c>
    </row>
    <row r="1015" spans="2:9" ht="25" outlineLevel="2" x14ac:dyDescent="0.2">
      <c r="B1015" s="8" t="s">
        <v>9</v>
      </c>
      <c r="C1015" s="8" t="s">
        <v>8</v>
      </c>
      <c r="D1015" s="8" t="s">
        <v>7</v>
      </c>
      <c r="E1015" s="8" t="s">
        <v>6</v>
      </c>
      <c r="F1015" s="8" t="s">
        <v>399</v>
      </c>
      <c r="G1015" s="8" t="s">
        <v>403</v>
      </c>
      <c r="H1015" s="8" t="s">
        <v>218</v>
      </c>
      <c r="I1015" s="7">
        <v>-4984907</v>
      </c>
    </row>
    <row r="1016" spans="2:9" outlineLevel="2" x14ac:dyDescent="0.2">
      <c r="B1016" s="8" t="s">
        <v>9</v>
      </c>
      <c r="C1016" s="8" t="s">
        <v>8</v>
      </c>
      <c r="D1016" s="8" t="s">
        <v>7</v>
      </c>
      <c r="E1016" s="8" t="s">
        <v>6</v>
      </c>
      <c r="F1016" s="8" t="s">
        <v>399</v>
      </c>
      <c r="G1016" s="8" t="s">
        <v>402</v>
      </c>
      <c r="H1016" s="8" t="s">
        <v>26</v>
      </c>
      <c r="I1016" s="7">
        <v>14178472</v>
      </c>
    </row>
    <row r="1017" spans="2:9" outlineLevel="2" x14ac:dyDescent="0.2">
      <c r="B1017" s="8" t="s">
        <v>9</v>
      </c>
      <c r="C1017" s="8" t="s">
        <v>8</v>
      </c>
      <c r="D1017" s="8" t="s">
        <v>7</v>
      </c>
      <c r="E1017" s="8" t="s">
        <v>6</v>
      </c>
      <c r="F1017" s="8" t="s">
        <v>399</v>
      </c>
      <c r="G1017" s="8" t="s">
        <v>222</v>
      </c>
      <c r="H1017" s="8" t="s">
        <v>221</v>
      </c>
      <c r="I1017" s="7">
        <v>0</v>
      </c>
    </row>
    <row r="1018" spans="2:9" ht="25" outlineLevel="2" x14ac:dyDescent="0.2">
      <c r="B1018" s="8" t="s">
        <v>9</v>
      </c>
      <c r="C1018" s="8" t="s">
        <v>8</v>
      </c>
      <c r="D1018" s="8" t="s">
        <v>7</v>
      </c>
      <c r="E1018" s="8" t="s">
        <v>6</v>
      </c>
      <c r="F1018" s="8" t="s">
        <v>399</v>
      </c>
      <c r="G1018" s="8" t="s">
        <v>401</v>
      </c>
      <c r="H1018" s="8" t="s">
        <v>218</v>
      </c>
      <c r="I1018" s="7">
        <v>4984907</v>
      </c>
    </row>
    <row r="1019" spans="2:9" ht="25" outlineLevel="2" x14ac:dyDescent="0.2">
      <c r="B1019" s="8" t="s">
        <v>9</v>
      </c>
      <c r="C1019" s="8" t="s">
        <v>8</v>
      </c>
      <c r="D1019" s="8" t="s">
        <v>7</v>
      </c>
      <c r="E1019" s="8" t="s">
        <v>6</v>
      </c>
      <c r="F1019" s="8" t="s">
        <v>399</v>
      </c>
      <c r="G1019" s="8" t="s">
        <v>400</v>
      </c>
      <c r="H1019" s="8" t="s">
        <v>218</v>
      </c>
      <c r="I1019" s="7">
        <v>10132907</v>
      </c>
    </row>
    <row r="1020" spans="2:9" outlineLevel="2" x14ac:dyDescent="0.2">
      <c r="B1020" s="8" t="s">
        <v>9</v>
      </c>
      <c r="C1020" s="8" t="s">
        <v>8</v>
      </c>
      <c r="D1020" s="8" t="s">
        <v>7</v>
      </c>
      <c r="E1020" s="8" t="s">
        <v>6</v>
      </c>
      <c r="F1020" s="8" t="s">
        <v>399</v>
      </c>
      <c r="G1020" s="8" t="s">
        <v>398</v>
      </c>
      <c r="H1020" s="8" t="s">
        <v>26</v>
      </c>
      <c r="I1020" s="7">
        <v>15117814</v>
      </c>
    </row>
    <row r="1021" spans="2:9" outlineLevel="2" x14ac:dyDescent="0.2">
      <c r="B1021" s="8"/>
      <c r="C1021" s="8"/>
      <c r="D1021" s="8"/>
      <c r="E1021" s="8"/>
      <c r="F1021" s="8"/>
      <c r="G1021" s="8"/>
      <c r="H1021" s="8"/>
      <c r="I1021" s="7"/>
    </row>
    <row r="1022" spans="2:9" outlineLevel="2" x14ac:dyDescent="0.2">
      <c r="B1022" s="8" t="s">
        <v>9</v>
      </c>
      <c r="C1022" s="8" t="s">
        <v>8</v>
      </c>
      <c r="D1022" s="8" t="s">
        <v>7</v>
      </c>
      <c r="E1022" s="8" t="s">
        <v>6</v>
      </c>
      <c r="F1022" s="8" t="s">
        <v>389</v>
      </c>
      <c r="G1022" s="8" t="s">
        <v>397</v>
      </c>
      <c r="H1022" s="8" t="s">
        <v>11</v>
      </c>
      <c r="I1022" s="7">
        <v>-29271246</v>
      </c>
    </row>
    <row r="1023" spans="2:9" ht="25" outlineLevel="2" x14ac:dyDescent="0.2">
      <c r="B1023" s="8" t="s">
        <v>9</v>
      </c>
      <c r="C1023" s="8" t="s">
        <v>8</v>
      </c>
      <c r="D1023" s="8" t="s">
        <v>7</v>
      </c>
      <c r="E1023" s="8" t="s">
        <v>6</v>
      </c>
      <c r="F1023" s="8" t="s">
        <v>389</v>
      </c>
      <c r="G1023" s="8" t="s">
        <v>396</v>
      </c>
      <c r="H1023" s="8" t="s">
        <v>394</v>
      </c>
      <c r="I1023" s="7">
        <v>22295500</v>
      </c>
    </row>
    <row r="1024" spans="2:9" ht="25" outlineLevel="2" x14ac:dyDescent="0.2">
      <c r="B1024" s="8" t="s">
        <v>9</v>
      </c>
      <c r="C1024" s="8" t="s">
        <v>8</v>
      </c>
      <c r="D1024" s="8" t="s">
        <v>7</v>
      </c>
      <c r="E1024" s="8" t="s">
        <v>6</v>
      </c>
      <c r="F1024" s="8" t="s">
        <v>389</v>
      </c>
      <c r="G1024" s="8" t="s">
        <v>395</v>
      </c>
      <c r="H1024" s="8" t="s">
        <v>394</v>
      </c>
      <c r="I1024" s="7">
        <v>0</v>
      </c>
    </row>
    <row r="1025" spans="2:9" ht="25" outlineLevel="2" x14ac:dyDescent="0.2">
      <c r="B1025" s="8" t="s">
        <v>9</v>
      </c>
      <c r="C1025" s="8" t="s">
        <v>8</v>
      </c>
      <c r="D1025" s="8" t="s">
        <v>7</v>
      </c>
      <c r="E1025" s="8" t="s">
        <v>6</v>
      </c>
      <c r="F1025" s="8" t="s">
        <v>389</v>
      </c>
      <c r="G1025" s="8" t="s">
        <v>393</v>
      </c>
      <c r="H1025" s="8" t="s">
        <v>218</v>
      </c>
      <c r="I1025" s="7">
        <v>-2312378.5</v>
      </c>
    </row>
    <row r="1026" spans="2:9" ht="25" outlineLevel="2" x14ac:dyDescent="0.2">
      <c r="B1026" s="8" t="s">
        <v>9</v>
      </c>
      <c r="C1026" s="8" t="s">
        <v>8</v>
      </c>
      <c r="D1026" s="8" t="s">
        <v>7</v>
      </c>
      <c r="E1026" s="8" t="s">
        <v>6</v>
      </c>
      <c r="F1026" s="8" t="s">
        <v>389</v>
      </c>
      <c r="G1026" s="8" t="s">
        <v>396</v>
      </c>
      <c r="H1026" s="8" t="s">
        <v>394</v>
      </c>
      <c r="I1026" s="7">
        <v>22295500</v>
      </c>
    </row>
    <row r="1027" spans="2:9" ht="25" outlineLevel="2" x14ac:dyDescent="0.2">
      <c r="B1027" s="8" t="s">
        <v>9</v>
      </c>
      <c r="C1027" s="8" t="s">
        <v>8</v>
      </c>
      <c r="D1027" s="8" t="s">
        <v>7</v>
      </c>
      <c r="E1027" s="8" t="s">
        <v>6</v>
      </c>
      <c r="F1027" s="8" t="s">
        <v>389</v>
      </c>
      <c r="G1027" s="8" t="s">
        <v>395</v>
      </c>
      <c r="H1027" s="8" t="s">
        <v>394</v>
      </c>
      <c r="I1027" s="7">
        <v>0</v>
      </c>
    </row>
    <row r="1028" spans="2:9" ht="25" outlineLevel="2" x14ac:dyDescent="0.2">
      <c r="B1028" s="8" t="s">
        <v>9</v>
      </c>
      <c r="C1028" s="8" t="s">
        <v>8</v>
      </c>
      <c r="D1028" s="8" t="s">
        <v>7</v>
      </c>
      <c r="E1028" s="8" t="s">
        <v>6</v>
      </c>
      <c r="F1028" s="8" t="s">
        <v>389</v>
      </c>
      <c r="G1028" s="8" t="s">
        <v>393</v>
      </c>
      <c r="H1028" s="8" t="s">
        <v>218</v>
      </c>
      <c r="I1028" s="7">
        <v>-2312378.5</v>
      </c>
    </row>
    <row r="1029" spans="2:9" outlineLevel="2" x14ac:dyDescent="0.2">
      <c r="B1029" s="8" t="s">
        <v>9</v>
      </c>
      <c r="C1029" s="8" t="s">
        <v>8</v>
      </c>
      <c r="D1029" s="8" t="s">
        <v>7</v>
      </c>
      <c r="E1029" s="8" t="s">
        <v>6</v>
      </c>
      <c r="F1029" s="8" t="s">
        <v>389</v>
      </c>
      <c r="G1029" s="8" t="s">
        <v>392</v>
      </c>
      <c r="H1029" s="8" t="s">
        <v>26</v>
      </c>
      <c r="I1029" s="7">
        <v>10694997</v>
      </c>
    </row>
    <row r="1030" spans="2:9" outlineLevel="2" x14ac:dyDescent="0.2">
      <c r="B1030" s="8" t="s">
        <v>9</v>
      </c>
      <c r="C1030" s="8" t="s">
        <v>8</v>
      </c>
      <c r="D1030" s="8" t="s">
        <v>7</v>
      </c>
      <c r="E1030" s="8" t="s">
        <v>6</v>
      </c>
      <c r="F1030" s="8" t="s">
        <v>389</v>
      </c>
      <c r="G1030" s="8" t="s">
        <v>222</v>
      </c>
      <c r="H1030" s="8" t="s">
        <v>221</v>
      </c>
      <c r="I1030" s="7">
        <v>0</v>
      </c>
    </row>
    <row r="1031" spans="2:9" ht="25" outlineLevel="2" x14ac:dyDescent="0.2">
      <c r="B1031" s="8" t="s">
        <v>9</v>
      </c>
      <c r="C1031" s="8" t="s">
        <v>8</v>
      </c>
      <c r="D1031" s="8" t="s">
        <v>7</v>
      </c>
      <c r="E1031" s="8" t="s">
        <v>6</v>
      </c>
      <c r="F1031" s="8" t="s">
        <v>389</v>
      </c>
      <c r="G1031" s="8" t="s">
        <v>391</v>
      </c>
      <c r="H1031" s="8" t="s">
        <v>218</v>
      </c>
      <c r="I1031" s="7">
        <v>4624757</v>
      </c>
    </row>
    <row r="1032" spans="2:9" ht="25" outlineLevel="2" x14ac:dyDescent="0.2">
      <c r="B1032" s="8" t="s">
        <v>9</v>
      </c>
      <c r="C1032" s="8" t="s">
        <v>8</v>
      </c>
      <c r="D1032" s="8" t="s">
        <v>7</v>
      </c>
      <c r="E1032" s="8" t="s">
        <v>6</v>
      </c>
      <c r="F1032" s="8" t="s">
        <v>389</v>
      </c>
      <c r="G1032" s="8" t="s">
        <v>390</v>
      </c>
      <c r="H1032" s="8" t="s">
        <v>218</v>
      </c>
      <c r="I1032" s="7">
        <v>4734870</v>
      </c>
    </row>
    <row r="1033" spans="2:9" ht="25" outlineLevel="2" x14ac:dyDescent="0.2">
      <c r="B1033" s="8" t="s">
        <v>9</v>
      </c>
      <c r="C1033" s="8" t="s">
        <v>8</v>
      </c>
      <c r="D1033" s="8" t="s">
        <v>7</v>
      </c>
      <c r="E1033" s="8" t="s">
        <v>6</v>
      </c>
      <c r="F1033" s="8" t="s">
        <v>389</v>
      </c>
      <c r="G1033" s="8" t="s">
        <v>390</v>
      </c>
      <c r="H1033" s="8" t="s">
        <v>218</v>
      </c>
      <c r="I1033" s="7">
        <v>4734870</v>
      </c>
    </row>
    <row r="1034" spans="2:9" outlineLevel="2" x14ac:dyDescent="0.2">
      <c r="B1034" s="8" t="s">
        <v>9</v>
      </c>
      <c r="C1034" s="8" t="s">
        <v>8</v>
      </c>
      <c r="D1034" s="8" t="s">
        <v>7</v>
      </c>
      <c r="E1034" s="8" t="s">
        <v>6</v>
      </c>
      <c r="F1034" s="8" t="s">
        <v>389</v>
      </c>
      <c r="G1034" s="8" t="s">
        <v>388</v>
      </c>
      <c r="H1034" s="8" t="s">
        <v>26</v>
      </c>
      <c r="I1034" s="7">
        <v>14094497</v>
      </c>
    </row>
    <row r="1035" spans="2:9" outlineLevel="2" x14ac:dyDescent="0.2">
      <c r="B1035" s="8"/>
      <c r="C1035" s="8"/>
      <c r="D1035" s="8"/>
      <c r="E1035" s="8"/>
      <c r="F1035" s="8"/>
      <c r="G1035" s="8"/>
      <c r="H1035" s="8"/>
      <c r="I1035" s="7"/>
    </row>
    <row r="1036" spans="2:9" outlineLevel="2" x14ac:dyDescent="0.2">
      <c r="B1036" s="8" t="s">
        <v>9</v>
      </c>
      <c r="C1036" s="8" t="s">
        <v>8</v>
      </c>
      <c r="D1036" s="8" t="s">
        <v>7</v>
      </c>
      <c r="E1036" s="8" t="s">
        <v>6</v>
      </c>
      <c r="F1036" s="8" t="s">
        <v>378</v>
      </c>
      <c r="G1036" s="8" t="s">
        <v>387</v>
      </c>
      <c r="H1036" s="8" t="s">
        <v>11</v>
      </c>
      <c r="I1036" s="7">
        <v>-47329616</v>
      </c>
    </row>
    <row r="1037" spans="2:9" ht="25" outlineLevel="2" x14ac:dyDescent="0.2">
      <c r="B1037" s="8" t="s">
        <v>9</v>
      </c>
      <c r="C1037" s="8" t="s">
        <v>8</v>
      </c>
      <c r="D1037" s="8" t="s">
        <v>7</v>
      </c>
      <c r="E1037" s="8" t="s">
        <v>6</v>
      </c>
      <c r="F1037" s="8" t="s">
        <v>378</v>
      </c>
      <c r="G1037" s="8" t="s">
        <v>386</v>
      </c>
      <c r="H1037" s="8" t="s">
        <v>384</v>
      </c>
      <c r="I1037" s="7">
        <v>37836775</v>
      </c>
    </row>
    <row r="1038" spans="2:9" ht="25" outlineLevel="2" x14ac:dyDescent="0.2">
      <c r="B1038" s="8" t="s">
        <v>9</v>
      </c>
      <c r="C1038" s="8" t="s">
        <v>8</v>
      </c>
      <c r="D1038" s="8" t="s">
        <v>7</v>
      </c>
      <c r="E1038" s="8" t="s">
        <v>6</v>
      </c>
      <c r="F1038" s="8" t="s">
        <v>378</v>
      </c>
      <c r="G1038" s="8" t="s">
        <v>385</v>
      </c>
      <c r="H1038" s="8" t="s">
        <v>384</v>
      </c>
      <c r="I1038" s="7">
        <v>0</v>
      </c>
    </row>
    <row r="1039" spans="2:9" ht="25" outlineLevel="2" x14ac:dyDescent="0.2">
      <c r="B1039" s="8" t="s">
        <v>9</v>
      </c>
      <c r="C1039" s="8" t="s">
        <v>8</v>
      </c>
      <c r="D1039" s="8" t="s">
        <v>7</v>
      </c>
      <c r="E1039" s="8" t="s">
        <v>6</v>
      </c>
      <c r="F1039" s="8" t="s">
        <v>378</v>
      </c>
      <c r="G1039" s="8" t="s">
        <v>383</v>
      </c>
      <c r="H1039" s="8" t="s">
        <v>379</v>
      </c>
      <c r="I1039" s="7">
        <v>-2596737.5</v>
      </c>
    </row>
    <row r="1040" spans="2:9" ht="25" outlineLevel="2" x14ac:dyDescent="0.2">
      <c r="B1040" s="8" t="s">
        <v>9</v>
      </c>
      <c r="C1040" s="8" t="s">
        <v>8</v>
      </c>
      <c r="D1040" s="8" t="s">
        <v>7</v>
      </c>
      <c r="E1040" s="8" t="s">
        <v>6</v>
      </c>
      <c r="F1040" s="8" t="s">
        <v>378</v>
      </c>
      <c r="G1040" s="8" t="s">
        <v>386</v>
      </c>
      <c r="H1040" s="8" t="s">
        <v>384</v>
      </c>
      <c r="I1040" s="7">
        <v>37836775</v>
      </c>
    </row>
    <row r="1041" spans="2:9" ht="25" outlineLevel="2" x14ac:dyDescent="0.2">
      <c r="B1041" s="8" t="s">
        <v>9</v>
      </c>
      <c r="C1041" s="8" t="s">
        <v>8</v>
      </c>
      <c r="D1041" s="8" t="s">
        <v>7</v>
      </c>
      <c r="E1041" s="8" t="s">
        <v>6</v>
      </c>
      <c r="F1041" s="8" t="s">
        <v>378</v>
      </c>
      <c r="G1041" s="8" t="s">
        <v>385</v>
      </c>
      <c r="H1041" s="8" t="s">
        <v>384</v>
      </c>
      <c r="I1041" s="7">
        <v>0</v>
      </c>
    </row>
    <row r="1042" spans="2:9" ht="25" outlineLevel="2" x14ac:dyDescent="0.2">
      <c r="B1042" s="8" t="s">
        <v>9</v>
      </c>
      <c r="C1042" s="8" t="s">
        <v>8</v>
      </c>
      <c r="D1042" s="8" t="s">
        <v>7</v>
      </c>
      <c r="E1042" s="8" t="s">
        <v>6</v>
      </c>
      <c r="F1042" s="8" t="s">
        <v>378</v>
      </c>
      <c r="G1042" s="8" t="s">
        <v>383</v>
      </c>
      <c r="H1042" s="8" t="s">
        <v>379</v>
      </c>
      <c r="I1042" s="7">
        <v>-2596737.5</v>
      </c>
    </row>
    <row r="1043" spans="2:9" outlineLevel="2" x14ac:dyDescent="0.2">
      <c r="B1043" s="8" t="s">
        <v>9</v>
      </c>
      <c r="C1043" s="8" t="s">
        <v>8</v>
      </c>
      <c r="D1043" s="8" t="s">
        <v>7</v>
      </c>
      <c r="E1043" s="8" t="s">
        <v>6</v>
      </c>
      <c r="F1043" s="8" t="s">
        <v>378</v>
      </c>
      <c r="G1043" s="8" t="s">
        <v>382</v>
      </c>
      <c r="H1043" s="8" t="s">
        <v>26</v>
      </c>
      <c r="I1043" s="7">
        <v>23150459</v>
      </c>
    </row>
    <row r="1044" spans="2:9" outlineLevel="2" x14ac:dyDescent="0.2">
      <c r="B1044" s="8" t="s">
        <v>9</v>
      </c>
      <c r="C1044" s="8" t="s">
        <v>8</v>
      </c>
      <c r="D1044" s="8" t="s">
        <v>7</v>
      </c>
      <c r="E1044" s="8" t="s">
        <v>6</v>
      </c>
      <c r="F1044" s="8" t="s">
        <v>378</v>
      </c>
      <c r="G1044" s="8" t="s">
        <v>222</v>
      </c>
      <c r="H1044" s="8" t="s">
        <v>221</v>
      </c>
      <c r="I1044" s="7">
        <v>0</v>
      </c>
    </row>
    <row r="1045" spans="2:9" ht="25" outlineLevel="2" x14ac:dyDescent="0.2">
      <c r="B1045" s="8" t="s">
        <v>9</v>
      </c>
      <c r="C1045" s="8" t="s">
        <v>8</v>
      </c>
      <c r="D1045" s="8" t="s">
        <v>7</v>
      </c>
      <c r="E1045" s="8" t="s">
        <v>6</v>
      </c>
      <c r="F1045" s="8" t="s">
        <v>378</v>
      </c>
      <c r="G1045" s="8" t="s">
        <v>381</v>
      </c>
      <c r="H1045" s="8" t="s">
        <v>379</v>
      </c>
      <c r="I1045" s="7">
        <v>5193475</v>
      </c>
    </row>
    <row r="1046" spans="2:9" ht="25" outlineLevel="2" x14ac:dyDescent="0.2">
      <c r="B1046" s="8" t="s">
        <v>9</v>
      </c>
      <c r="C1046" s="8" t="s">
        <v>8</v>
      </c>
      <c r="D1046" s="8" t="s">
        <v>7</v>
      </c>
      <c r="E1046" s="8" t="s">
        <v>6</v>
      </c>
      <c r="F1046" s="8" t="s">
        <v>378</v>
      </c>
      <c r="G1046" s="8" t="s">
        <v>380</v>
      </c>
      <c r="H1046" s="8" t="s">
        <v>379</v>
      </c>
      <c r="I1046" s="7">
        <v>5170737.5</v>
      </c>
    </row>
    <row r="1047" spans="2:9" ht="25" outlineLevel="2" x14ac:dyDescent="0.2">
      <c r="B1047" s="8" t="s">
        <v>9</v>
      </c>
      <c r="C1047" s="8" t="s">
        <v>8</v>
      </c>
      <c r="D1047" s="8" t="s">
        <v>7</v>
      </c>
      <c r="E1047" s="8" t="s">
        <v>6</v>
      </c>
      <c r="F1047" s="8" t="s">
        <v>378</v>
      </c>
      <c r="G1047" s="8" t="s">
        <v>380</v>
      </c>
      <c r="H1047" s="8" t="s">
        <v>379</v>
      </c>
      <c r="I1047" s="7">
        <v>5170737.5</v>
      </c>
    </row>
    <row r="1048" spans="2:9" outlineLevel="2" x14ac:dyDescent="0.2">
      <c r="B1048" s="8" t="s">
        <v>9</v>
      </c>
      <c r="C1048" s="8" t="s">
        <v>8</v>
      </c>
      <c r="D1048" s="8" t="s">
        <v>7</v>
      </c>
      <c r="E1048" s="8" t="s">
        <v>6</v>
      </c>
      <c r="F1048" s="8" t="s">
        <v>378</v>
      </c>
      <c r="G1048" s="8" t="s">
        <v>377</v>
      </c>
      <c r="H1048" s="8" t="s">
        <v>26</v>
      </c>
      <c r="I1048" s="7">
        <v>15534950</v>
      </c>
    </row>
    <row r="1049" spans="2:9" outlineLevel="2" x14ac:dyDescent="0.2">
      <c r="B1049" s="8"/>
      <c r="C1049" s="8"/>
      <c r="D1049" s="8"/>
      <c r="E1049" s="8"/>
      <c r="F1049" s="8"/>
      <c r="G1049" s="8"/>
      <c r="H1049" s="8"/>
      <c r="I1049" s="7"/>
    </row>
    <row r="1050" spans="2:9" outlineLevel="2" x14ac:dyDescent="0.2">
      <c r="B1050" s="8" t="s">
        <v>9</v>
      </c>
      <c r="C1050" s="8" t="s">
        <v>8</v>
      </c>
      <c r="D1050" s="8" t="s">
        <v>7</v>
      </c>
      <c r="E1050" s="8" t="s">
        <v>6</v>
      </c>
      <c r="F1050" s="8" t="s">
        <v>23</v>
      </c>
      <c r="G1050" s="8" t="s">
        <v>376</v>
      </c>
      <c r="H1050" s="8" t="s">
        <v>11</v>
      </c>
      <c r="I1050" s="7">
        <v>-25903126</v>
      </c>
    </row>
    <row r="1051" spans="2:9" ht="25" outlineLevel="2" x14ac:dyDescent="0.2">
      <c r="B1051" s="8" t="s">
        <v>9</v>
      </c>
      <c r="C1051" s="8" t="s">
        <v>8</v>
      </c>
      <c r="D1051" s="8" t="s">
        <v>7</v>
      </c>
      <c r="E1051" s="8" t="s">
        <v>6</v>
      </c>
      <c r="F1051" s="8" t="s">
        <v>23</v>
      </c>
      <c r="G1051" s="8" t="s">
        <v>376</v>
      </c>
      <c r="H1051" s="8" t="s">
        <v>10</v>
      </c>
      <c r="I1051" s="7">
        <v>27695200</v>
      </c>
    </row>
    <row r="1052" spans="2:9" ht="25" outlineLevel="2" x14ac:dyDescent="0.2">
      <c r="B1052" s="8" t="s">
        <v>9</v>
      </c>
      <c r="C1052" s="8" t="s">
        <v>8</v>
      </c>
      <c r="D1052" s="8" t="s">
        <v>7</v>
      </c>
      <c r="E1052" s="8" t="s">
        <v>6</v>
      </c>
      <c r="F1052" s="8" t="s">
        <v>23</v>
      </c>
      <c r="G1052" s="8" t="s">
        <v>375</v>
      </c>
      <c r="H1052" s="8" t="s">
        <v>10</v>
      </c>
      <c r="I1052" s="7">
        <v>2790000</v>
      </c>
    </row>
    <row r="1053" spans="2:9" ht="25" outlineLevel="2" x14ac:dyDescent="0.2">
      <c r="B1053" s="8" t="s">
        <v>9</v>
      </c>
      <c r="C1053" s="8" t="s">
        <v>8</v>
      </c>
      <c r="D1053" s="8" t="s">
        <v>7</v>
      </c>
      <c r="E1053" s="8" t="s">
        <v>6</v>
      </c>
      <c r="F1053" s="8" t="s">
        <v>23</v>
      </c>
      <c r="G1053" s="8" t="s">
        <v>374</v>
      </c>
      <c r="H1053" s="8" t="s">
        <v>61</v>
      </c>
      <c r="I1053" s="7">
        <v>360000</v>
      </c>
    </row>
    <row r="1054" spans="2:9" ht="25" outlineLevel="2" x14ac:dyDescent="0.2">
      <c r="B1054" s="8" t="s">
        <v>9</v>
      </c>
      <c r="C1054" s="8" t="s">
        <v>8</v>
      </c>
      <c r="D1054" s="8" t="s">
        <v>7</v>
      </c>
      <c r="E1054" s="8" t="s">
        <v>6</v>
      </c>
      <c r="F1054" s="8" t="s">
        <v>23</v>
      </c>
      <c r="G1054" s="8" t="s">
        <v>373</v>
      </c>
      <c r="H1054" s="8" t="s">
        <v>230</v>
      </c>
      <c r="I1054" s="7">
        <v>-1307523</v>
      </c>
    </row>
    <row r="1055" spans="2:9" outlineLevel="2" x14ac:dyDescent="0.2">
      <c r="B1055" s="8" t="s">
        <v>9</v>
      </c>
      <c r="C1055" s="8" t="s">
        <v>8</v>
      </c>
      <c r="D1055" s="8" t="s">
        <v>7</v>
      </c>
      <c r="E1055" s="8" t="s">
        <v>6</v>
      </c>
      <c r="F1055" s="8" t="s">
        <v>23</v>
      </c>
      <c r="G1055" s="8" t="s">
        <v>372</v>
      </c>
      <c r="H1055" s="8" t="s">
        <v>26</v>
      </c>
      <c r="I1055" s="7">
        <v>3634551</v>
      </c>
    </row>
    <row r="1056" spans="2:9" outlineLevel="2" x14ac:dyDescent="0.2">
      <c r="B1056" s="8" t="s">
        <v>9</v>
      </c>
      <c r="C1056" s="8" t="s">
        <v>8</v>
      </c>
      <c r="D1056" s="8" t="s">
        <v>7</v>
      </c>
      <c r="E1056" s="8" t="s">
        <v>6</v>
      </c>
      <c r="F1056" s="8" t="s">
        <v>23</v>
      </c>
      <c r="G1056" s="8" t="s">
        <v>222</v>
      </c>
      <c r="H1056" s="8" t="s">
        <v>221</v>
      </c>
      <c r="I1056" s="7">
        <v>0</v>
      </c>
    </row>
    <row r="1057" spans="2:9" ht="25" outlineLevel="2" x14ac:dyDescent="0.2">
      <c r="B1057" s="8" t="s">
        <v>9</v>
      </c>
      <c r="C1057" s="8" t="s">
        <v>8</v>
      </c>
      <c r="D1057" s="8" t="s">
        <v>7</v>
      </c>
      <c r="E1057" s="8" t="s">
        <v>6</v>
      </c>
      <c r="F1057" s="8" t="s">
        <v>23</v>
      </c>
      <c r="G1057" s="8" t="s">
        <v>371</v>
      </c>
      <c r="H1057" s="8" t="s">
        <v>230</v>
      </c>
      <c r="I1057" s="7">
        <v>1307523</v>
      </c>
    </row>
    <row r="1058" spans="2:9" ht="25" outlineLevel="2" x14ac:dyDescent="0.2">
      <c r="B1058" s="8" t="s">
        <v>9</v>
      </c>
      <c r="C1058" s="8" t="s">
        <v>8</v>
      </c>
      <c r="D1058" s="8" t="s">
        <v>7</v>
      </c>
      <c r="E1058" s="8" t="s">
        <v>6</v>
      </c>
      <c r="F1058" s="8" t="s">
        <v>23</v>
      </c>
      <c r="G1058" s="8" t="s">
        <v>370</v>
      </c>
      <c r="H1058" s="8" t="s">
        <v>230</v>
      </c>
      <c r="I1058" s="7">
        <v>2677309</v>
      </c>
    </row>
    <row r="1059" spans="2:9" outlineLevel="2" x14ac:dyDescent="0.2">
      <c r="B1059" s="8" t="s">
        <v>9</v>
      </c>
      <c r="C1059" s="8" t="s">
        <v>8</v>
      </c>
      <c r="D1059" s="8" t="s">
        <v>7</v>
      </c>
      <c r="E1059" s="8" t="s">
        <v>6</v>
      </c>
      <c r="F1059" s="8" t="s">
        <v>23</v>
      </c>
      <c r="G1059" s="8" t="s">
        <v>369</v>
      </c>
      <c r="H1059" s="8" t="s">
        <v>26</v>
      </c>
      <c r="I1059" s="7">
        <v>3984832</v>
      </c>
    </row>
    <row r="1060" spans="2:9" outlineLevel="2" x14ac:dyDescent="0.2">
      <c r="B1060" s="8"/>
      <c r="C1060" s="8"/>
      <c r="D1060" s="8"/>
      <c r="E1060" s="8"/>
      <c r="F1060" s="8"/>
      <c r="G1060" s="8"/>
      <c r="H1060" s="8"/>
      <c r="I1060" s="7"/>
    </row>
    <row r="1061" spans="2:9" outlineLevel="2" x14ac:dyDescent="0.2">
      <c r="B1061" s="8" t="s">
        <v>9</v>
      </c>
      <c r="C1061" s="8" t="s">
        <v>8</v>
      </c>
      <c r="D1061" s="8" t="s">
        <v>7</v>
      </c>
      <c r="E1061" s="8" t="s">
        <v>6</v>
      </c>
      <c r="F1061" s="8" t="s">
        <v>21</v>
      </c>
      <c r="G1061" s="8" t="s">
        <v>368</v>
      </c>
      <c r="H1061" s="8" t="s">
        <v>11</v>
      </c>
      <c r="I1061" s="7">
        <v>-31428164</v>
      </c>
    </row>
    <row r="1062" spans="2:9" ht="25" outlineLevel="2" x14ac:dyDescent="0.2">
      <c r="B1062" s="8" t="s">
        <v>9</v>
      </c>
      <c r="C1062" s="8" t="s">
        <v>8</v>
      </c>
      <c r="D1062" s="8" t="s">
        <v>7</v>
      </c>
      <c r="E1062" s="8" t="s">
        <v>6</v>
      </c>
      <c r="F1062" s="8" t="s">
        <v>21</v>
      </c>
      <c r="G1062" s="8" t="s">
        <v>368</v>
      </c>
      <c r="H1062" s="8" t="s">
        <v>10</v>
      </c>
      <c r="I1062" s="7">
        <v>34443200</v>
      </c>
    </row>
    <row r="1063" spans="2:9" ht="25" outlineLevel="2" x14ac:dyDescent="0.2">
      <c r="B1063" s="8" t="s">
        <v>9</v>
      </c>
      <c r="C1063" s="8" t="s">
        <v>8</v>
      </c>
      <c r="D1063" s="8" t="s">
        <v>7</v>
      </c>
      <c r="E1063" s="8" t="s">
        <v>6</v>
      </c>
      <c r="F1063" s="8" t="s">
        <v>21</v>
      </c>
      <c r="G1063" s="8" t="s">
        <v>367</v>
      </c>
      <c r="H1063" s="8" t="s">
        <v>10</v>
      </c>
      <c r="I1063" s="7">
        <v>2790000</v>
      </c>
    </row>
    <row r="1064" spans="2:9" ht="25" outlineLevel="2" x14ac:dyDescent="0.2">
      <c r="B1064" s="8" t="s">
        <v>9</v>
      </c>
      <c r="C1064" s="8" t="s">
        <v>8</v>
      </c>
      <c r="D1064" s="8" t="s">
        <v>7</v>
      </c>
      <c r="E1064" s="8" t="s">
        <v>6</v>
      </c>
      <c r="F1064" s="8" t="s">
        <v>21</v>
      </c>
      <c r="G1064" s="8" t="s">
        <v>366</v>
      </c>
      <c r="H1064" s="8" t="s">
        <v>61</v>
      </c>
      <c r="I1064" s="7">
        <v>540000</v>
      </c>
    </row>
    <row r="1065" spans="2:9" ht="25" outlineLevel="2" x14ac:dyDescent="0.2">
      <c r="B1065" s="8" t="s">
        <v>9</v>
      </c>
      <c r="C1065" s="8" t="s">
        <v>8</v>
      </c>
      <c r="D1065" s="8" t="s">
        <v>7</v>
      </c>
      <c r="E1065" s="8" t="s">
        <v>6</v>
      </c>
      <c r="F1065" s="8" t="s">
        <v>21</v>
      </c>
      <c r="G1065" s="8" t="s">
        <v>365</v>
      </c>
      <c r="H1065" s="8" t="s">
        <v>230</v>
      </c>
      <c r="I1065" s="7">
        <v>-1661793</v>
      </c>
    </row>
    <row r="1066" spans="2:9" outlineLevel="2" x14ac:dyDescent="0.2">
      <c r="B1066" s="8" t="s">
        <v>9</v>
      </c>
      <c r="C1066" s="8" t="s">
        <v>8</v>
      </c>
      <c r="D1066" s="8" t="s">
        <v>7</v>
      </c>
      <c r="E1066" s="8" t="s">
        <v>6</v>
      </c>
      <c r="F1066" s="8" t="s">
        <v>21</v>
      </c>
      <c r="G1066" s="8" t="s">
        <v>364</v>
      </c>
      <c r="H1066" s="8" t="s">
        <v>26</v>
      </c>
      <c r="I1066" s="7">
        <v>4683243</v>
      </c>
    </row>
    <row r="1067" spans="2:9" outlineLevel="2" x14ac:dyDescent="0.2">
      <c r="B1067" s="8" t="s">
        <v>9</v>
      </c>
      <c r="C1067" s="8" t="s">
        <v>8</v>
      </c>
      <c r="D1067" s="8" t="s">
        <v>7</v>
      </c>
      <c r="E1067" s="8" t="s">
        <v>6</v>
      </c>
      <c r="F1067" s="8" t="s">
        <v>21</v>
      </c>
      <c r="G1067" s="8" t="s">
        <v>222</v>
      </c>
      <c r="H1067" s="8" t="s">
        <v>221</v>
      </c>
      <c r="I1067" s="7">
        <v>0</v>
      </c>
    </row>
    <row r="1068" spans="2:9" ht="25" outlineLevel="2" x14ac:dyDescent="0.2">
      <c r="B1068" s="8" t="s">
        <v>9</v>
      </c>
      <c r="C1068" s="8" t="s">
        <v>8</v>
      </c>
      <c r="D1068" s="8" t="s">
        <v>7</v>
      </c>
      <c r="E1068" s="8" t="s">
        <v>6</v>
      </c>
      <c r="F1068" s="8" t="s">
        <v>21</v>
      </c>
      <c r="G1068" s="8" t="s">
        <v>363</v>
      </c>
      <c r="H1068" s="8" t="s">
        <v>230</v>
      </c>
      <c r="I1068" s="7">
        <v>1661793</v>
      </c>
    </row>
    <row r="1069" spans="2:9" ht="25" outlineLevel="2" x14ac:dyDescent="0.2">
      <c r="B1069" s="8" t="s">
        <v>9</v>
      </c>
      <c r="C1069" s="8" t="s">
        <v>8</v>
      </c>
      <c r="D1069" s="8" t="s">
        <v>7</v>
      </c>
      <c r="E1069" s="8" t="s">
        <v>6</v>
      </c>
      <c r="F1069" s="8" t="s">
        <v>21</v>
      </c>
      <c r="G1069" s="8" t="s">
        <v>362</v>
      </c>
      <c r="H1069" s="8" t="s">
        <v>230</v>
      </c>
      <c r="I1069" s="7">
        <v>3402719</v>
      </c>
    </row>
    <row r="1070" spans="2:9" outlineLevel="2" x14ac:dyDescent="0.2">
      <c r="B1070" s="8" t="s">
        <v>9</v>
      </c>
      <c r="C1070" s="8" t="s">
        <v>8</v>
      </c>
      <c r="D1070" s="8" t="s">
        <v>7</v>
      </c>
      <c r="E1070" s="8" t="s">
        <v>6</v>
      </c>
      <c r="F1070" s="8" t="s">
        <v>21</v>
      </c>
      <c r="G1070" s="8" t="s">
        <v>361</v>
      </c>
      <c r="H1070" s="8" t="s">
        <v>26</v>
      </c>
      <c r="I1070" s="7">
        <v>5064512</v>
      </c>
    </row>
    <row r="1071" spans="2:9" outlineLevel="2" x14ac:dyDescent="0.2">
      <c r="B1071" s="8"/>
      <c r="C1071" s="8"/>
      <c r="D1071" s="8"/>
      <c r="E1071" s="8"/>
      <c r="F1071" s="8"/>
      <c r="G1071" s="8"/>
      <c r="H1071" s="8"/>
      <c r="I1071" s="7"/>
    </row>
    <row r="1072" spans="2:9" outlineLevel="2" x14ac:dyDescent="0.2">
      <c r="B1072" s="8" t="s">
        <v>9</v>
      </c>
      <c r="C1072" s="8" t="s">
        <v>8</v>
      </c>
      <c r="D1072" s="8" t="s">
        <v>7</v>
      </c>
      <c r="E1072" s="8" t="s">
        <v>6</v>
      </c>
      <c r="F1072" s="8" t="s">
        <v>25</v>
      </c>
      <c r="G1072" s="8" t="s">
        <v>360</v>
      </c>
      <c r="H1072" s="8" t="s">
        <v>11</v>
      </c>
      <c r="I1072" s="7">
        <v>-36827182</v>
      </c>
    </row>
    <row r="1073" spans="2:9" ht="25" outlineLevel="2" x14ac:dyDescent="0.2">
      <c r="B1073" s="8" t="s">
        <v>9</v>
      </c>
      <c r="C1073" s="8" t="s">
        <v>8</v>
      </c>
      <c r="D1073" s="8" t="s">
        <v>7</v>
      </c>
      <c r="E1073" s="8" t="s">
        <v>6</v>
      </c>
      <c r="F1073" s="8" t="s">
        <v>25</v>
      </c>
      <c r="G1073" s="8" t="s">
        <v>360</v>
      </c>
      <c r="H1073" s="8" t="s">
        <v>10</v>
      </c>
      <c r="I1073" s="7">
        <v>43517200</v>
      </c>
    </row>
    <row r="1074" spans="2:9" ht="25" outlineLevel="2" x14ac:dyDescent="0.2">
      <c r="B1074" s="8" t="s">
        <v>9</v>
      </c>
      <c r="C1074" s="8" t="s">
        <v>8</v>
      </c>
      <c r="D1074" s="8" t="s">
        <v>7</v>
      </c>
      <c r="E1074" s="8" t="s">
        <v>6</v>
      </c>
      <c r="F1074" s="8" t="s">
        <v>25</v>
      </c>
      <c r="G1074" s="8" t="s">
        <v>359</v>
      </c>
      <c r="H1074" s="8" t="s">
        <v>10</v>
      </c>
      <c r="I1074" s="7">
        <v>2790000</v>
      </c>
    </row>
    <row r="1075" spans="2:9" ht="25" outlineLevel="2" x14ac:dyDescent="0.2">
      <c r="B1075" s="8" t="s">
        <v>9</v>
      </c>
      <c r="C1075" s="8" t="s">
        <v>8</v>
      </c>
      <c r="D1075" s="8" t="s">
        <v>7</v>
      </c>
      <c r="E1075" s="8" t="s">
        <v>6</v>
      </c>
      <c r="F1075" s="8" t="s">
        <v>25</v>
      </c>
      <c r="G1075" s="8" t="s">
        <v>358</v>
      </c>
      <c r="H1075" s="8" t="s">
        <v>61</v>
      </c>
      <c r="I1075" s="7">
        <v>440000</v>
      </c>
    </row>
    <row r="1076" spans="2:9" ht="25" outlineLevel="2" x14ac:dyDescent="0.2">
      <c r="B1076" s="8" t="s">
        <v>9</v>
      </c>
      <c r="C1076" s="8" t="s">
        <v>8</v>
      </c>
      <c r="D1076" s="8" t="s">
        <v>7</v>
      </c>
      <c r="E1076" s="8" t="s">
        <v>6</v>
      </c>
      <c r="F1076" s="8" t="s">
        <v>25</v>
      </c>
      <c r="G1076" s="8" t="s">
        <v>357</v>
      </c>
      <c r="H1076" s="8" t="s">
        <v>230</v>
      </c>
      <c r="I1076" s="7">
        <v>-2138178</v>
      </c>
    </row>
    <row r="1077" spans="2:9" outlineLevel="2" x14ac:dyDescent="0.2">
      <c r="B1077" s="8" t="s">
        <v>9</v>
      </c>
      <c r="C1077" s="8" t="s">
        <v>8</v>
      </c>
      <c r="D1077" s="8" t="s">
        <v>7</v>
      </c>
      <c r="E1077" s="8" t="s">
        <v>6</v>
      </c>
      <c r="F1077" s="8" t="s">
        <v>25</v>
      </c>
      <c r="G1077" s="8" t="s">
        <v>356</v>
      </c>
      <c r="H1077" s="8" t="s">
        <v>26</v>
      </c>
      <c r="I1077" s="7">
        <v>7781840</v>
      </c>
    </row>
    <row r="1078" spans="2:9" outlineLevel="2" x14ac:dyDescent="0.2">
      <c r="B1078" s="8" t="s">
        <v>9</v>
      </c>
      <c r="C1078" s="8" t="s">
        <v>8</v>
      </c>
      <c r="D1078" s="8" t="s">
        <v>7</v>
      </c>
      <c r="E1078" s="8" t="s">
        <v>6</v>
      </c>
      <c r="F1078" s="8" t="s">
        <v>25</v>
      </c>
      <c r="G1078" s="8" t="s">
        <v>222</v>
      </c>
      <c r="H1078" s="8" t="s">
        <v>221</v>
      </c>
      <c r="I1078" s="7">
        <v>0</v>
      </c>
    </row>
    <row r="1079" spans="2:9" ht="25" outlineLevel="2" x14ac:dyDescent="0.2">
      <c r="B1079" s="8" t="s">
        <v>9</v>
      </c>
      <c r="C1079" s="8" t="s">
        <v>8</v>
      </c>
      <c r="D1079" s="8" t="s">
        <v>7</v>
      </c>
      <c r="E1079" s="8" t="s">
        <v>6</v>
      </c>
      <c r="F1079" s="8" t="s">
        <v>25</v>
      </c>
      <c r="G1079" s="8" t="s">
        <v>355</v>
      </c>
      <c r="H1079" s="8" t="s">
        <v>230</v>
      </c>
      <c r="I1079" s="7">
        <v>2138178</v>
      </c>
    </row>
    <row r="1080" spans="2:9" ht="25" outlineLevel="2" x14ac:dyDescent="0.2">
      <c r="B1080" s="8" t="s">
        <v>9</v>
      </c>
      <c r="C1080" s="8" t="s">
        <v>8</v>
      </c>
      <c r="D1080" s="8" t="s">
        <v>7</v>
      </c>
      <c r="E1080" s="8" t="s">
        <v>6</v>
      </c>
      <c r="F1080" s="8" t="s">
        <v>25</v>
      </c>
      <c r="G1080" s="8" t="s">
        <v>354</v>
      </c>
      <c r="H1080" s="8" t="s">
        <v>230</v>
      </c>
      <c r="I1080" s="7">
        <v>4378174</v>
      </c>
    </row>
    <row r="1081" spans="2:9" outlineLevel="2" x14ac:dyDescent="0.2">
      <c r="B1081" s="8" t="s">
        <v>9</v>
      </c>
      <c r="C1081" s="8" t="s">
        <v>8</v>
      </c>
      <c r="D1081" s="8" t="s">
        <v>7</v>
      </c>
      <c r="E1081" s="8" t="s">
        <v>6</v>
      </c>
      <c r="F1081" s="8" t="s">
        <v>25</v>
      </c>
      <c r="G1081" s="8" t="s">
        <v>353</v>
      </c>
      <c r="H1081" s="8" t="s">
        <v>26</v>
      </c>
      <c r="I1081" s="7">
        <v>6516352</v>
      </c>
    </row>
    <row r="1082" spans="2:9" outlineLevel="2" x14ac:dyDescent="0.2">
      <c r="B1082" s="8"/>
      <c r="C1082" s="8"/>
      <c r="D1082" s="8"/>
      <c r="E1082" s="8"/>
      <c r="F1082" s="8"/>
      <c r="G1082" s="8"/>
      <c r="H1082" s="8"/>
      <c r="I1082" s="7"/>
    </row>
    <row r="1083" spans="2:9" outlineLevel="2" x14ac:dyDescent="0.2">
      <c r="B1083" s="8" t="s">
        <v>9</v>
      </c>
      <c r="C1083" s="8" t="s">
        <v>8</v>
      </c>
      <c r="D1083" s="8" t="s">
        <v>7</v>
      </c>
      <c r="E1083" s="8" t="s">
        <v>6</v>
      </c>
      <c r="F1083" s="8" t="s">
        <v>19</v>
      </c>
      <c r="G1083" s="8" t="s">
        <v>352</v>
      </c>
      <c r="H1083" s="8" t="s">
        <v>11</v>
      </c>
      <c r="I1083" s="7">
        <v>-29256433</v>
      </c>
    </row>
    <row r="1084" spans="2:9" ht="25" outlineLevel="2" x14ac:dyDescent="0.2">
      <c r="B1084" s="8" t="s">
        <v>9</v>
      </c>
      <c r="C1084" s="8" t="s">
        <v>8</v>
      </c>
      <c r="D1084" s="8" t="s">
        <v>7</v>
      </c>
      <c r="E1084" s="8" t="s">
        <v>6</v>
      </c>
      <c r="F1084" s="8" t="s">
        <v>19</v>
      </c>
      <c r="G1084" s="8" t="s">
        <v>352</v>
      </c>
      <c r="H1084" s="8" t="s">
        <v>10</v>
      </c>
      <c r="I1084" s="7">
        <v>31317200</v>
      </c>
    </row>
    <row r="1085" spans="2:9" ht="25" outlineLevel="2" x14ac:dyDescent="0.2">
      <c r="B1085" s="8" t="s">
        <v>9</v>
      </c>
      <c r="C1085" s="8" t="s">
        <v>8</v>
      </c>
      <c r="D1085" s="8" t="s">
        <v>7</v>
      </c>
      <c r="E1085" s="8" t="s">
        <v>6</v>
      </c>
      <c r="F1085" s="8" t="s">
        <v>19</v>
      </c>
      <c r="G1085" s="8" t="s">
        <v>351</v>
      </c>
      <c r="H1085" s="8" t="s">
        <v>10</v>
      </c>
      <c r="I1085" s="7">
        <v>2790000</v>
      </c>
    </row>
    <row r="1086" spans="2:9" ht="25" outlineLevel="2" x14ac:dyDescent="0.2">
      <c r="B1086" s="8" t="s">
        <v>9</v>
      </c>
      <c r="C1086" s="8" t="s">
        <v>8</v>
      </c>
      <c r="D1086" s="8" t="s">
        <v>7</v>
      </c>
      <c r="E1086" s="8" t="s">
        <v>6</v>
      </c>
      <c r="F1086" s="8" t="s">
        <v>19</v>
      </c>
      <c r="G1086" s="8" t="s">
        <v>350</v>
      </c>
      <c r="H1086" s="8" t="s">
        <v>61</v>
      </c>
      <c r="I1086" s="7">
        <v>440000</v>
      </c>
    </row>
    <row r="1087" spans="2:9" ht="25" outlineLevel="2" x14ac:dyDescent="0.2">
      <c r="B1087" s="8" t="s">
        <v>9</v>
      </c>
      <c r="C1087" s="8" t="s">
        <v>8</v>
      </c>
      <c r="D1087" s="8" t="s">
        <v>7</v>
      </c>
      <c r="E1087" s="8" t="s">
        <v>6</v>
      </c>
      <c r="F1087" s="8" t="s">
        <v>19</v>
      </c>
      <c r="G1087" s="8" t="s">
        <v>349</v>
      </c>
      <c r="H1087" s="8" t="s">
        <v>230</v>
      </c>
      <c r="I1087" s="7">
        <v>-1497678</v>
      </c>
    </row>
    <row r="1088" spans="2:9" outlineLevel="2" x14ac:dyDescent="0.2">
      <c r="B1088" s="8" t="s">
        <v>9</v>
      </c>
      <c r="C1088" s="8" t="s">
        <v>8</v>
      </c>
      <c r="D1088" s="8" t="s">
        <v>7</v>
      </c>
      <c r="E1088" s="8" t="s">
        <v>6</v>
      </c>
      <c r="F1088" s="8" t="s">
        <v>19</v>
      </c>
      <c r="G1088" s="8" t="s">
        <v>348</v>
      </c>
      <c r="H1088" s="8" t="s">
        <v>26</v>
      </c>
      <c r="I1088" s="7">
        <v>3793089</v>
      </c>
    </row>
    <row r="1089" spans="2:9" outlineLevel="2" x14ac:dyDescent="0.2">
      <c r="B1089" s="8" t="s">
        <v>9</v>
      </c>
      <c r="C1089" s="8" t="s">
        <v>8</v>
      </c>
      <c r="D1089" s="8" t="s">
        <v>7</v>
      </c>
      <c r="E1089" s="8" t="s">
        <v>6</v>
      </c>
      <c r="F1089" s="8" t="s">
        <v>19</v>
      </c>
      <c r="G1089" s="8" t="s">
        <v>222</v>
      </c>
      <c r="H1089" s="8" t="s">
        <v>221</v>
      </c>
      <c r="I1089" s="7">
        <v>0</v>
      </c>
    </row>
    <row r="1090" spans="2:9" ht="25" outlineLevel="2" x14ac:dyDescent="0.2">
      <c r="B1090" s="8" t="s">
        <v>9</v>
      </c>
      <c r="C1090" s="8" t="s">
        <v>8</v>
      </c>
      <c r="D1090" s="8" t="s">
        <v>7</v>
      </c>
      <c r="E1090" s="8" t="s">
        <v>6</v>
      </c>
      <c r="F1090" s="8" t="s">
        <v>19</v>
      </c>
      <c r="G1090" s="8" t="s">
        <v>347</v>
      </c>
      <c r="H1090" s="8" t="s">
        <v>230</v>
      </c>
      <c r="I1090" s="7">
        <v>1497678</v>
      </c>
    </row>
    <row r="1091" spans="2:9" ht="25" outlineLevel="2" x14ac:dyDescent="0.2">
      <c r="B1091" s="8" t="s">
        <v>9</v>
      </c>
      <c r="C1091" s="8" t="s">
        <v>8</v>
      </c>
      <c r="D1091" s="8" t="s">
        <v>7</v>
      </c>
      <c r="E1091" s="8" t="s">
        <v>6</v>
      </c>
      <c r="F1091" s="8" t="s">
        <v>19</v>
      </c>
      <c r="G1091" s="8" t="s">
        <v>346</v>
      </c>
      <c r="H1091" s="8" t="s">
        <v>230</v>
      </c>
      <c r="I1091" s="7">
        <v>3066674</v>
      </c>
    </row>
    <row r="1092" spans="2:9" outlineLevel="2" x14ac:dyDescent="0.2">
      <c r="B1092" s="8" t="s">
        <v>9</v>
      </c>
      <c r="C1092" s="8" t="s">
        <v>8</v>
      </c>
      <c r="D1092" s="8" t="s">
        <v>7</v>
      </c>
      <c r="E1092" s="8" t="s">
        <v>6</v>
      </c>
      <c r="F1092" s="8" t="s">
        <v>19</v>
      </c>
      <c r="G1092" s="8" t="s">
        <v>345</v>
      </c>
      <c r="H1092" s="8" t="s">
        <v>26</v>
      </c>
      <c r="I1092" s="7">
        <v>4564352</v>
      </c>
    </row>
    <row r="1093" spans="2:9" outlineLevel="2" x14ac:dyDescent="0.2">
      <c r="B1093" s="8"/>
      <c r="C1093" s="8"/>
      <c r="D1093" s="8"/>
      <c r="E1093" s="8"/>
      <c r="F1093" s="8"/>
      <c r="G1093" s="8"/>
      <c r="H1093" s="8"/>
      <c r="I1093" s="7"/>
    </row>
    <row r="1094" spans="2:9" outlineLevel="2" x14ac:dyDescent="0.2">
      <c r="B1094" s="8" t="s">
        <v>9</v>
      </c>
      <c r="C1094" s="8" t="s">
        <v>8</v>
      </c>
      <c r="D1094" s="8" t="s">
        <v>7</v>
      </c>
      <c r="E1094" s="8" t="s">
        <v>6</v>
      </c>
      <c r="F1094" s="8" t="s">
        <v>17</v>
      </c>
      <c r="G1094" s="8" t="s">
        <v>344</v>
      </c>
      <c r="H1094" s="8" t="s">
        <v>11</v>
      </c>
      <c r="I1094" s="7">
        <v>-22684398</v>
      </c>
    </row>
    <row r="1095" spans="2:9" ht="25" outlineLevel="2" x14ac:dyDescent="0.2">
      <c r="B1095" s="8" t="s">
        <v>9</v>
      </c>
      <c r="C1095" s="8" t="s">
        <v>8</v>
      </c>
      <c r="D1095" s="8" t="s">
        <v>7</v>
      </c>
      <c r="E1095" s="8" t="s">
        <v>6</v>
      </c>
      <c r="F1095" s="8" t="s">
        <v>17</v>
      </c>
      <c r="G1095" s="8" t="s">
        <v>344</v>
      </c>
      <c r="H1095" s="8" t="s">
        <v>10</v>
      </c>
      <c r="I1095" s="7">
        <v>24693475</v>
      </c>
    </row>
    <row r="1096" spans="2:9" ht="25" outlineLevel="2" x14ac:dyDescent="0.2">
      <c r="B1096" s="8" t="s">
        <v>9</v>
      </c>
      <c r="C1096" s="8" t="s">
        <v>8</v>
      </c>
      <c r="D1096" s="8" t="s">
        <v>7</v>
      </c>
      <c r="E1096" s="8" t="s">
        <v>6</v>
      </c>
      <c r="F1096" s="8" t="s">
        <v>17</v>
      </c>
      <c r="G1096" s="8" t="s">
        <v>343</v>
      </c>
      <c r="H1096" s="8" t="s">
        <v>10</v>
      </c>
      <c r="I1096" s="7">
        <v>2790000</v>
      </c>
    </row>
    <row r="1097" spans="2:9" ht="25" outlineLevel="2" x14ac:dyDescent="0.2">
      <c r="B1097" s="8" t="s">
        <v>9</v>
      </c>
      <c r="C1097" s="8" t="s">
        <v>8</v>
      </c>
      <c r="D1097" s="8" t="s">
        <v>7</v>
      </c>
      <c r="E1097" s="8" t="s">
        <v>6</v>
      </c>
      <c r="F1097" s="8" t="s">
        <v>17</v>
      </c>
      <c r="G1097" s="8" t="s">
        <v>342</v>
      </c>
      <c r="H1097" s="8" t="s">
        <v>61</v>
      </c>
      <c r="I1097" s="7">
        <v>1100000</v>
      </c>
    </row>
    <row r="1098" spans="2:9" ht="25" outlineLevel="2" x14ac:dyDescent="0.2">
      <c r="B1098" s="8" t="s">
        <v>9</v>
      </c>
      <c r="C1098" s="8" t="s">
        <v>8</v>
      </c>
      <c r="D1098" s="8" t="s">
        <v>7</v>
      </c>
      <c r="E1098" s="8" t="s">
        <v>6</v>
      </c>
      <c r="F1098" s="8" t="s">
        <v>17</v>
      </c>
      <c r="G1098" s="8" t="s">
        <v>341</v>
      </c>
      <c r="H1098" s="8" t="s">
        <v>230</v>
      </c>
      <c r="I1098" s="7">
        <v>-1653603</v>
      </c>
    </row>
    <row r="1099" spans="2:9" outlineLevel="2" x14ac:dyDescent="0.2">
      <c r="B1099" s="8" t="s">
        <v>9</v>
      </c>
      <c r="C1099" s="8" t="s">
        <v>8</v>
      </c>
      <c r="D1099" s="8" t="s">
        <v>7</v>
      </c>
      <c r="E1099" s="8" t="s">
        <v>6</v>
      </c>
      <c r="F1099" s="8" t="s">
        <v>17</v>
      </c>
      <c r="G1099" s="8" t="s">
        <v>340</v>
      </c>
      <c r="H1099" s="8" t="s">
        <v>26</v>
      </c>
      <c r="I1099" s="7">
        <v>4245474</v>
      </c>
    </row>
    <row r="1100" spans="2:9" outlineLevel="2" x14ac:dyDescent="0.2">
      <c r="B1100" s="8" t="s">
        <v>9</v>
      </c>
      <c r="C1100" s="8" t="s">
        <v>8</v>
      </c>
      <c r="D1100" s="8" t="s">
        <v>7</v>
      </c>
      <c r="E1100" s="8" t="s">
        <v>6</v>
      </c>
      <c r="F1100" s="8" t="s">
        <v>17</v>
      </c>
      <c r="G1100" s="8" t="s">
        <v>222</v>
      </c>
      <c r="H1100" s="8" t="s">
        <v>221</v>
      </c>
      <c r="I1100" s="7">
        <v>0</v>
      </c>
    </row>
    <row r="1101" spans="2:9" ht="25" outlineLevel="2" x14ac:dyDescent="0.2">
      <c r="B1101" s="8" t="s">
        <v>9</v>
      </c>
      <c r="C1101" s="8" t="s">
        <v>8</v>
      </c>
      <c r="D1101" s="8" t="s">
        <v>7</v>
      </c>
      <c r="E1101" s="8" t="s">
        <v>6</v>
      </c>
      <c r="F1101" s="8" t="s">
        <v>17</v>
      </c>
      <c r="G1101" s="8" t="s">
        <v>339</v>
      </c>
      <c r="H1101" s="8" t="s">
        <v>230</v>
      </c>
      <c r="I1101" s="7">
        <v>1653603</v>
      </c>
    </row>
    <row r="1102" spans="2:9" ht="25" outlineLevel="2" x14ac:dyDescent="0.2">
      <c r="B1102" s="8" t="s">
        <v>9</v>
      </c>
      <c r="C1102" s="8" t="s">
        <v>8</v>
      </c>
      <c r="D1102" s="8" t="s">
        <v>7</v>
      </c>
      <c r="E1102" s="8" t="s">
        <v>6</v>
      </c>
      <c r="F1102" s="8" t="s">
        <v>17</v>
      </c>
      <c r="G1102" s="8" t="s">
        <v>338</v>
      </c>
      <c r="H1102" s="8" t="s">
        <v>230</v>
      </c>
      <c r="I1102" s="7">
        <v>3385949</v>
      </c>
    </row>
    <row r="1103" spans="2:9" outlineLevel="2" x14ac:dyDescent="0.2">
      <c r="B1103" s="8" t="s">
        <v>9</v>
      </c>
      <c r="C1103" s="8" t="s">
        <v>8</v>
      </c>
      <c r="D1103" s="8" t="s">
        <v>7</v>
      </c>
      <c r="E1103" s="8" t="s">
        <v>6</v>
      </c>
      <c r="F1103" s="8" t="s">
        <v>17</v>
      </c>
      <c r="G1103" s="8" t="s">
        <v>337</v>
      </c>
      <c r="H1103" s="8" t="s">
        <v>26</v>
      </c>
      <c r="I1103" s="7">
        <v>5039552</v>
      </c>
    </row>
    <row r="1104" spans="2:9" outlineLevel="2" x14ac:dyDescent="0.2">
      <c r="B1104" s="8"/>
      <c r="C1104" s="8"/>
      <c r="D1104" s="8"/>
      <c r="E1104" s="8"/>
      <c r="F1104" s="8"/>
      <c r="G1104" s="8"/>
      <c r="H1104" s="8"/>
      <c r="I1104" s="7"/>
    </row>
    <row r="1105" spans="2:9" outlineLevel="2" x14ac:dyDescent="0.2">
      <c r="B1105" s="8" t="s">
        <v>9</v>
      </c>
      <c r="C1105" s="8" t="s">
        <v>8</v>
      </c>
      <c r="D1105" s="8" t="s">
        <v>7</v>
      </c>
      <c r="E1105" s="8" t="s">
        <v>6</v>
      </c>
      <c r="F1105" s="8" t="s">
        <v>15</v>
      </c>
      <c r="G1105" s="8" t="s">
        <v>336</v>
      </c>
      <c r="H1105" s="8" t="s">
        <v>11</v>
      </c>
      <c r="I1105" s="7">
        <v>-18908965</v>
      </c>
    </row>
    <row r="1106" spans="2:9" ht="25" outlineLevel="2" x14ac:dyDescent="0.2">
      <c r="B1106" s="8" t="s">
        <v>9</v>
      </c>
      <c r="C1106" s="8" t="s">
        <v>8</v>
      </c>
      <c r="D1106" s="8" t="s">
        <v>7</v>
      </c>
      <c r="E1106" s="8" t="s">
        <v>6</v>
      </c>
      <c r="F1106" s="8" t="s">
        <v>15</v>
      </c>
      <c r="G1106" s="8" t="s">
        <v>336</v>
      </c>
      <c r="H1106" s="8" t="s">
        <v>10</v>
      </c>
      <c r="I1106" s="7">
        <v>19664834</v>
      </c>
    </row>
    <row r="1107" spans="2:9" ht="25" outlineLevel="2" x14ac:dyDescent="0.2">
      <c r="B1107" s="8" t="s">
        <v>9</v>
      </c>
      <c r="C1107" s="8" t="s">
        <v>8</v>
      </c>
      <c r="D1107" s="8" t="s">
        <v>7</v>
      </c>
      <c r="E1107" s="8" t="s">
        <v>6</v>
      </c>
      <c r="F1107" s="8" t="s">
        <v>15</v>
      </c>
      <c r="G1107" s="8" t="s">
        <v>335</v>
      </c>
      <c r="H1107" s="8" t="s">
        <v>10</v>
      </c>
      <c r="I1107" s="7">
        <v>1141364</v>
      </c>
    </row>
    <row r="1108" spans="2:9" ht="25" outlineLevel="2" x14ac:dyDescent="0.2">
      <c r="B1108" s="8" t="s">
        <v>9</v>
      </c>
      <c r="C1108" s="8" t="s">
        <v>8</v>
      </c>
      <c r="D1108" s="8" t="s">
        <v>7</v>
      </c>
      <c r="E1108" s="8" t="s">
        <v>6</v>
      </c>
      <c r="F1108" s="8" t="s">
        <v>15</v>
      </c>
      <c r="G1108" s="8" t="s">
        <v>334</v>
      </c>
      <c r="H1108" s="8" t="s">
        <v>61</v>
      </c>
      <c r="I1108" s="7">
        <v>350000</v>
      </c>
    </row>
    <row r="1109" spans="2:9" ht="25" outlineLevel="2" x14ac:dyDescent="0.2">
      <c r="B1109" s="8" t="s">
        <v>9</v>
      </c>
      <c r="C1109" s="8" t="s">
        <v>8</v>
      </c>
      <c r="D1109" s="8" t="s">
        <v>7</v>
      </c>
      <c r="E1109" s="8" t="s">
        <v>6</v>
      </c>
      <c r="F1109" s="8" t="s">
        <v>15</v>
      </c>
      <c r="G1109" s="8" t="s">
        <v>332</v>
      </c>
      <c r="H1109" s="8" t="s">
        <v>230</v>
      </c>
      <c r="I1109" s="7">
        <v>0</v>
      </c>
    </row>
    <row r="1110" spans="2:9" outlineLevel="2" x14ac:dyDescent="0.2">
      <c r="B1110" s="8" t="s">
        <v>9</v>
      </c>
      <c r="C1110" s="8" t="s">
        <v>8</v>
      </c>
      <c r="D1110" s="8" t="s">
        <v>7</v>
      </c>
      <c r="E1110" s="8" t="s">
        <v>6</v>
      </c>
      <c r="F1110" s="8" t="s">
        <v>15</v>
      </c>
      <c r="G1110" s="8" t="s">
        <v>333</v>
      </c>
      <c r="H1110" s="8" t="s">
        <v>26</v>
      </c>
      <c r="I1110" s="7">
        <v>2247233</v>
      </c>
    </row>
    <row r="1111" spans="2:9" outlineLevel="2" x14ac:dyDescent="0.2">
      <c r="B1111" s="8" t="s">
        <v>9</v>
      </c>
      <c r="C1111" s="8" t="s">
        <v>8</v>
      </c>
      <c r="D1111" s="8" t="s">
        <v>7</v>
      </c>
      <c r="E1111" s="8" t="s">
        <v>6</v>
      </c>
      <c r="F1111" s="8" t="s">
        <v>15</v>
      </c>
      <c r="G1111" s="8" t="s">
        <v>222</v>
      </c>
      <c r="H1111" s="8" t="s">
        <v>221</v>
      </c>
      <c r="I1111" s="7">
        <v>0</v>
      </c>
    </row>
    <row r="1112" spans="2:9" ht="25" outlineLevel="2" x14ac:dyDescent="0.2">
      <c r="B1112" s="8" t="s">
        <v>9</v>
      </c>
      <c r="C1112" s="8" t="s">
        <v>8</v>
      </c>
      <c r="D1112" s="8" t="s">
        <v>7</v>
      </c>
      <c r="E1112" s="8" t="s">
        <v>6</v>
      </c>
      <c r="F1112" s="8" t="s">
        <v>15</v>
      </c>
      <c r="G1112" s="8" t="s">
        <v>332</v>
      </c>
      <c r="H1112" s="8" t="s">
        <v>230</v>
      </c>
      <c r="I1112" s="7">
        <v>0</v>
      </c>
    </row>
    <row r="1113" spans="2:9" ht="25" outlineLevel="2" x14ac:dyDescent="0.2">
      <c r="B1113" s="8" t="s">
        <v>9</v>
      </c>
      <c r="C1113" s="8" t="s">
        <v>8</v>
      </c>
      <c r="D1113" s="8" t="s">
        <v>7</v>
      </c>
      <c r="E1113" s="8" t="s">
        <v>6</v>
      </c>
      <c r="F1113" s="8" t="s">
        <v>15</v>
      </c>
      <c r="G1113" s="8" t="s">
        <v>331</v>
      </c>
      <c r="H1113" s="8" t="s">
        <v>230</v>
      </c>
      <c r="I1113" s="7">
        <v>0</v>
      </c>
    </row>
    <row r="1114" spans="2:9" outlineLevel="2" x14ac:dyDescent="0.2">
      <c r="B1114" s="8" t="s">
        <v>9</v>
      </c>
      <c r="C1114" s="8" t="s">
        <v>8</v>
      </c>
      <c r="D1114" s="8" t="s">
        <v>7</v>
      </c>
      <c r="E1114" s="8" t="s">
        <v>6</v>
      </c>
      <c r="F1114" s="8" t="s">
        <v>15</v>
      </c>
      <c r="G1114" s="8" t="s">
        <v>330</v>
      </c>
      <c r="H1114" s="8" t="s">
        <v>26</v>
      </c>
      <c r="I1114" s="7">
        <v>0</v>
      </c>
    </row>
    <row r="1115" spans="2:9" outlineLevel="2" x14ac:dyDescent="0.2">
      <c r="B1115" s="8"/>
      <c r="C1115" s="8"/>
      <c r="D1115" s="8"/>
      <c r="E1115" s="8"/>
      <c r="F1115" s="8"/>
      <c r="G1115" s="8"/>
      <c r="H1115" s="8"/>
      <c r="I1115" s="7"/>
    </row>
    <row r="1116" spans="2:9" outlineLevel="2" x14ac:dyDescent="0.2">
      <c r="B1116" s="8" t="s">
        <v>9</v>
      </c>
      <c r="C1116" s="8" t="s">
        <v>8</v>
      </c>
      <c r="D1116" s="8" t="s">
        <v>7</v>
      </c>
      <c r="E1116" s="8" t="s">
        <v>6</v>
      </c>
      <c r="F1116" s="8" t="s">
        <v>322</v>
      </c>
      <c r="G1116" s="8" t="s">
        <v>329</v>
      </c>
      <c r="H1116" s="8" t="s">
        <v>11</v>
      </c>
      <c r="I1116" s="7">
        <v>-29118768</v>
      </c>
    </row>
    <row r="1117" spans="2:9" ht="25" outlineLevel="2" x14ac:dyDescent="0.2">
      <c r="B1117" s="8" t="s">
        <v>9</v>
      </c>
      <c r="C1117" s="8" t="s">
        <v>8</v>
      </c>
      <c r="D1117" s="8" t="s">
        <v>7</v>
      </c>
      <c r="E1117" s="8" t="s">
        <v>6</v>
      </c>
      <c r="F1117" s="8" t="s">
        <v>322</v>
      </c>
      <c r="G1117" s="8" t="s">
        <v>329</v>
      </c>
      <c r="H1117" s="8" t="s">
        <v>10</v>
      </c>
      <c r="I1117" s="7">
        <v>28227200</v>
      </c>
    </row>
    <row r="1118" spans="2:9" ht="25" outlineLevel="2" x14ac:dyDescent="0.2">
      <c r="B1118" s="8" t="s">
        <v>9</v>
      </c>
      <c r="C1118" s="8" t="s">
        <v>8</v>
      </c>
      <c r="D1118" s="8" t="s">
        <v>7</v>
      </c>
      <c r="E1118" s="8" t="s">
        <v>6</v>
      </c>
      <c r="F1118" s="8" t="s">
        <v>322</v>
      </c>
      <c r="G1118" s="8" t="s">
        <v>328</v>
      </c>
      <c r="H1118" s="8" t="s">
        <v>10</v>
      </c>
      <c r="I1118" s="7">
        <v>2790000</v>
      </c>
    </row>
    <row r="1119" spans="2:9" ht="25" outlineLevel="2" x14ac:dyDescent="0.2">
      <c r="B1119" s="8" t="s">
        <v>9</v>
      </c>
      <c r="C1119" s="8" t="s">
        <v>8</v>
      </c>
      <c r="D1119" s="8" t="s">
        <v>7</v>
      </c>
      <c r="E1119" s="8" t="s">
        <v>6</v>
      </c>
      <c r="F1119" s="8" t="s">
        <v>322</v>
      </c>
      <c r="G1119" s="8" t="s">
        <v>327</v>
      </c>
      <c r="H1119" s="8" t="s">
        <v>61</v>
      </c>
      <c r="I1119" s="7">
        <v>3390000</v>
      </c>
    </row>
    <row r="1120" spans="2:9" ht="25" outlineLevel="2" x14ac:dyDescent="0.2">
      <c r="B1120" s="8" t="s">
        <v>9</v>
      </c>
      <c r="C1120" s="8" t="s">
        <v>8</v>
      </c>
      <c r="D1120" s="8" t="s">
        <v>7</v>
      </c>
      <c r="E1120" s="8" t="s">
        <v>6</v>
      </c>
      <c r="F1120" s="8" t="s">
        <v>322</v>
      </c>
      <c r="G1120" s="8" t="s">
        <v>326</v>
      </c>
      <c r="H1120" s="8" t="s">
        <v>230</v>
      </c>
      <c r="I1120" s="7">
        <v>-1335453</v>
      </c>
    </row>
    <row r="1121" spans="2:9" outlineLevel="2" x14ac:dyDescent="0.2">
      <c r="B1121" s="8" t="s">
        <v>9</v>
      </c>
      <c r="C1121" s="8" t="s">
        <v>8</v>
      </c>
      <c r="D1121" s="8" t="s">
        <v>7</v>
      </c>
      <c r="E1121" s="8" t="s">
        <v>6</v>
      </c>
      <c r="F1121" s="8" t="s">
        <v>322</v>
      </c>
      <c r="G1121" s="8" t="s">
        <v>325</v>
      </c>
      <c r="H1121" s="8" t="s">
        <v>26</v>
      </c>
      <c r="I1121" s="7">
        <v>3952979</v>
      </c>
    </row>
    <row r="1122" spans="2:9" outlineLevel="2" x14ac:dyDescent="0.2">
      <c r="B1122" s="8" t="s">
        <v>9</v>
      </c>
      <c r="C1122" s="8" t="s">
        <v>8</v>
      </c>
      <c r="D1122" s="8" t="s">
        <v>7</v>
      </c>
      <c r="E1122" s="8" t="s">
        <v>6</v>
      </c>
      <c r="F1122" s="8" t="s">
        <v>322</v>
      </c>
      <c r="G1122" s="8" t="s">
        <v>222</v>
      </c>
      <c r="H1122" s="8" t="s">
        <v>221</v>
      </c>
      <c r="I1122" s="7">
        <v>0</v>
      </c>
    </row>
    <row r="1123" spans="2:9" ht="25" outlineLevel="2" x14ac:dyDescent="0.2">
      <c r="B1123" s="8" t="s">
        <v>9</v>
      </c>
      <c r="C1123" s="8" t="s">
        <v>8</v>
      </c>
      <c r="D1123" s="8" t="s">
        <v>7</v>
      </c>
      <c r="E1123" s="8" t="s">
        <v>6</v>
      </c>
      <c r="F1123" s="8" t="s">
        <v>322</v>
      </c>
      <c r="G1123" s="8" t="s">
        <v>324</v>
      </c>
      <c r="H1123" s="8" t="s">
        <v>230</v>
      </c>
      <c r="I1123" s="7">
        <v>1335453</v>
      </c>
    </row>
    <row r="1124" spans="2:9" ht="25" outlineLevel="2" x14ac:dyDescent="0.2">
      <c r="B1124" s="8" t="s">
        <v>9</v>
      </c>
      <c r="C1124" s="8" t="s">
        <v>8</v>
      </c>
      <c r="D1124" s="8" t="s">
        <v>7</v>
      </c>
      <c r="E1124" s="8" t="s">
        <v>6</v>
      </c>
      <c r="F1124" s="8" t="s">
        <v>322</v>
      </c>
      <c r="G1124" s="8" t="s">
        <v>323</v>
      </c>
      <c r="H1124" s="8" t="s">
        <v>230</v>
      </c>
      <c r="I1124" s="7">
        <v>2734499</v>
      </c>
    </row>
    <row r="1125" spans="2:9" outlineLevel="2" x14ac:dyDescent="0.2">
      <c r="B1125" s="8" t="s">
        <v>9</v>
      </c>
      <c r="C1125" s="8" t="s">
        <v>8</v>
      </c>
      <c r="D1125" s="8" t="s">
        <v>7</v>
      </c>
      <c r="E1125" s="8" t="s">
        <v>6</v>
      </c>
      <c r="F1125" s="8" t="s">
        <v>322</v>
      </c>
      <c r="G1125" s="8" t="s">
        <v>321</v>
      </c>
      <c r="H1125" s="8" t="s">
        <v>26</v>
      </c>
      <c r="I1125" s="7">
        <v>4069952</v>
      </c>
    </row>
    <row r="1126" spans="2:9" outlineLevel="2" x14ac:dyDescent="0.2">
      <c r="B1126" s="8"/>
      <c r="C1126" s="8"/>
      <c r="D1126" s="8"/>
      <c r="E1126" s="8"/>
      <c r="F1126" s="8"/>
      <c r="G1126" s="8"/>
      <c r="H1126" s="8"/>
      <c r="I1126" s="7"/>
    </row>
    <row r="1127" spans="2:9" outlineLevel="2" x14ac:dyDescent="0.2">
      <c r="B1127" s="8" t="s">
        <v>9</v>
      </c>
      <c r="C1127" s="8" t="s">
        <v>8</v>
      </c>
      <c r="D1127" s="8" t="s">
        <v>7</v>
      </c>
      <c r="E1127" s="8" t="s">
        <v>6</v>
      </c>
      <c r="F1127" s="8" t="s">
        <v>313</v>
      </c>
      <c r="G1127" s="8" t="s">
        <v>320</v>
      </c>
      <c r="H1127" s="8" t="s">
        <v>11</v>
      </c>
      <c r="I1127" s="7">
        <v>-27151457</v>
      </c>
    </row>
    <row r="1128" spans="2:9" ht="25" outlineLevel="2" x14ac:dyDescent="0.2">
      <c r="B1128" s="8" t="s">
        <v>9</v>
      </c>
      <c r="C1128" s="8" t="s">
        <v>8</v>
      </c>
      <c r="D1128" s="8" t="s">
        <v>7</v>
      </c>
      <c r="E1128" s="8" t="s">
        <v>6</v>
      </c>
      <c r="F1128" s="8" t="s">
        <v>313</v>
      </c>
      <c r="G1128" s="8" t="s">
        <v>320</v>
      </c>
      <c r="H1128" s="8" t="s">
        <v>10</v>
      </c>
      <c r="I1128" s="7">
        <v>31317200</v>
      </c>
    </row>
    <row r="1129" spans="2:9" ht="25" outlineLevel="2" x14ac:dyDescent="0.2">
      <c r="B1129" s="8" t="s">
        <v>9</v>
      </c>
      <c r="C1129" s="8" t="s">
        <v>8</v>
      </c>
      <c r="D1129" s="8" t="s">
        <v>7</v>
      </c>
      <c r="E1129" s="8" t="s">
        <v>6</v>
      </c>
      <c r="F1129" s="8" t="s">
        <v>313</v>
      </c>
      <c r="G1129" s="8" t="s">
        <v>319</v>
      </c>
      <c r="H1129" s="8" t="s">
        <v>10</v>
      </c>
      <c r="I1129" s="7">
        <v>2790000</v>
      </c>
    </row>
    <row r="1130" spans="2:9" ht="25" outlineLevel="2" x14ac:dyDescent="0.2">
      <c r="B1130" s="8" t="s">
        <v>9</v>
      </c>
      <c r="C1130" s="8" t="s">
        <v>8</v>
      </c>
      <c r="D1130" s="8" t="s">
        <v>7</v>
      </c>
      <c r="E1130" s="8" t="s">
        <v>6</v>
      </c>
      <c r="F1130" s="8" t="s">
        <v>313</v>
      </c>
      <c r="G1130" s="8" t="s">
        <v>318</v>
      </c>
      <c r="H1130" s="8" t="s">
        <v>61</v>
      </c>
      <c r="I1130" s="7">
        <v>0</v>
      </c>
    </row>
    <row r="1131" spans="2:9" ht="25" outlineLevel="2" x14ac:dyDescent="0.2">
      <c r="B1131" s="8" t="s">
        <v>9</v>
      </c>
      <c r="C1131" s="8" t="s">
        <v>8</v>
      </c>
      <c r="D1131" s="8" t="s">
        <v>7</v>
      </c>
      <c r="E1131" s="8" t="s">
        <v>6</v>
      </c>
      <c r="F1131" s="8" t="s">
        <v>313</v>
      </c>
      <c r="G1131" s="8" t="s">
        <v>317</v>
      </c>
      <c r="H1131" s="8" t="s">
        <v>230</v>
      </c>
      <c r="I1131" s="7">
        <v>-1497678</v>
      </c>
    </row>
    <row r="1132" spans="2:9" outlineLevel="2" x14ac:dyDescent="0.2">
      <c r="B1132" s="8" t="s">
        <v>9</v>
      </c>
      <c r="C1132" s="8" t="s">
        <v>8</v>
      </c>
      <c r="D1132" s="8" t="s">
        <v>7</v>
      </c>
      <c r="E1132" s="8" t="s">
        <v>6</v>
      </c>
      <c r="F1132" s="8" t="s">
        <v>313</v>
      </c>
      <c r="G1132" s="8" t="s">
        <v>316</v>
      </c>
      <c r="H1132" s="8" t="s">
        <v>26</v>
      </c>
      <c r="I1132" s="7">
        <v>5458065</v>
      </c>
    </row>
    <row r="1133" spans="2:9" outlineLevel="2" x14ac:dyDescent="0.2">
      <c r="B1133" s="8" t="s">
        <v>9</v>
      </c>
      <c r="C1133" s="8" t="s">
        <v>8</v>
      </c>
      <c r="D1133" s="8" t="s">
        <v>7</v>
      </c>
      <c r="E1133" s="8" t="s">
        <v>6</v>
      </c>
      <c r="F1133" s="8" t="s">
        <v>313</v>
      </c>
      <c r="G1133" s="8" t="s">
        <v>222</v>
      </c>
      <c r="H1133" s="8" t="s">
        <v>221</v>
      </c>
      <c r="I1133" s="7">
        <v>0</v>
      </c>
    </row>
    <row r="1134" spans="2:9" ht="25" outlineLevel="2" x14ac:dyDescent="0.2">
      <c r="B1134" s="8" t="s">
        <v>9</v>
      </c>
      <c r="C1134" s="8" t="s">
        <v>8</v>
      </c>
      <c r="D1134" s="8" t="s">
        <v>7</v>
      </c>
      <c r="E1134" s="8" t="s">
        <v>6</v>
      </c>
      <c r="F1134" s="8" t="s">
        <v>313</v>
      </c>
      <c r="G1134" s="8" t="s">
        <v>315</v>
      </c>
      <c r="H1134" s="8" t="s">
        <v>230</v>
      </c>
      <c r="I1134" s="7">
        <v>1497678</v>
      </c>
    </row>
    <row r="1135" spans="2:9" ht="25" outlineLevel="2" x14ac:dyDescent="0.2">
      <c r="B1135" s="8" t="s">
        <v>9</v>
      </c>
      <c r="C1135" s="8" t="s">
        <v>8</v>
      </c>
      <c r="D1135" s="8" t="s">
        <v>7</v>
      </c>
      <c r="E1135" s="8" t="s">
        <v>6</v>
      </c>
      <c r="F1135" s="8" t="s">
        <v>313</v>
      </c>
      <c r="G1135" s="8" t="s">
        <v>314</v>
      </c>
      <c r="H1135" s="8" t="s">
        <v>230</v>
      </c>
      <c r="I1135" s="7">
        <v>3066674</v>
      </c>
    </row>
    <row r="1136" spans="2:9" outlineLevel="2" x14ac:dyDescent="0.2">
      <c r="B1136" s="8" t="s">
        <v>9</v>
      </c>
      <c r="C1136" s="8" t="s">
        <v>8</v>
      </c>
      <c r="D1136" s="8" t="s">
        <v>7</v>
      </c>
      <c r="E1136" s="8" t="s">
        <v>6</v>
      </c>
      <c r="F1136" s="8" t="s">
        <v>313</v>
      </c>
      <c r="G1136" s="8" t="s">
        <v>312</v>
      </c>
      <c r="H1136" s="8" t="s">
        <v>26</v>
      </c>
      <c r="I1136" s="7">
        <v>4564352</v>
      </c>
    </row>
    <row r="1137" spans="2:9" outlineLevel="2" x14ac:dyDescent="0.2">
      <c r="B1137" s="8"/>
      <c r="C1137" s="8"/>
      <c r="D1137" s="8"/>
      <c r="E1137" s="8"/>
      <c r="F1137" s="8"/>
      <c r="G1137" s="8"/>
      <c r="H1137" s="8"/>
      <c r="I1137" s="7"/>
    </row>
    <row r="1138" spans="2:9" outlineLevel="2" x14ac:dyDescent="0.2">
      <c r="B1138" s="8" t="s">
        <v>9</v>
      </c>
      <c r="C1138" s="8" t="s">
        <v>8</v>
      </c>
      <c r="D1138" s="8" t="s">
        <v>7</v>
      </c>
      <c r="E1138" s="8" t="s">
        <v>6</v>
      </c>
      <c r="F1138" s="8" t="s">
        <v>304</v>
      </c>
      <c r="G1138" s="8" t="s">
        <v>311</v>
      </c>
      <c r="H1138" s="8" t="s">
        <v>11</v>
      </c>
      <c r="I1138" s="7">
        <v>-26746434</v>
      </c>
    </row>
    <row r="1139" spans="2:9" ht="25" outlineLevel="2" x14ac:dyDescent="0.2">
      <c r="B1139" s="8" t="s">
        <v>9</v>
      </c>
      <c r="C1139" s="8" t="s">
        <v>8</v>
      </c>
      <c r="D1139" s="8" t="s">
        <v>7</v>
      </c>
      <c r="E1139" s="8" t="s">
        <v>6</v>
      </c>
      <c r="F1139" s="8" t="s">
        <v>304</v>
      </c>
      <c r="G1139" s="8" t="s">
        <v>311</v>
      </c>
      <c r="H1139" s="8" t="s">
        <v>10</v>
      </c>
      <c r="I1139" s="7">
        <v>30777169</v>
      </c>
    </row>
    <row r="1140" spans="2:9" ht="25" outlineLevel="2" x14ac:dyDescent="0.2">
      <c r="B1140" s="8" t="s">
        <v>9</v>
      </c>
      <c r="C1140" s="8" t="s">
        <v>8</v>
      </c>
      <c r="D1140" s="8" t="s">
        <v>7</v>
      </c>
      <c r="E1140" s="8" t="s">
        <v>6</v>
      </c>
      <c r="F1140" s="8" t="s">
        <v>304</v>
      </c>
      <c r="G1140" s="8" t="s">
        <v>310</v>
      </c>
      <c r="H1140" s="8" t="s">
        <v>10</v>
      </c>
      <c r="I1140" s="7">
        <v>2790000</v>
      </c>
    </row>
    <row r="1141" spans="2:9" ht="25" outlineLevel="2" x14ac:dyDescent="0.2">
      <c r="B1141" s="8" t="s">
        <v>9</v>
      </c>
      <c r="C1141" s="8" t="s">
        <v>8</v>
      </c>
      <c r="D1141" s="8" t="s">
        <v>7</v>
      </c>
      <c r="E1141" s="8" t="s">
        <v>6</v>
      </c>
      <c r="F1141" s="8" t="s">
        <v>304</v>
      </c>
      <c r="G1141" s="8" t="s">
        <v>309</v>
      </c>
      <c r="H1141" s="8" t="s">
        <v>61</v>
      </c>
      <c r="I1141" s="7">
        <v>0</v>
      </c>
    </row>
    <row r="1142" spans="2:9" ht="25" outlineLevel="2" x14ac:dyDescent="0.2">
      <c r="B1142" s="8" t="s">
        <v>9</v>
      </c>
      <c r="C1142" s="8" t="s">
        <v>8</v>
      </c>
      <c r="D1142" s="8" t="s">
        <v>7</v>
      </c>
      <c r="E1142" s="8" t="s">
        <v>6</v>
      </c>
      <c r="F1142" s="8" t="s">
        <v>304</v>
      </c>
      <c r="G1142" s="8" t="s">
        <v>308</v>
      </c>
      <c r="H1142" s="8" t="s">
        <v>230</v>
      </c>
      <c r="I1142" s="7">
        <v>-1497678</v>
      </c>
    </row>
    <row r="1143" spans="2:9" outlineLevel="2" x14ac:dyDescent="0.2">
      <c r="B1143" s="8" t="s">
        <v>9</v>
      </c>
      <c r="C1143" s="8" t="s">
        <v>8</v>
      </c>
      <c r="D1143" s="8" t="s">
        <v>7</v>
      </c>
      <c r="E1143" s="8" t="s">
        <v>6</v>
      </c>
      <c r="F1143" s="8" t="s">
        <v>304</v>
      </c>
      <c r="G1143" s="8" t="s">
        <v>307</v>
      </c>
      <c r="H1143" s="8" t="s">
        <v>26</v>
      </c>
      <c r="I1143" s="7">
        <v>5323057</v>
      </c>
    </row>
    <row r="1144" spans="2:9" outlineLevel="2" x14ac:dyDescent="0.2">
      <c r="B1144" s="8" t="s">
        <v>9</v>
      </c>
      <c r="C1144" s="8" t="s">
        <v>8</v>
      </c>
      <c r="D1144" s="8" t="s">
        <v>7</v>
      </c>
      <c r="E1144" s="8" t="s">
        <v>6</v>
      </c>
      <c r="F1144" s="8" t="s">
        <v>304</v>
      </c>
      <c r="G1144" s="8" t="s">
        <v>222</v>
      </c>
      <c r="H1144" s="8" t="s">
        <v>221</v>
      </c>
      <c r="I1144" s="7">
        <v>0</v>
      </c>
    </row>
    <row r="1145" spans="2:9" ht="25" outlineLevel="2" x14ac:dyDescent="0.2">
      <c r="B1145" s="8" t="s">
        <v>9</v>
      </c>
      <c r="C1145" s="8" t="s">
        <v>8</v>
      </c>
      <c r="D1145" s="8" t="s">
        <v>7</v>
      </c>
      <c r="E1145" s="8" t="s">
        <v>6</v>
      </c>
      <c r="F1145" s="8" t="s">
        <v>304</v>
      </c>
      <c r="G1145" s="8" t="s">
        <v>306</v>
      </c>
      <c r="H1145" s="8" t="s">
        <v>230</v>
      </c>
      <c r="I1145" s="7">
        <v>1497678</v>
      </c>
    </row>
    <row r="1146" spans="2:9" ht="25" outlineLevel="2" x14ac:dyDescent="0.2">
      <c r="B1146" s="8" t="s">
        <v>9</v>
      </c>
      <c r="C1146" s="8" t="s">
        <v>8</v>
      </c>
      <c r="D1146" s="8" t="s">
        <v>7</v>
      </c>
      <c r="E1146" s="8" t="s">
        <v>6</v>
      </c>
      <c r="F1146" s="8" t="s">
        <v>304</v>
      </c>
      <c r="G1146" s="8" t="s">
        <v>305</v>
      </c>
      <c r="H1146" s="8" t="s">
        <v>230</v>
      </c>
      <c r="I1146" s="7">
        <v>3066674</v>
      </c>
    </row>
    <row r="1147" spans="2:9" outlineLevel="2" x14ac:dyDescent="0.2">
      <c r="B1147" s="8" t="s">
        <v>9</v>
      </c>
      <c r="C1147" s="8" t="s">
        <v>8</v>
      </c>
      <c r="D1147" s="8" t="s">
        <v>7</v>
      </c>
      <c r="E1147" s="8" t="s">
        <v>6</v>
      </c>
      <c r="F1147" s="8" t="s">
        <v>304</v>
      </c>
      <c r="G1147" s="8" t="s">
        <v>303</v>
      </c>
      <c r="H1147" s="8" t="s">
        <v>26</v>
      </c>
      <c r="I1147" s="7">
        <v>4564352</v>
      </c>
    </row>
    <row r="1148" spans="2:9" outlineLevel="2" x14ac:dyDescent="0.2">
      <c r="B1148" s="8"/>
      <c r="C1148" s="8"/>
      <c r="D1148" s="8"/>
      <c r="E1148" s="8"/>
      <c r="F1148" s="8"/>
      <c r="G1148" s="8"/>
      <c r="H1148" s="8"/>
      <c r="I1148" s="7"/>
    </row>
    <row r="1149" spans="2:9" outlineLevel="2" x14ac:dyDescent="0.2">
      <c r="B1149" s="8" t="s">
        <v>9</v>
      </c>
      <c r="C1149" s="8" t="s">
        <v>8</v>
      </c>
      <c r="D1149" s="8" t="s">
        <v>7</v>
      </c>
      <c r="E1149" s="8" t="s">
        <v>6</v>
      </c>
      <c r="F1149" s="8" t="s">
        <v>299</v>
      </c>
      <c r="G1149" s="8" t="s">
        <v>302</v>
      </c>
      <c r="H1149" s="8" t="s">
        <v>11</v>
      </c>
      <c r="I1149" s="7">
        <v>-7294563</v>
      </c>
    </row>
    <row r="1150" spans="2:9" ht="25" outlineLevel="2" x14ac:dyDescent="0.2">
      <c r="B1150" s="8" t="s">
        <v>9</v>
      </c>
      <c r="C1150" s="8" t="s">
        <v>8</v>
      </c>
      <c r="D1150" s="8" t="s">
        <v>7</v>
      </c>
      <c r="E1150" s="8" t="s">
        <v>6</v>
      </c>
      <c r="F1150" s="8" t="s">
        <v>299</v>
      </c>
      <c r="G1150" s="8" t="s">
        <v>302</v>
      </c>
      <c r="H1150" s="8" t="s">
        <v>301</v>
      </c>
      <c r="I1150" s="7">
        <v>8105070</v>
      </c>
    </row>
    <row r="1151" spans="2:9" outlineLevel="2" x14ac:dyDescent="0.2">
      <c r="B1151" s="8" t="s">
        <v>9</v>
      </c>
      <c r="C1151" s="8" t="s">
        <v>8</v>
      </c>
      <c r="D1151" s="8" t="s">
        <v>7</v>
      </c>
      <c r="E1151" s="8" t="s">
        <v>6</v>
      </c>
      <c r="F1151" s="8" t="s">
        <v>299</v>
      </c>
      <c r="G1151" s="8" t="s">
        <v>300</v>
      </c>
      <c r="H1151" s="8" t="s">
        <v>26</v>
      </c>
      <c r="I1151" s="7">
        <v>810507</v>
      </c>
    </row>
    <row r="1152" spans="2:9" outlineLevel="2" x14ac:dyDescent="0.2">
      <c r="B1152" s="8" t="s">
        <v>9</v>
      </c>
      <c r="C1152" s="8" t="s">
        <v>8</v>
      </c>
      <c r="D1152" s="8" t="s">
        <v>7</v>
      </c>
      <c r="E1152" s="8" t="s">
        <v>6</v>
      </c>
      <c r="F1152" s="8" t="s">
        <v>299</v>
      </c>
      <c r="G1152" s="8" t="s">
        <v>7</v>
      </c>
      <c r="H1152" s="8" t="s">
        <v>221</v>
      </c>
      <c r="I1152" s="7">
        <v>0</v>
      </c>
    </row>
    <row r="1153" spans="2:9" outlineLevel="2" x14ac:dyDescent="0.2">
      <c r="B1153" s="8"/>
      <c r="C1153" s="8"/>
      <c r="D1153" s="8"/>
      <c r="E1153" s="8"/>
      <c r="F1153" s="8"/>
      <c r="G1153" s="8"/>
      <c r="H1153" s="8"/>
      <c r="I1153" s="7"/>
    </row>
    <row r="1154" spans="2:9" outlineLevel="2" x14ac:dyDescent="0.2">
      <c r="B1154" s="8" t="s">
        <v>9</v>
      </c>
      <c r="C1154" s="8" t="s">
        <v>8</v>
      </c>
      <c r="D1154" s="8" t="s">
        <v>7</v>
      </c>
      <c r="E1154" s="8" t="s">
        <v>6</v>
      </c>
      <c r="F1154" s="8" t="s">
        <v>292</v>
      </c>
      <c r="G1154" s="8" t="s">
        <v>298</v>
      </c>
      <c r="H1154" s="8" t="s">
        <v>11</v>
      </c>
      <c r="I1154" s="7">
        <v>-57979262</v>
      </c>
    </row>
    <row r="1155" spans="2:9" ht="37" outlineLevel="2" x14ac:dyDescent="0.2">
      <c r="B1155" s="8" t="s">
        <v>9</v>
      </c>
      <c r="C1155" s="8" t="s">
        <v>8</v>
      </c>
      <c r="D1155" s="8" t="s">
        <v>7</v>
      </c>
      <c r="E1155" s="8" t="s">
        <v>6</v>
      </c>
      <c r="F1155" s="8" t="s">
        <v>292</v>
      </c>
      <c r="G1155" s="8" t="s">
        <v>297</v>
      </c>
      <c r="H1155" s="8" t="s">
        <v>295</v>
      </c>
      <c r="I1155" s="7">
        <v>78690000</v>
      </c>
    </row>
    <row r="1156" spans="2:9" ht="37" outlineLevel="2" x14ac:dyDescent="0.2">
      <c r="B1156" s="8" t="s">
        <v>9</v>
      </c>
      <c r="C1156" s="8" t="s">
        <v>8</v>
      </c>
      <c r="D1156" s="8" t="s">
        <v>7</v>
      </c>
      <c r="E1156" s="8" t="s">
        <v>6</v>
      </c>
      <c r="F1156" s="8" t="s">
        <v>292</v>
      </c>
      <c r="G1156" s="8" t="s">
        <v>296</v>
      </c>
      <c r="H1156" s="8" t="s">
        <v>295</v>
      </c>
      <c r="I1156" s="7">
        <v>10371270</v>
      </c>
    </row>
    <row r="1157" spans="2:9" ht="25" outlineLevel="2" x14ac:dyDescent="0.2">
      <c r="B1157" s="8" t="s">
        <v>9</v>
      </c>
      <c r="C1157" s="8" t="s">
        <v>8</v>
      </c>
      <c r="D1157" s="8" t="s">
        <v>7</v>
      </c>
      <c r="E1157" s="8" t="s">
        <v>6</v>
      </c>
      <c r="F1157" s="8" t="s">
        <v>292</v>
      </c>
      <c r="G1157" s="8" t="s">
        <v>293</v>
      </c>
      <c r="H1157" s="8" t="s">
        <v>218</v>
      </c>
      <c r="I1157" s="7">
        <v>0</v>
      </c>
    </row>
    <row r="1158" spans="2:9" outlineLevel="2" x14ac:dyDescent="0.2">
      <c r="B1158" s="8" t="s">
        <v>9</v>
      </c>
      <c r="C1158" s="8" t="s">
        <v>8</v>
      </c>
      <c r="D1158" s="8" t="s">
        <v>7</v>
      </c>
      <c r="E1158" s="8" t="s">
        <v>6</v>
      </c>
      <c r="F1158" s="8" t="s">
        <v>292</v>
      </c>
      <c r="G1158" s="8" t="s">
        <v>294</v>
      </c>
      <c r="H1158" s="8" t="s">
        <v>26</v>
      </c>
      <c r="I1158" s="7">
        <v>31082008</v>
      </c>
    </row>
    <row r="1159" spans="2:9" outlineLevel="2" x14ac:dyDescent="0.2">
      <c r="B1159" s="8" t="s">
        <v>9</v>
      </c>
      <c r="C1159" s="8" t="s">
        <v>8</v>
      </c>
      <c r="D1159" s="8" t="s">
        <v>7</v>
      </c>
      <c r="E1159" s="8" t="s">
        <v>6</v>
      </c>
      <c r="F1159" s="8" t="s">
        <v>292</v>
      </c>
      <c r="G1159" s="8" t="s">
        <v>222</v>
      </c>
      <c r="H1159" s="8" t="s">
        <v>221</v>
      </c>
      <c r="I1159" s="7">
        <v>0</v>
      </c>
    </row>
    <row r="1160" spans="2:9" ht="25" outlineLevel="2" x14ac:dyDescent="0.2">
      <c r="B1160" s="8" t="s">
        <v>9</v>
      </c>
      <c r="C1160" s="8" t="s">
        <v>8</v>
      </c>
      <c r="D1160" s="8" t="s">
        <v>7</v>
      </c>
      <c r="E1160" s="8" t="s">
        <v>6</v>
      </c>
      <c r="F1160" s="8" t="s">
        <v>292</v>
      </c>
      <c r="G1160" s="8" t="s">
        <v>293</v>
      </c>
      <c r="H1160" s="8" t="s">
        <v>218</v>
      </c>
      <c r="I1160" s="7">
        <v>0</v>
      </c>
    </row>
    <row r="1161" spans="2:9" ht="25" outlineLevel="2" x14ac:dyDescent="0.2">
      <c r="B1161" s="8" t="s">
        <v>9</v>
      </c>
      <c r="C1161" s="8" t="s">
        <v>8</v>
      </c>
      <c r="D1161" s="8" t="s">
        <v>7</v>
      </c>
      <c r="E1161" s="8" t="s">
        <v>6</v>
      </c>
      <c r="F1161" s="8" t="s">
        <v>292</v>
      </c>
      <c r="G1161" s="8" t="s">
        <v>293</v>
      </c>
      <c r="H1161" s="8" t="s">
        <v>218</v>
      </c>
      <c r="I1161" s="7">
        <v>0</v>
      </c>
    </row>
    <row r="1162" spans="2:9" outlineLevel="2" x14ac:dyDescent="0.2">
      <c r="B1162" s="8" t="s">
        <v>9</v>
      </c>
      <c r="C1162" s="8" t="s">
        <v>8</v>
      </c>
      <c r="D1162" s="8" t="s">
        <v>7</v>
      </c>
      <c r="E1162" s="8" t="s">
        <v>6</v>
      </c>
      <c r="F1162" s="8" t="s">
        <v>292</v>
      </c>
      <c r="G1162" s="8" t="s">
        <v>291</v>
      </c>
      <c r="H1162" s="8" t="s">
        <v>26</v>
      </c>
      <c r="I1162" s="7">
        <v>0</v>
      </c>
    </row>
    <row r="1163" spans="2:9" outlineLevel="2" x14ac:dyDescent="0.2">
      <c r="B1163" s="8"/>
      <c r="C1163" s="8"/>
      <c r="D1163" s="8"/>
      <c r="E1163" s="8"/>
      <c r="F1163" s="8"/>
      <c r="G1163" s="8"/>
      <c r="H1163" s="8"/>
      <c r="I1163" s="7"/>
    </row>
    <row r="1164" spans="2:9" outlineLevel="2" x14ac:dyDescent="0.2">
      <c r="B1164" s="8" t="s">
        <v>9</v>
      </c>
      <c r="C1164" s="8" t="s">
        <v>8</v>
      </c>
      <c r="D1164" s="8" t="s">
        <v>7</v>
      </c>
      <c r="E1164" s="8" t="s">
        <v>6</v>
      </c>
      <c r="F1164" s="8" t="s">
        <v>13</v>
      </c>
      <c r="G1164" s="8" t="s">
        <v>290</v>
      </c>
      <c r="H1164" s="8" t="s">
        <v>11</v>
      </c>
      <c r="I1164" s="7">
        <v>-24175739</v>
      </c>
    </row>
    <row r="1165" spans="2:9" ht="25" outlineLevel="2" x14ac:dyDescent="0.2">
      <c r="B1165" s="8" t="s">
        <v>9</v>
      </c>
      <c r="C1165" s="8" t="s">
        <v>8</v>
      </c>
      <c r="D1165" s="8" t="s">
        <v>7</v>
      </c>
      <c r="E1165" s="8" t="s">
        <v>6</v>
      </c>
      <c r="F1165" s="8" t="s">
        <v>13</v>
      </c>
      <c r="G1165" s="8" t="s">
        <v>290</v>
      </c>
      <c r="H1165" s="8" t="s">
        <v>10</v>
      </c>
      <c r="I1165" s="7">
        <v>25211900</v>
      </c>
    </row>
    <row r="1166" spans="2:9" ht="25" outlineLevel="2" x14ac:dyDescent="0.2">
      <c r="B1166" s="8" t="s">
        <v>9</v>
      </c>
      <c r="C1166" s="8" t="s">
        <v>8</v>
      </c>
      <c r="D1166" s="8" t="s">
        <v>7</v>
      </c>
      <c r="E1166" s="8" t="s">
        <v>6</v>
      </c>
      <c r="F1166" s="8" t="s">
        <v>13</v>
      </c>
      <c r="G1166" s="8" t="s">
        <v>289</v>
      </c>
      <c r="H1166" s="8" t="s">
        <v>10</v>
      </c>
      <c r="I1166" s="7">
        <v>2790000</v>
      </c>
    </row>
    <row r="1167" spans="2:9" ht="25" outlineLevel="2" x14ac:dyDescent="0.2">
      <c r="B1167" s="8" t="s">
        <v>9</v>
      </c>
      <c r="C1167" s="8" t="s">
        <v>8</v>
      </c>
      <c r="D1167" s="8" t="s">
        <v>7</v>
      </c>
      <c r="E1167" s="8" t="s">
        <v>6</v>
      </c>
      <c r="F1167" s="8" t="s">
        <v>13</v>
      </c>
      <c r="G1167" s="8" t="s">
        <v>288</v>
      </c>
      <c r="H1167" s="8" t="s">
        <v>61</v>
      </c>
      <c r="I1167" s="7">
        <v>1510000</v>
      </c>
    </row>
    <row r="1168" spans="2:9" ht="25" outlineLevel="2" x14ac:dyDescent="0.2">
      <c r="B1168" s="8" t="s">
        <v>9</v>
      </c>
      <c r="C1168" s="8" t="s">
        <v>8</v>
      </c>
      <c r="D1168" s="8" t="s">
        <v>7</v>
      </c>
      <c r="E1168" s="8" t="s">
        <v>6</v>
      </c>
      <c r="F1168" s="8" t="s">
        <v>13</v>
      </c>
      <c r="G1168" s="8" t="s">
        <v>287</v>
      </c>
      <c r="H1168" s="8" t="s">
        <v>230</v>
      </c>
      <c r="I1168" s="7">
        <v>-1182678</v>
      </c>
    </row>
    <row r="1169" spans="2:9" outlineLevel="2" x14ac:dyDescent="0.2">
      <c r="B1169" s="8" t="s">
        <v>9</v>
      </c>
      <c r="C1169" s="8" t="s">
        <v>8</v>
      </c>
      <c r="D1169" s="8" t="s">
        <v>7</v>
      </c>
      <c r="E1169" s="8" t="s">
        <v>6</v>
      </c>
      <c r="F1169" s="8" t="s">
        <v>13</v>
      </c>
      <c r="G1169" s="8" t="s">
        <v>286</v>
      </c>
      <c r="H1169" s="8" t="s">
        <v>26</v>
      </c>
      <c r="I1169" s="7">
        <v>4153483</v>
      </c>
    </row>
    <row r="1170" spans="2:9" outlineLevel="2" x14ac:dyDescent="0.2">
      <c r="B1170" s="8" t="s">
        <v>9</v>
      </c>
      <c r="C1170" s="8" t="s">
        <v>8</v>
      </c>
      <c r="D1170" s="8" t="s">
        <v>7</v>
      </c>
      <c r="E1170" s="8" t="s">
        <v>6</v>
      </c>
      <c r="F1170" s="8" t="s">
        <v>13</v>
      </c>
      <c r="G1170" s="8" t="s">
        <v>222</v>
      </c>
      <c r="H1170" s="8" t="s">
        <v>221</v>
      </c>
      <c r="I1170" s="7">
        <v>0</v>
      </c>
    </row>
    <row r="1171" spans="2:9" ht="25" outlineLevel="2" x14ac:dyDescent="0.2">
      <c r="B1171" s="8" t="s">
        <v>9</v>
      </c>
      <c r="C1171" s="8" t="s">
        <v>8</v>
      </c>
      <c r="D1171" s="8" t="s">
        <v>7</v>
      </c>
      <c r="E1171" s="8" t="s">
        <v>6</v>
      </c>
      <c r="F1171" s="8" t="s">
        <v>13</v>
      </c>
      <c r="G1171" s="8" t="s">
        <v>285</v>
      </c>
      <c r="H1171" s="8" t="s">
        <v>230</v>
      </c>
      <c r="I1171" s="7">
        <v>1182678</v>
      </c>
    </row>
    <row r="1172" spans="2:9" ht="25" outlineLevel="2" x14ac:dyDescent="0.2">
      <c r="B1172" s="8" t="s">
        <v>9</v>
      </c>
      <c r="C1172" s="8" t="s">
        <v>8</v>
      </c>
      <c r="D1172" s="8" t="s">
        <v>7</v>
      </c>
      <c r="E1172" s="8" t="s">
        <v>6</v>
      </c>
      <c r="F1172" s="8" t="s">
        <v>13</v>
      </c>
      <c r="G1172" s="8" t="s">
        <v>284</v>
      </c>
      <c r="H1172" s="8" t="s">
        <v>230</v>
      </c>
      <c r="I1172" s="7">
        <v>2421674</v>
      </c>
    </row>
    <row r="1173" spans="2:9" outlineLevel="2" x14ac:dyDescent="0.2">
      <c r="B1173" s="8" t="s">
        <v>9</v>
      </c>
      <c r="C1173" s="8" t="s">
        <v>8</v>
      </c>
      <c r="D1173" s="8" t="s">
        <v>7</v>
      </c>
      <c r="E1173" s="8" t="s">
        <v>6</v>
      </c>
      <c r="F1173" s="8" t="s">
        <v>13</v>
      </c>
      <c r="G1173" s="8" t="s">
        <v>283</v>
      </c>
      <c r="H1173" s="8" t="s">
        <v>26</v>
      </c>
      <c r="I1173" s="7">
        <v>3604352</v>
      </c>
    </row>
    <row r="1174" spans="2:9" outlineLevel="2" x14ac:dyDescent="0.2">
      <c r="B1174" s="8"/>
      <c r="C1174" s="8"/>
      <c r="D1174" s="8"/>
      <c r="E1174" s="8"/>
      <c r="F1174" s="8"/>
      <c r="G1174" s="8"/>
      <c r="H1174" s="8"/>
      <c r="I1174" s="7"/>
    </row>
    <row r="1175" spans="2:9" outlineLevel="2" x14ac:dyDescent="0.2">
      <c r="B1175" s="8" t="s">
        <v>9</v>
      </c>
      <c r="C1175" s="8" t="s">
        <v>8</v>
      </c>
      <c r="D1175" s="8" t="s">
        <v>7</v>
      </c>
      <c r="E1175" s="8" t="s">
        <v>6</v>
      </c>
      <c r="F1175" s="8" t="s">
        <v>275</v>
      </c>
      <c r="G1175" s="8" t="s">
        <v>282</v>
      </c>
      <c r="H1175" s="8" t="s">
        <v>11</v>
      </c>
      <c r="I1175" s="7">
        <v>-17163416</v>
      </c>
    </row>
    <row r="1176" spans="2:9" ht="25" outlineLevel="2" x14ac:dyDescent="0.2">
      <c r="B1176" s="8" t="s">
        <v>9</v>
      </c>
      <c r="C1176" s="8" t="s">
        <v>8</v>
      </c>
      <c r="D1176" s="8" t="s">
        <v>7</v>
      </c>
      <c r="E1176" s="8" t="s">
        <v>6</v>
      </c>
      <c r="F1176" s="8" t="s">
        <v>275</v>
      </c>
      <c r="G1176" s="8" t="s">
        <v>282</v>
      </c>
      <c r="H1176" s="8" t="s">
        <v>10</v>
      </c>
      <c r="I1176" s="7">
        <v>18263333</v>
      </c>
    </row>
    <row r="1177" spans="2:9" ht="25" outlineLevel="2" x14ac:dyDescent="0.2">
      <c r="B1177" s="8" t="s">
        <v>9</v>
      </c>
      <c r="C1177" s="8" t="s">
        <v>8</v>
      </c>
      <c r="D1177" s="8" t="s">
        <v>7</v>
      </c>
      <c r="E1177" s="8" t="s">
        <v>6</v>
      </c>
      <c r="F1177" s="8" t="s">
        <v>275</v>
      </c>
      <c r="G1177" s="8" t="s">
        <v>281</v>
      </c>
      <c r="H1177" s="8" t="s">
        <v>10</v>
      </c>
      <c r="I1177" s="7">
        <v>2790000</v>
      </c>
    </row>
    <row r="1178" spans="2:9" ht="25" outlineLevel="2" x14ac:dyDescent="0.2">
      <c r="B1178" s="8" t="s">
        <v>9</v>
      </c>
      <c r="C1178" s="8" t="s">
        <v>8</v>
      </c>
      <c r="D1178" s="8" t="s">
        <v>7</v>
      </c>
      <c r="E1178" s="8" t="s">
        <v>6</v>
      </c>
      <c r="F1178" s="8" t="s">
        <v>275</v>
      </c>
      <c r="G1178" s="8" t="s">
        <v>280</v>
      </c>
      <c r="H1178" s="8" t="s">
        <v>61</v>
      </c>
      <c r="I1178" s="7">
        <v>0</v>
      </c>
    </row>
    <row r="1179" spans="2:9" ht="25" outlineLevel="2" x14ac:dyDescent="0.2">
      <c r="B1179" s="8" t="s">
        <v>9</v>
      </c>
      <c r="C1179" s="8" t="s">
        <v>8</v>
      </c>
      <c r="D1179" s="8" t="s">
        <v>7</v>
      </c>
      <c r="E1179" s="8" t="s">
        <v>6</v>
      </c>
      <c r="F1179" s="8" t="s">
        <v>275</v>
      </c>
      <c r="G1179" s="8" t="s">
        <v>279</v>
      </c>
      <c r="H1179" s="8" t="s">
        <v>230</v>
      </c>
      <c r="I1179" s="7">
        <v>-1365000</v>
      </c>
    </row>
    <row r="1180" spans="2:9" outlineLevel="2" x14ac:dyDescent="0.2">
      <c r="B1180" s="8" t="s">
        <v>9</v>
      </c>
      <c r="C1180" s="8" t="s">
        <v>8</v>
      </c>
      <c r="D1180" s="8" t="s">
        <v>7</v>
      </c>
      <c r="E1180" s="8" t="s">
        <v>6</v>
      </c>
      <c r="F1180" s="8" t="s">
        <v>275</v>
      </c>
      <c r="G1180" s="8" t="s">
        <v>278</v>
      </c>
      <c r="H1180" s="8" t="s">
        <v>26</v>
      </c>
      <c r="I1180" s="7">
        <v>2524917</v>
      </c>
    </row>
    <row r="1181" spans="2:9" outlineLevel="2" x14ac:dyDescent="0.2">
      <c r="B1181" s="8" t="s">
        <v>9</v>
      </c>
      <c r="C1181" s="8" t="s">
        <v>8</v>
      </c>
      <c r="D1181" s="8" t="s">
        <v>7</v>
      </c>
      <c r="E1181" s="8" t="s">
        <v>6</v>
      </c>
      <c r="F1181" s="8" t="s">
        <v>275</v>
      </c>
      <c r="G1181" s="8" t="s">
        <v>222</v>
      </c>
      <c r="H1181" s="8" t="s">
        <v>221</v>
      </c>
      <c r="I1181" s="7">
        <v>0</v>
      </c>
    </row>
    <row r="1182" spans="2:9" ht="25" outlineLevel="2" x14ac:dyDescent="0.2">
      <c r="B1182" s="8" t="s">
        <v>9</v>
      </c>
      <c r="C1182" s="8" t="s">
        <v>8</v>
      </c>
      <c r="D1182" s="8" t="s">
        <v>7</v>
      </c>
      <c r="E1182" s="8" t="s">
        <v>6</v>
      </c>
      <c r="F1182" s="8" t="s">
        <v>275</v>
      </c>
      <c r="G1182" s="8" t="s">
        <v>277</v>
      </c>
      <c r="H1182" s="8" t="s">
        <v>230</v>
      </c>
      <c r="I1182" s="7">
        <v>1365000</v>
      </c>
    </row>
    <row r="1183" spans="2:9" ht="25" outlineLevel="2" x14ac:dyDescent="0.2">
      <c r="B1183" s="8" t="s">
        <v>9</v>
      </c>
      <c r="C1183" s="8" t="s">
        <v>8</v>
      </c>
      <c r="D1183" s="8" t="s">
        <v>7</v>
      </c>
      <c r="E1183" s="8" t="s">
        <v>6</v>
      </c>
      <c r="F1183" s="8" t="s">
        <v>275</v>
      </c>
      <c r="G1183" s="8" t="s">
        <v>276</v>
      </c>
      <c r="H1183" s="8" t="s">
        <v>230</v>
      </c>
      <c r="I1183" s="7">
        <v>2795000</v>
      </c>
    </row>
    <row r="1184" spans="2:9" outlineLevel="2" x14ac:dyDescent="0.2">
      <c r="B1184" s="8" t="s">
        <v>9</v>
      </c>
      <c r="C1184" s="8" t="s">
        <v>8</v>
      </c>
      <c r="D1184" s="8" t="s">
        <v>7</v>
      </c>
      <c r="E1184" s="8" t="s">
        <v>6</v>
      </c>
      <c r="F1184" s="8" t="s">
        <v>275</v>
      </c>
      <c r="G1184" s="8" t="s">
        <v>274</v>
      </c>
      <c r="H1184" s="8" t="s">
        <v>26</v>
      </c>
      <c r="I1184" s="7">
        <v>4160000</v>
      </c>
    </row>
    <row r="1185" spans="2:9" outlineLevel="2" x14ac:dyDescent="0.2">
      <c r="B1185" s="8"/>
      <c r="C1185" s="8"/>
      <c r="D1185" s="8"/>
      <c r="E1185" s="8"/>
      <c r="F1185" s="8"/>
      <c r="G1185" s="8"/>
      <c r="H1185" s="8"/>
      <c r="I1185" s="7"/>
    </row>
    <row r="1186" spans="2:9" outlineLevel="2" x14ac:dyDescent="0.2">
      <c r="B1186" s="8" t="s">
        <v>9</v>
      </c>
      <c r="C1186" s="8" t="s">
        <v>8</v>
      </c>
      <c r="D1186" s="8" t="s">
        <v>7</v>
      </c>
      <c r="E1186" s="8" t="s">
        <v>6</v>
      </c>
      <c r="F1186" s="8" t="s">
        <v>265</v>
      </c>
      <c r="G1186" s="8" t="s">
        <v>273</v>
      </c>
      <c r="H1186" s="8" t="s">
        <v>11</v>
      </c>
      <c r="I1186" s="7">
        <v>-4475000</v>
      </c>
    </row>
    <row r="1187" spans="2:9" ht="25" outlineLevel="2" x14ac:dyDescent="0.2">
      <c r="B1187" s="8" t="s">
        <v>9</v>
      </c>
      <c r="C1187" s="8" t="s">
        <v>8</v>
      </c>
      <c r="D1187" s="8" t="s">
        <v>7</v>
      </c>
      <c r="E1187" s="8" t="s">
        <v>6</v>
      </c>
      <c r="F1187" s="8" t="s">
        <v>265</v>
      </c>
      <c r="G1187" s="8" t="s">
        <v>272</v>
      </c>
      <c r="H1187" s="8" t="s">
        <v>270</v>
      </c>
      <c r="I1187" s="7">
        <v>5000000</v>
      </c>
    </row>
    <row r="1188" spans="2:9" ht="25" outlineLevel="2" x14ac:dyDescent="0.2">
      <c r="B1188" s="8" t="s">
        <v>9</v>
      </c>
      <c r="C1188" s="8" t="s">
        <v>8</v>
      </c>
      <c r="D1188" s="8" t="s">
        <v>7</v>
      </c>
      <c r="E1188" s="8" t="s">
        <v>6</v>
      </c>
      <c r="F1188" s="8" t="s">
        <v>265</v>
      </c>
      <c r="G1188" s="8" t="s">
        <v>271</v>
      </c>
      <c r="H1188" s="8" t="s">
        <v>270</v>
      </c>
      <c r="I1188" s="7">
        <v>0</v>
      </c>
    </row>
    <row r="1189" spans="2:9" ht="25" outlineLevel="2" x14ac:dyDescent="0.2">
      <c r="B1189" s="8" t="s">
        <v>9</v>
      </c>
      <c r="C1189" s="8" t="s">
        <v>8</v>
      </c>
      <c r="D1189" s="8" t="s">
        <v>7</v>
      </c>
      <c r="E1189" s="8" t="s">
        <v>6</v>
      </c>
      <c r="F1189" s="8" t="s">
        <v>265</v>
      </c>
      <c r="G1189" s="8" t="s">
        <v>269</v>
      </c>
      <c r="H1189" s="8" t="s">
        <v>218</v>
      </c>
      <c r="I1189" s="7">
        <v>-525000</v>
      </c>
    </row>
    <row r="1190" spans="2:9" outlineLevel="2" x14ac:dyDescent="0.2">
      <c r="B1190" s="8" t="s">
        <v>9</v>
      </c>
      <c r="C1190" s="8" t="s">
        <v>8</v>
      </c>
      <c r="D1190" s="8" t="s">
        <v>7</v>
      </c>
      <c r="E1190" s="8" t="s">
        <v>6</v>
      </c>
      <c r="F1190" s="8" t="s">
        <v>265</v>
      </c>
      <c r="G1190" s="8" t="s">
        <v>268</v>
      </c>
      <c r="H1190" s="8" t="s">
        <v>26</v>
      </c>
      <c r="I1190" s="7">
        <v>0</v>
      </c>
    </row>
    <row r="1191" spans="2:9" outlineLevel="2" x14ac:dyDescent="0.2">
      <c r="B1191" s="8" t="s">
        <v>9</v>
      </c>
      <c r="C1191" s="8" t="s">
        <v>8</v>
      </c>
      <c r="D1191" s="8" t="s">
        <v>7</v>
      </c>
      <c r="E1191" s="8" t="s">
        <v>6</v>
      </c>
      <c r="F1191" s="8" t="s">
        <v>265</v>
      </c>
      <c r="G1191" s="8" t="s">
        <v>222</v>
      </c>
      <c r="H1191" s="8" t="s">
        <v>221</v>
      </c>
      <c r="I1191" s="7">
        <v>0</v>
      </c>
    </row>
    <row r="1192" spans="2:9" ht="25" outlineLevel="2" x14ac:dyDescent="0.2">
      <c r="B1192" s="8" t="s">
        <v>9</v>
      </c>
      <c r="C1192" s="8" t="s">
        <v>8</v>
      </c>
      <c r="D1192" s="8" t="s">
        <v>7</v>
      </c>
      <c r="E1192" s="8" t="s">
        <v>6</v>
      </c>
      <c r="F1192" s="8" t="s">
        <v>265</v>
      </c>
      <c r="G1192" s="8" t="s">
        <v>267</v>
      </c>
      <c r="H1192" s="8" t="s">
        <v>218</v>
      </c>
      <c r="I1192" s="7">
        <v>525000</v>
      </c>
    </row>
    <row r="1193" spans="2:9" ht="25" outlineLevel="2" x14ac:dyDescent="0.2">
      <c r="B1193" s="8" t="s">
        <v>9</v>
      </c>
      <c r="C1193" s="8" t="s">
        <v>8</v>
      </c>
      <c r="D1193" s="8" t="s">
        <v>7</v>
      </c>
      <c r="E1193" s="8" t="s">
        <v>6</v>
      </c>
      <c r="F1193" s="8" t="s">
        <v>265</v>
      </c>
      <c r="G1193" s="8" t="s">
        <v>266</v>
      </c>
      <c r="H1193" s="8" t="s">
        <v>218</v>
      </c>
      <c r="I1193" s="7">
        <v>1075000</v>
      </c>
    </row>
    <row r="1194" spans="2:9" outlineLevel="2" x14ac:dyDescent="0.2">
      <c r="B1194" s="8" t="s">
        <v>9</v>
      </c>
      <c r="C1194" s="8" t="s">
        <v>8</v>
      </c>
      <c r="D1194" s="8" t="s">
        <v>7</v>
      </c>
      <c r="E1194" s="8" t="s">
        <v>6</v>
      </c>
      <c r="F1194" s="8" t="s">
        <v>265</v>
      </c>
      <c r="G1194" s="8" t="s">
        <v>264</v>
      </c>
      <c r="H1194" s="8" t="s">
        <v>26</v>
      </c>
      <c r="I1194" s="7">
        <v>1600000</v>
      </c>
    </row>
    <row r="1195" spans="2:9" outlineLevel="2" x14ac:dyDescent="0.2">
      <c r="B1195" s="8"/>
      <c r="C1195" s="8"/>
      <c r="D1195" s="8"/>
      <c r="E1195" s="8"/>
      <c r="F1195" s="8"/>
      <c r="G1195" s="8"/>
      <c r="H1195" s="8"/>
      <c r="I1195" s="7"/>
    </row>
    <row r="1196" spans="2:9" outlineLevel="2" x14ac:dyDescent="0.2">
      <c r="B1196" s="8" t="s">
        <v>9</v>
      </c>
      <c r="C1196" s="8" t="s">
        <v>8</v>
      </c>
      <c r="D1196" s="8" t="s">
        <v>7</v>
      </c>
      <c r="E1196" s="8" t="s">
        <v>6</v>
      </c>
      <c r="F1196" s="8" t="s">
        <v>5</v>
      </c>
      <c r="G1196" s="8" t="s">
        <v>263</v>
      </c>
      <c r="H1196" s="8" t="s">
        <v>11</v>
      </c>
      <c r="I1196" s="7">
        <v>-20927138</v>
      </c>
    </row>
    <row r="1197" spans="2:9" ht="25" outlineLevel="2" x14ac:dyDescent="0.2">
      <c r="B1197" s="8" t="s">
        <v>9</v>
      </c>
      <c r="C1197" s="8" t="s">
        <v>8</v>
      </c>
      <c r="D1197" s="8" t="s">
        <v>7</v>
      </c>
      <c r="E1197" s="8" t="s">
        <v>6</v>
      </c>
      <c r="F1197" s="8" t="s">
        <v>5</v>
      </c>
      <c r="G1197" s="8" t="s">
        <v>263</v>
      </c>
      <c r="H1197" s="8" t="s">
        <v>10</v>
      </c>
      <c r="I1197" s="7">
        <v>20996117</v>
      </c>
    </row>
    <row r="1198" spans="2:9" ht="25" outlineLevel="2" x14ac:dyDescent="0.2">
      <c r="B1198" s="8" t="s">
        <v>9</v>
      </c>
      <c r="C1198" s="8" t="s">
        <v>8</v>
      </c>
      <c r="D1198" s="8" t="s">
        <v>7</v>
      </c>
      <c r="E1198" s="8" t="s">
        <v>6</v>
      </c>
      <c r="F1198" s="8" t="s">
        <v>5</v>
      </c>
      <c r="G1198" s="8" t="s">
        <v>262</v>
      </c>
      <c r="H1198" s="8" t="s">
        <v>10</v>
      </c>
      <c r="I1198" s="7">
        <v>2790000</v>
      </c>
    </row>
    <row r="1199" spans="2:9" ht="25" outlineLevel="2" x14ac:dyDescent="0.2">
      <c r="B1199" s="8" t="s">
        <v>9</v>
      </c>
      <c r="C1199" s="8" t="s">
        <v>8</v>
      </c>
      <c r="D1199" s="8" t="s">
        <v>7</v>
      </c>
      <c r="E1199" s="8" t="s">
        <v>6</v>
      </c>
      <c r="F1199" s="8" t="s">
        <v>5</v>
      </c>
      <c r="G1199" s="8" t="s">
        <v>261</v>
      </c>
      <c r="H1199" s="8" t="s">
        <v>61</v>
      </c>
      <c r="I1199" s="7">
        <v>1830000</v>
      </c>
    </row>
    <row r="1200" spans="2:9" ht="25" outlineLevel="2" x14ac:dyDescent="0.2">
      <c r="B1200" s="8" t="s">
        <v>9</v>
      </c>
      <c r="C1200" s="8" t="s">
        <v>8</v>
      </c>
      <c r="D1200" s="8" t="s">
        <v>7</v>
      </c>
      <c r="E1200" s="8" t="s">
        <v>6</v>
      </c>
      <c r="F1200" s="8" t="s">
        <v>5</v>
      </c>
      <c r="G1200" s="8" t="s">
        <v>260</v>
      </c>
      <c r="H1200" s="8" t="s">
        <v>230</v>
      </c>
      <c r="I1200" s="7">
        <v>-1304625</v>
      </c>
    </row>
    <row r="1201" spans="2:9" outlineLevel="2" x14ac:dyDescent="0.2">
      <c r="B1201" s="8" t="s">
        <v>9</v>
      </c>
      <c r="C1201" s="8" t="s">
        <v>8</v>
      </c>
      <c r="D1201" s="8" t="s">
        <v>7</v>
      </c>
      <c r="E1201" s="8" t="s">
        <v>6</v>
      </c>
      <c r="F1201" s="8" t="s">
        <v>5</v>
      </c>
      <c r="G1201" s="8" t="s">
        <v>259</v>
      </c>
      <c r="H1201" s="8" t="s">
        <v>26</v>
      </c>
      <c r="I1201" s="7">
        <v>3384354</v>
      </c>
    </row>
    <row r="1202" spans="2:9" outlineLevel="2" x14ac:dyDescent="0.2">
      <c r="B1202" s="8" t="s">
        <v>9</v>
      </c>
      <c r="C1202" s="8" t="s">
        <v>8</v>
      </c>
      <c r="D1202" s="8" t="s">
        <v>7</v>
      </c>
      <c r="E1202" s="8" t="s">
        <v>6</v>
      </c>
      <c r="F1202" s="8" t="s">
        <v>5</v>
      </c>
      <c r="G1202" s="8" t="s">
        <v>222</v>
      </c>
      <c r="H1202" s="8" t="s">
        <v>221</v>
      </c>
      <c r="I1202" s="7">
        <v>0</v>
      </c>
    </row>
    <row r="1203" spans="2:9" ht="25" outlineLevel="2" x14ac:dyDescent="0.2">
      <c r="B1203" s="8" t="s">
        <v>9</v>
      </c>
      <c r="C1203" s="8" t="s">
        <v>8</v>
      </c>
      <c r="D1203" s="8" t="s">
        <v>7</v>
      </c>
      <c r="E1203" s="8" t="s">
        <v>6</v>
      </c>
      <c r="F1203" s="8" t="s">
        <v>5</v>
      </c>
      <c r="G1203" s="8" t="s">
        <v>258</v>
      </c>
      <c r="H1203" s="8" t="s">
        <v>230</v>
      </c>
      <c r="I1203" s="7">
        <v>1304625</v>
      </c>
    </row>
    <row r="1204" spans="2:9" ht="25" outlineLevel="2" x14ac:dyDescent="0.2">
      <c r="B1204" s="8" t="s">
        <v>9</v>
      </c>
      <c r="C1204" s="8" t="s">
        <v>8</v>
      </c>
      <c r="D1204" s="8" t="s">
        <v>7</v>
      </c>
      <c r="E1204" s="8" t="s">
        <v>6</v>
      </c>
      <c r="F1204" s="8" t="s">
        <v>5</v>
      </c>
      <c r="G1204" s="8" t="s">
        <v>257</v>
      </c>
      <c r="H1204" s="8" t="s">
        <v>230</v>
      </c>
      <c r="I1204" s="7">
        <v>2671375</v>
      </c>
    </row>
    <row r="1205" spans="2:9" outlineLevel="2" x14ac:dyDescent="0.2">
      <c r="B1205" s="8" t="s">
        <v>9</v>
      </c>
      <c r="C1205" s="8" t="s">
        <v>8</v>
      </c>
      <c r="D1205" s="8" t="s">
        <v>7</v>
      </c>
      <c r="E1205" s="8" t="s">
        <v>6</v>
      </c>
      <c r="F1205" s="8" t="s">
        <v>5</v>
      </c>
      <c r="G1205" s="8" t="s">
        <v>256</v>
      </c>
      <c r="H1205" s="8" t="s">
        <v>26</v>
      </c>
      <c r="I1205" s="7">
        <v>3976000</v>
      </c>
    </row>
    <row r="1206" spans="2:9" outlineLevel="2" x14ac:dyDescent="0.2">
      <c r="B1206" s="8"/>
      <c r="C1206" s="8"/>
      <c r="D1206" s="8"/>
      <c r="E1206" s="8"/>
      <c r="F1206" s="8"/>
      <c r="G1206" s="8"/>
      <c r="H1206" s="8"/>
      <c r="I1206" s="7"/>
    </row>
    <row r="1207" spans="2:9" outlineLevel="2" x14ac:dyDescent="0.2">
      <c r="B1207" s="8" t="s">
        <v>9</v>
      </c>
      <c r="C1207" s="8" t="s">
        <v>8</v>
      </c>
      <c r="D1207" s="8" t="s">
        <v>7</v>
      </c>
      <c r="E1207" s="8" t="s">
        <v>6</v>
      </c>
      <c r="F1207" s="8" t="s">
        <v>248</v>
      </c>
      <c r="G1207" s="8" t="s">
        <v>255</v>
      </c>
      <c r="H1207" s="8" t="s">
        <v>11</v>
      </c>
      <c r="I1207" s="7">
        <v>-15963376</v>
      </c>
    </row>
    <row r="1208" spans="2:9" ht="25" outlineLevel="2" x14ac:dyDescent="0.2">
      <c r="B1208" s="8" t="s">
        <v>9</v>
      </c>
      <c r="C1208" s="8" t="s">
        <v>8</v>
      </c>
      <c r="D1208" s="8" t="s">
        <v>7</v>
      </c>
      <c r="E1208" s="8" t="s">
        <v>6</v>
      </c>
      <c r="F1208" s="8" t="s">
        <v>248</v>
      </c>
      <c r="G1208" s="8" t="s">
        <v>255</v>
      </c>
      <c r="H1208" s="8" t="s">
        <v>10</v>
      </c>
      <c r="I1208" s="7">
        <v>16763283</v>
      </c>
    </row>
    <row r="1209" spans="2:9" ht="25" outlineLevel="2" x14ac:dyDescent="0.2">
      <c r="B1209" s="8" t="s">
        <v>9</v>
      </c>
      <c r="C1209" s="8" t="s">
        <v>8</v>
      </c>
      <c r="D1209" s="8" t="s">
        <v>7</v>
      </c>
      <c r="E1209" s="8" t="s">
        <v>6</v>
      </c>
      <c r="F1209" s="8" t="s">
        <v>248</v>
      </c>
      <c r="G1209" s="8" t="s">
        <v>254</v>
      </c>
      <c r="H1209" s="8" t="s">
        <v>10</v>
      </c>
      <c r="I1209" s="7">
        <v>2790000</v>
      </c>
    </row>
    <row r="1210" spans="2:9" ht="25" outlineLevel="2" x14ac:dyDescent="0.2">
      <c r="B1210" s="8" t="s">
        <v>9</v>
      </c>
      <c r="C1210" s="8" t="s">
        <v>8</v>
      </c>
      <c r="D1210" s="8" t="s">
        <v>7</v>
      </c>
      <c r="E1210" s="8" t="s">
        <v>6</v>
      </c>
      <c r="F1210" s="8" t="s">
        <v>248</v>
      </c>
      <c r="G1210" s="8" t="s">
        <v>253</v>
      </c>
      <c r="H1210" s="8" t="s">
        <v>61</v>
      </c>
      <c r="I1210" s="7">
        <v>0</v>
      </c>
    </row>
    <row r="1211" spans="2:9" ht="25" outlineLevel="2" x14ac:dyDescent="0.2">
      <c r="B1211" s="8" t="s">
        <v>9</v>
      </c>
      <c r="C1211" s="8" t="s">
        <v>8</v>
      </c>
      <c r="D1211" s="8" t="s">
        <v>7</v>
      </c>
      <c r="E1211" s="8" t="s">
        <v>6</v>
      </c>
      <c r="F1211" s="8" t="s">
        <v>248</v>
      </c>
      <c r="G1211" s="8" t="s">
        <v>252</v>
      </c>
      <c r="H1211" s="8" t="s">
        <v>230</v>
      </c>
      <c r="I1211" s="7">
        <v>-1365000</v>
      </c>
    </row>
    <row r="1212" spans="2:9" outlineLevel="2" x14ac:dyDescent="0.2">
      <c r="B1212" s="8" t="s">
        <v>9</v>
      </c>
      <c r="C1212" s="8" t="s">
        <v>8</v>
      </c>
      <c r="D1212" s="8" t="s">
        <v>7</v>
      </c>
      <c r="E1212" s="8" t="s">
        <v>6</v>
      </c>
      <c r="F1212" s="8" t="s">
        <v>248</v>
      </c>
      <c r="G1212" s="8" t="s">
        <v>251</v>
      </c>
      <c r="H1212" s="8" t="s">
        <v>26</v>
      </c>
      <c r="I1212" s="7">
        <v>2224907</v>
      </c>
    </row>
    <row r="1213" spans="2:9" outlineLevel="2" x14ac:dyDescent="0.2">
      <c r="B1213" s="8" t="s">
        <v>9</v>
      </c>
      <c r="C1213" s="8" t="s">
        <v>8</v>
      </c>
      <c r="D1213" s="8" t="s">
        <v>7</v>
      </c>
      <c r="E1213" s="8" t="s">
        <v>6</v>
      </c>
      <c r="F1213" s="8" t="s">
        <v>248</v>
      </c>
      <c r="G1213" s="8" t="s">
        <v>222</v>
      </c>
      <c r="H1213" s="8" t="s">
        <v>221</v>
      </c>
      <c r="I1213" s="7">
        <v>0</v>
      </c>
    </row>
    <row r="1214" spans="2:9" ht="25" outlineLevel="2" x14ac:dyDescent="0.2">
      <c r="B1214" s="8" t="s">
        <v>9</v>
      </c>
      <c r="C1214" s="8" t="s">
        <v>8</v>
      </c>
      <c r="D1214" s="8" t="s">
        <v>7</v>
      </c>
      <c r="E1214" s="8" t="s">
        <v>6</v>
      </c>
      <c r="F1214" s="8" t="s">
        <v>248</v>
      </c>
      <c r="G1214" s="8" t="s">
        <v>250</v>
      </c>
      <c r="H1214" s="8" t="s">
        <v>230</v>
      </c>
      <c r="I1214" s="7">
        <v>1365000</v>
      </c>
    </row>
    <row r="1215" spans="2:9" ht="25" outlineLevel="2" x14ac:dyDescent="0.2">
      <c r="B1215" s="8" t="s">
        <v>9</v>
      </c>
      <c r="C1215" s="8" t="s">
        <v>8</v>
      </c>
      <c r="D1215" s="8" t="s">
        <v>7</v>
      </c>
      <c r="E1215" s="8" t="s">
        <v>6</v>
      </c>
      <c r="F1215" s="8" t="s">
        <v>248</v>
      </c>
      <c r="G1215" s="8" t="s">
        <v>249</v>
      </c>
      <c r="H1215" s="8" t="s">
        <v>230</v>
      </c>
      <c r="I1215" s="7">
        <v>2795000</v>
      </c>
    </row>
    <row r="1216" spans="2:9" outlineLevel="2" x14ac:dyDescent="0.2">
      <c r="B1216" s="8" t="s">
        <v>9</v>
      </c>
      <c r="C1216" s="8" t="s">
        <v>8</v>
      </c>
      <c r="D1216" s="8" t="s">
        <v>7</v>
      </c>
      <c r="E1216" s="8" t="s">
        <v>6</v>
      </c>
      <c r="F1216" s="8" t="s">
        <v>248</v>
      </c>
      <c r="G1216" s="8" t="s">
        <v>247</v>
      </c>
      <c r="H1216" s="8" t="s">
        <v>26</v>
      </c>
      <c r="I1216" s="7">
        <v>4160000</v>
      </c>
    </row>
    <row r="1217" spans="2:9" outlineLevel="2" x14ac:dyDescent="0.2">
      <c r="B1217" s="8"/>
      <c r="C1217" s="8"/>
      <c r="D1217" s="8"/>
      <c r="E1217" s="8"/>
      <c r="F1217" s="8"/>
      <c r="G1217" s="8"/>
      <c r="H1217" s="8"/>
      <c r="I1217" s="7"/>
    </row>
    <row r="1218" spans="2:9" outlineLevel="2" x14ac:dyDescent="0.2">
      <c r="B1218" s="8" t="s">
        <v>9</v>
      </c>
      <c r="C1218" s="8" t="s">
        <v>8</v>
      </c>
      <c r="D1218" s="8" t="s">
        <v>7</v>
      </c>
      <c r="E1218" s="8" t="s">
        <v>6</v>
      </c>
      <c r="F1218" s="8" t="s">
        <v>239</v>
      </c>
      <c r="G1218" s="8" t="s">
        <v>246</v>
      </c>
      <c r="H1218" s="8" t="s">
        <v>11</v>
      </c>
      <c r="I1218" s="7">
        <v>-15963376</v>
      </c>
    </row>
    <row r="1219" spans="2:9" ht="25" outlineLevel="2" x14ac:dyDescent="0.2">
      <c r="B1219" s="8" t="s">
        <v>9</v>
      </c>
      <c r="C1219" s="8" t="s">
        <v>8</v>
      </c>
      <c r="D1219" s="8" t="s">
        <v>7</v>
      </c>
      <c r="E1219" s="8" t="s">
        <v>6</v>
      </c>
      <c r="F1219" s="8" t="s">
        <v>239</v>
      </c>
      <c r="G1219" s="8" t="s">
        <v>246</v>
      </c>
      <c r="H1219" s="8" t="s">
        <v>10</v>
      </c>
      <c r="I1219" s="7">
        <v>16763283</v>
      </c>
    </row>
    <row r="1220" spans="2:9" ht="25" outlineLevel="2" x14ac:dyDescent="0.2">
      <c r="B1220" s="8" t="s">
        <v>9</v>
      </c>
      <c r="C1220" s="8" t="s">
        <v>8</v>
      </c>
      <c r="D1220" s="8" t="s">
        <v>7</v>
      </c>
      <c r="E1220" s="8" t="s">
        <v>6</v>
      </c>
      <c r="F1220" s="8" t="s">
        <v>239</v>
      </c>
      <c r="G1220" s="8" t="s">
        <v>245</v>
      </c>
      <c r="H1220" s="8" t="s">
        <v>10</v>
      </c>
      <c r="I1220" s="7">
        <v>2790000</v>
      </c>
    </row>
    <row r="1221" spans="2:9" ht="25" outlineLevel="2" x14ac:dyDescent="0.2">
      <c r="B1221" s="8" t="s">
        <v>9</v>
      </c>
      <c r="C1221" s="8" t="s">
        <v>8</v>
      </c>
      <c r="D1221" s="8" t="s">
        <v>7</v>
      </c>
      <c r="E1221" s="8" t="s">
        <v>6</v>
      </c>
      <c r="F1221" s="8" t="s">
        <v>239</v>
      </c>
      <c r="G1221" s="8" t="s">
        <v>244</v>
      </c>
      <c r="H1221" s="8" t="s">
        <v>61</v>
      </c>
      <c r="I1221" s="7">
        <v>0</v>
      </c>
    </row>
    <row r="1222" spans="2:9" ht="25" outlineLevel="2" x14ac:dyDescent="0.2">
      <c r="B1222" s="8" t="s">
        <v>9</v>
      </c>
      <c r="C1222" s="8" t="s">
        <v>8</v>
      </c>
      <c r="D1222" s="8" t="s">
        <v>7</v>
      </c>
      <c r="E1222" s="8" t="s">
        <v>6</v>
      </c>
      <c r="F1222" s="8" t="s">
        <v>239</v>
      </c>
      <c r="G1222" s="8" t="s">
        <v>243</v>
      </c>
      <c r="H1222" s="8" t="s">
        <v>230</v>
      </c>
      <c r="I1222" s="7">
        <v>-1365000</v>
      </c>
    </row>
    <row r="1223" spans="2:9" outlineLevel="2" x14ac:dyDescent="0.2">
      <c r="B1223" s="8" t="s">
        <v>9</v>
      </c>
      <c r="C1223" s="8" t="s">
        <v>8</v>
      </c>
      <c r="D1223" s="8" t="s">
        <v>7</v>
      </c>
      <c r="E1223" s="8" t="s">
        <v>6</v>
      </c>
      <c r="F1223" s="8" t="s">
        <v>239</v>
      </c>
      <c r="G1223" s="8" t="s">
        <v>242</v>
      </c>
      <c r="H1223" s="8" t="s">
        <v>26</v>
      </c>
      <c r="I1223" s="7">
        <v>2224907</v>
      </c>
    </row>
    <row r="1224" spans="2:9" outlineLevel="2" x14ac:dyDescent="0.2">
      <c r="B1224" s="8" t="s">
        <v>9</v>
      </c>
      <c r="C1224" s="8" t="s">
        <v>8</v>
      </c>
      <c r="D1224" s="8" t="s">
        <v>7</v>
      </c>
      <c r="E1224" s="8" t="s">
        <v>6</v>
      </c>
      <c r="F1224" s="8" t="s">
        <v>239</v>
      </c>
      <c r="G1224" s="8" t="s">
        <v>222</v>
      </c>
      <c r="H1224" s="8" t="s">
        <v>221</v>
      </c>
      <c r="I1224" s="7">
        <v>0</v>
      </c>
    </row>
    <row r="1225" spans="2:9" ht="25" outlineLevel="2" x14ac:dyDescent="0.2">
      <c r="B1225" s="8" t="s">
        <v>9</v>
      </c>
      <c r="C1225" s="8" t="s">
        <v>8</v>
      </c>
      <c r="D1225" s="8" t="s">
        <v>7</v>
      </c>
      <c r="E1225" s="8" t="s">
        <v>6</v>
      </c>
      <c r="F1225" s="8" t="s">
        <v>239</v>
      </c>
      <c r="G1225" s="8" t="s">
        <v>241</v>
      </c>
      <c r="H1225" s="8" t="s">
        <v>230</v>
      </c>
      <c r="I1225" s="7">
        <v>1365000</v>
      </c>
    </row>
    <row r="1226" spans="2:9" ht="25" outlineLevel="2" x14ac:dyDescent="0.2">
      <c r="B1226" s="8" t="s">
        <v>9</v>
      </c>
      <c r="C1226" s="8" t="s">
        <v>8</v>
      </c>
      <c r="D1226" s="8" t="s">
        <v>7</v>
      </c>
      <c r="E1226" s="8" t="s">
        <v>6</v>
      </c>
      <c r="F1226" s="8" t="s">
        <v>239</v>
      </c>
      <c r="G1226" s="8" t="s">
        <v>240</v>
      </c>
      <c r="H1226" s="8" t="s">
        <v>230</v>
      </c>
      <c r="I1226" s="7">
        <v>2795000</v>
      </c>
    </row>
    <row r="1227" spans="2:9" outlineLevel="2" x14ac:dyDescent="0.2">
      <c r="B1227" s="8" t="s">
        <v>9</v>
      </c>
      <c r="C1227" s="8" t="s">
        <v>8</v>
      </c>
      <c r="D1227" s="8" t="s">
        <v>7</v>
      </c>
      <c r="E1227" s="8" t="s">
        <v>6</v>
      </c>
      <c r="F1227" s="8" t="s">
        <v>239</v>
      </c>
      <c r="G1227" s="8" t="s">
        <v>238</v>
      </c>
      <c r="H1227" s="8" t="s">
        <v>26</v>
      </c>
      <c r="I1227" s="7">
        <v>4160000</v>
      </c>
    </row>
    <row r="1228" spans="2:9" outlineLevel="2" x14ac:dyDescent="0.2">
      <c r="B1228" s="8"/>
      <c r="C1228" s="8"/>
      <c r="D1228" s="8"/>
      <c r="E1228" s="8"/>
      <c r="F1228" s="8"/>
      <c r="G1228" s="8"/>
      <c r="H1228" s="8"/>
      <c r="I1228" s="7"/>
    </row>
    <row r="1229" spans="2:9" outlineLevel="2" x14ac:dyDescent="0.2">
      <c r="B1229" s="8" t="s">
        <v>9</v>
      </c>
      <c r="C1229" s="8" t="s">
        <v>8</v>
      </c>
      <c r="D1229" s="8" t="s">
        <v>7</v>
      </c>
      <c r="E1229" s="8" t="s">
        <v>6</v>
      </c>
      <c r="F1229" s="8" t="s">
        <v>229</v>
      </c>
      <c r="G1229" s="8" t="s">
        <v>237</v>
      </c>
      <c r="H1229" s="8" t="s">
        <v>11</v>
      </c>
      <c r="I1229" s="7">
        <v>-14070727</v>
      </c>
    </row>
    <row r="1230" spans="2:9" ht="25" outlineLevel="2" x14ac:dyDescent="0.2">
      <c r="B1230" s="8" t="s">
        <v>9</v>
      </c>
      <c r="C1230" s="8" t="s">
        <v>8</v>
      </c>
      <c r="D1230" s="8" t="s">
        <v>7</v>
      </c>
      <c r="E1230" s="8" t="s">
        <v>6</v>
      </c>
      <c r="F1230" s="8" t="s">
        <v>229</v>
      </c>
      <c r="G1230" s="8" t="s">
        <v>237</v>
      </c>
      <c r="H1230" s="8" t="s">
        <v>10</v>
      </c>
      <c r="I1230" s="7">
        <v>13000000</v>
      </c>
    </row>
    <row r="1231" spans="2:9" ht="25" outlineLevel="2" x14ac:dyDescent="0.2">
      <c r="B1231" s="8" t="s">
        <v>9</v>
      </c>
      <c r="C1231" s="8" t="s">
        <v>8</v>
      </c>
      <c r="D1231" s="8" t="s">
        <v>7</v>
      </c>
      <c r="E1231" s="8" t="s">
        <v>6</v>
      </c>
      <c r="F1231" s="8" t="s">
        <v>229</v>
      </c>
      <c r="G1231" s="8" t="s">
        <v>236</v>
      </c>
      <c r="H1231" s="8" t="s">
        <v>10</v>
      </c>
      <c r="I1231" s="7">
        <v>2790000</v>
      </c>
    </row>
    <row r="1232" spans="2:9" ht="25" outlineLevel="2" x14ac:dyDescent="0.2">
      <c r="B1232" s="8" t="s">
        <v>9</v>
      </c>
      <c r="C1232" s="8" t="s">
        <v>8</v>
      </c>
      <c r="D1232" s="8" t="s">
        <v>7</v>
      </c>
      <c r="E1232" s="8" t="s">
        <v>6</v>
      </c>
      <c r="F1232" s="8" t="s">
        <v>229</v>
      </c>
      <c r="G1232" s="8" t="s">
        <v>235</v>
      </c>
      <c r="H1232" s="8" t="s">
        <v>61</v>
      </c>
      <c r="I1232" s="7">
        <v>0</v>
      </c>
    </row>
    <row r="1233" spans="2:9" ht="25" outlineLevel="2" x14ac:dyDescent="0.2">
      <c r="B1233" s="8" t="s">
        <v>9</v>
      </c>
      <c r="C1233" s="8" t="s">
        <v>8</v>
      </c>
      <c r="D1233" s="8" t="s">
        <v>7</v>
      </c>
      <c r="E1233" s="8" t="s">
        <v>6</v>
      </c>
      <c r="F1233" s="8" t="s">
        <v>229</v>
      </c>
      <c r="G1233" s="8" t="s">
        <v>234</v>
      </c>
      <c r="H1233" s="8" t="s">
        <v>230</v>
      </c>
      <c r="I1233" s="7">
        <v>-1365000</v>
      </c>
    </row>
    <row r="1234" spans="2:9" outlineLevel="2" x14ac:dyDescent="0.2">
      <c r="B1234" s="8" t="s">
        <v>9</v>
      </c>
      <c r="C1234" s="8" t="s">
        <v>8</v>
      </c>
      <c r="D1234" s="8" t="s">
        <v>7</v>
      </c>
      <c r="E1234" s="8" t="s">
        <v>6</v>
      </c>
      <c r="F1234" s="8" t="s">
        <v>229</v>
      </c>
      <c r="G1234" s="8" t="s">
        <v>233</v>
      </c>
      <c r="H1234" s="8" t="s">
        <v>26</v>
      </c>
      <c r="I1234" s="7">
        <v>354273</v>
      </c>
    </row>
    <row r="1235" spans="2:9" outlineLevel="2" x14ac:dyDescent="0.2">
      <c r="B1235" s="8" t="s">
        <v>9</v>
      </c>
      <c r="C1235" s="8" t="s">
        <v>8</v>
      </c>
      <c r="D1235" s="8" t="s">
        <v>7</v>
      </c>
      <c r="E1235" s="8" t="s">
        <v>6</v>
      </c>
      <c r="F1235" s="8" t="s">
        <v>229</v>
      </c>
      <c r="G1235" s="8" t="s">
        <v>222</v>
      </c>
      <c r="H1235" s="8" t="s">
        <v>221</v>
      </c>
      <c r="I1235" s="7">
        <v>0</v>
      </c>
    </row>
    <row r="1236" spans="2:9" ht="25" outlineLevel="2" x14ac:dyDescent="0.2">
      <c r="B1236" s="8" t="s">
        <v>9</v>
      </c>
      <c r="C1236" s="8" t="s">
        <v>8</v>
      </c>
      <c r="D1236" s="8" t="s">
        <v>7</v>
      </c>
      <c r="E1236" s="8" t="s">
        <v>6</v>
      </c>
      <c r="F1236" s="8" t="s">
        <v>229</v>
      </c>
      <c r="G1236" s="8" t="s">
        <v>232</v>
      </c>
      <c r="H1236" s="8" t="s">
        <v>230</v>
      </c>
      <c r="I1236" s="7">
        <v>1365000</v>
      </c>
    </row>
    <row r="1237" spans="2:9" ht="25" outlineLevel="2" x14ac:dyDescent="0.2">
      <c r="B1237" s="8" t="s">
        <v>9</v>
      </c>
      <c r="C1237" s="8" t="s">
        <v>8</v>
      </c>
      <c r="D1237" s="8" t="s">
        <v>7</v>
      </c>
      <c r="E1237" s="8" t="s">
        <v>6</v>
      </c>
      <c r="F1237" s="8" t="s">
        <v>229</v>
      </c>
      <c r="G1237" s="8" t="s">
        <v>231</v>
      </c>
      <c r="H1237" s="8" t="s">
        <v>230</v>
      </c>
      <c r="I1237" s="7">
        <v>2795000</v>
      </c>
    </row>
    <row r="1238" spans="2:9" outlineLevel="2" x14ac:dyDescent="0.2">
      <c r="B1238" s="8" t="s">
        <v>9</v>
      </c>
      <c r="C1238" s="8" t="s">
        <v>8</v>
      </c>
      <c r="D1238" s="8" t="s">
        <v>7</v>
      </c>
      <c r="E1238" s="8" t="s">
        <v>6</v>
      </c>
      <c r="F1238" s="8" t="s">
        <v>229</v>
      </c>
      <c r="G1238" s="8" t="s">
        <v>228</v>
      </c>
      <c r="H1238" s="8" t="s">
        <v>26</v>
      </c>
      <c r="I1238" s="7">
        <v>4160000</v>
      </c>
    </row>
    <row r="1239" spans="2:9" outlineLevel="2" x14ac:dyDescent="0.2">
      <c r="B1239" s="8"/>
      <c r="C1239" s="8"/>
      <c r="D1239" s="8"/>
      <c r="E1239" s="8"/>
      <c r="F1239" s="8"/>
      <c r="G1239" s="8"/>
      <c r="H1239" s="8"/>
      <c r="I1239" s="7"/>
    </row>
    <row r="1240" spans="2:9" outlineLevel="2" x14ac:dyDescent="0.2">
      <c r="B1240" s="8" t="s">
        <v>9</v>
      </c>
      <c r="C1240" s="8" t="s">
        <v>8</v>
      </c>
      <c r="D1240" s="8" t="s">
        <v>7</v>
      </c>
      <c r="E1240" s="8" t="s">
        <v>6</v>
      </c>
      <c r="F1240" s="8" t="s">
        <v>217</v>
      </c>
      <c r="G1240" s="8" t="s">
        <v>227</v>
      </c>
      <c r="H1240" s="8" t="s">
        <v>11</v>
      </c>
      <c r="I1240" s="7">
        <v>-7868384</v>
      </c>
    </row>
    <row r="1241" spans="2:9" ht="25" outlineLevel="2" x14ac:dyDescent="0.2">
      <c r="B1241" s="8" t="s">
        <v>9</v>
      </c>
      <c r="C1241" s="8" t="s">
        <v>8</v>
      </c>
      <c r="D1241" s="8" t="s">
        <v>7</v>
      </c>
      <c r="E1241" s="8" t="s">
        <v>6</v>
      </c>
      <c r="F1241" s="8" t="s">
        <v>217</v>
      </c>
      <c r="G1241" s="8" t="s">
        <v>227</v>
      </c>
      <c r="H1241" s="8" t="s">
        <v>225</v>
      </c>
      <c r="I1241" s="7">
        <v>9636674</v>
      </c>
    </row>
    <row r="1242" spans="2:9" ht="25" outlineLevel="2" x14ac:dyDescent="0.2">
      <c r="B1242" s="8" t="s">
        <v>9</v>
      </c>
      <c r="C1242" s="8" t="s">
        <v>8</v>
      </c>
      <c r="D1242" s="8" t="s">
        <v>7</v>
      </c>
      <c r="E1242" s="8" t="s">
        <v>6</v>
      </c>
      <c r="F1242" s="8" t="s">
        <v>217</v>
      </c>
      <c r="G1242" s="8" t="s">
        <v>226</v>
      </c>
      <c r="H1242" s="8" t="s">
        <v>225</v>
      </c>
      <c r="I1242" s="7">
        <v>0</v>
      </c>
    </row>
    <row r="1243" spans="2:9" ht="25" outlineLevel="2" x14ac:dyDescent="0.2">
      <c r="B1243" s="8" t="s">
        <v>9</v>
      </c>
      <c r="C1243" s="8" t="s">
        <v>8</v>
      </c>
      <c r="D1243" s="8" t="s">
        <v>7</v>
      </c>
      <c r="E1243" s="8" t="s">
        <v>6</v>
      </c>
      <c r="F1243" s="8" t="s">
        <v>217</v>
      </c>
      <c r="G1243" s="8" t="s">
        <v>224</v>
      </c>
      <c r="H1243" s="8" t="s">
        <v>218</v>
      </c>
      <c r="I1243" s="7">
        <v>-1768290</v>
      </c>
    </row>
    <row r="1244" spans="2:9" outlineLevel="2" x14ac:dyDescent="0.2">
      <c r="B1244" s="8" t="s">
        <v>9</v>
      </c>
      <c r="C1244" s="8" t="s">
        <v>8</v>
      </c>
      <c r="D1244" s="8" t="s">
        <v>7</v>
      </c>
      <c r="E1244" s="8" t="s">
        <v>6</v>
      </c>
      <c r="F1244" s="8" t="s">
        <v>217</v>
      </c>
      <c r="G1244" s="8" t="s">
        <v>223</v>
      </c>
      <c r="H1244" s="8" t="s">
        <v>26</v>
      </c>
      <c r="I1244" s="7">
        <v>0</v>
      </c>
    </row>
    <row r="1245" spans="2:9" outlineLevel="2" x14ac:dyDescent="0.2">
      <c r="B1245" s="8" t="s">
        <v>9</v>
      </c>
      <c r="C1245" s="8" t="s">
        <v>8</v>
      </c>
      <c r="D1245" s="8" t="s">
        <v>7</v>
      </c>
      <c r="E1245" s="8" t="s">
        <v>6</v>
      </c>
      <c r="F1245" s="8" t="s">
        <v>217</v>
      </c>
      <c r="G1245" s="8" t="s">
        <v>222</v>
      </c>
      <c r="H1245" s="8" t="s">
        <v>221</v>
      </c>
      <c r="I1245" s="7">
        <v>0</v>
      </c>
    </row>
    <row r="1246" spans="2:9" ht="25" outlineLevel="2" x14ac:dyDescent="0.2">
      <c r="B1246" s="8" t="s">
        <v>9</v>
      </c>
      <c r="C1246" s="8" t="s">
        <v>8</v>
      </c>
      <c r="D1246" s="8" t="s">
        <v>7</v>
      </c>
      <c r="E1246" s="8" t="s">
        <v>6</v>
      </c>
      <c r="F1246" s="8" t="s">
        <v>217</v>
      </c>
      <c r="G1246" s="8" t="s">
        <v>220</v>
      </c>
      <c r="H1246" s="8" t="s">
        <v>218</v>
      </c>
      <c r="I1246" s="7">
        <v>1768290</v>
      </c>
    </row>
    <row r="1247" spans="2:9" ht="25" outlineLevel="2" x14ac:dyDescent="0.2">
      <c r="B1247" s="8" t="s">
        <v>9</v>
      </c>
      <c r="C1247" s="8" t="s">
        <v>8</v>
      </c>
      <c r="D1247" s="8" t="s">
        <v>7</v>
      </c>
      <c r="E1247" s="8" t="s">
        <v>6</v>
      </c>
      <c r="F1247" s="8" t="s">
        <v>217</v>
      </c>
      <c r="G1247" s="8" t="s">
        <v>219</v>
      </c>
      <c r="H1247" s="8" t="s">
        <v>218</v>
      </c>
      <c r="I1247" s="7">
        <v>3620784</v>
      </c>
    </row>
    <row r="1248" spans="2:9" outlineLevel="2" x14ac:dyDescent="0.2">
      <c r="B1248" s="8" t="s">
        <v>9</v>
      </c>
      <c r="C1248" s="8" t="s">
        <v>8</v>
      </c>
      <c r="D1248" s="8" t="s">
        <v>7</v>
      </c>
      <c r="E1248" s="8" t="s">
        <v>6</v>
      </c>
      <c r="F1248" s="8" t="s">
        <v>217</v>
      </c>
      <c r="G1248" s="8" t="s">
        <v>216</v>
      </c>
      <c r="H1248" s="8" t="s">
        <v>26</v>
      </c>
      <c r="I1248" s="7">
        <v>5389074</v>
      </c>
    </row>
    <row r="1249" spans="2:9" outlineLevel="2" x14ac:dyDescent="0.2">
      <c r="B1249" s="8"/>
      <c r="C1249" s="8"/>
      <c r="D1249" s="8"/>
      <c r="E1249" s="8"/>
      <c r="F1249" s="8"/>
      <c r="G1249" s="8"/>
      <c r="H1249" s="8"/>
      <c r="I1249" s="7"/>
    </row>
    <row r="1250" spans="2:9" ht="25" outlineLevel="2" x14ac:dyDescent="0.2">
      <c r="B1250" s="8" t="s">
        <v>9</v>
      </c>
      <c r="C1250" s="8" t="s">
        <v>8</v>
      </c>
      <c r="D1250" s="8" t="s">
        <v>7</v>
      </c>
      <c r="E1250" s="8" t="s">
        <v>6</v>
      </c>
      <c r="F1250" s="8" t="s">
        <v>212</v>
      </c>
      <c r="G1250" s="8" t="s">
        <v>215</v>
      </c>
      <c r="H1250" s="8" t="s">
        <v>11</v>
      </c>
      <c r="I1250" s="7">
        <v>0</v>
      </c>
    </row>
    <row r="1251" spans="2:9" ht="25" outlineLevel="2" x14ac:dyDescent="0.2">
      <c r="B1251" s="8" t="s">
        <v>9</v>
      </c>
      <c r="C1251" s="8" t="s">
        <v>8</v>
      </c>
      <c r="D1251" s="8" t="s">
        <v>7</v>
      </c>
      <c r="E1251" s="8" t="s">
        <v>6</v>
      </c>
      <c r="F1251" s="8" t="s">
        <v>212</v>
      </c>
      <c r="G1251" s="8" t="s">
        <v>214</v>
      </c>
      <c r="H1251" s="8" t="s">
        <v>55</v>
      </c>
      <c r="I1251" s="7">
        <v>-64950000</v>
      </c>
    </row>
    <row r="1252" spans="2:9" ht="25" outlineLevel="2" x14ac:dyDescent="0.2">
      <c r="B1252" s="8" t="s">
        <v>9</v>
      </c>
      <c r="C1252" s="8" t="s">
        <v>8</v>
      </c>
      <c r="D1252" s="8" t="s">
        <v>7</v>
      </c>
      <c r="E1252" s="8" t="s">
        <v>6</v>
      </c>
      <c r="F1252" s="8" t="s">
        <v>212</v>
      </c>
      <c r="G1252" s="8" t="s">
        <v>213</v>
      </c>
      <c r="H1252" s="8" t="s">
        <v>61</v>
      </c>
      <c r="I1252" s="7">
        <v>34949424</v>
      </c>
    </row>
    <row r="1253" spans="2:9" ht="25" outlineLevel="2" x14ac:dyDescent="0.2">
      <c r="B1253" s="8" t="s">
        <v>9</v>
      </c>
      <c r="C1253" s="8" t="s">
        <v>8</v>
      </c>
      <c r="D1253" s="8" t="s">
        <v>7</v>
      </c>
      <c r="E1253" s="8" t="s">
        <v>6</v>
      </c>
      <c r="F1253" s="8" t="s">
        <v>212</v>
      </c>
      <c r="G1253" s="8" t="s">
        <v>211</v>
      </c>
      <c r="H1253" s="8" t="s">
        <v>205</v>
      </c>
      <c r="I1253" s="7">
        <v>30000576</v>
      </c>
    </row>
    <row r="1254" spans="2:9" outlineLevel="2" x14ac:dyDescent="0.2">
      <c r="B1254" s="8"/>
      <c r="C1254" s="8"/>
      <c r="D1254" s="8"/>
      <c r="E1254" s="8"/>
      <c r="F1254" s="8"/>
      <c r="G1254" s="8"/>
      <c r="H1254" s="8"/>
      <c r="I1254" s="7"/>
    </row>
    <row r="1255" spans="2:9" ht="25" outlineLevel="2" x14ac:dyDescent="0.2">
      <c r="B1255" s="8" t="s">
        <v>9</v>
      </c>
      <c r="C1255" s="8" t="s">
        <v>8</v>
      </c>
      <c r="D1255" s="8" t="s">
        <v>7</v>
      </c>
      <c r="E1255" s="8" t="s">
        <v>6</v>
      </c>
      <c r="F1255" s="8" t="s">
        <v>204</v>
      </c>
      <c r="G1255" s="8" t="s">
        <v>210</v>
      </c>
      <c r="H1255" s="8" t="s">
        <v>11</v>
      </c>
      <c r="I1255" s="7">
        <v>0</v>
      </c>
    </row>
    <row r="1256" spans="2:9" ht="25" outlineLevel="2" x14ac:dyDescent="0.2">
      <c r="B1256" s="8" t="s">
        <v>9</v>
      </c>
      <c r="C1256" s="8" t="s">
        <v>8</v>
      </c>
      <c r="D1256" s="8" t="s">
        <v>7</v>
      </c>
      <c r="E1256" s="8" t="s">
        <v>6</v>
      </c>
      <c r="F1256" s="8" t="s">
        <v>204</v>
      </c>
      <c r="G1256" s="8" t="s">
        <v>209</v>
      </c>
      <c r="H1256" s="8" t="s">
        <v>55</v>
      </c>
      <c r="I1256" s="7">
        <v>-130030000</v>
      </c>
    </row>
    <row r="1257" spans="2:9" ht="25" outlineLevel="2" x14ac:dyDescent="0.2">
      <c r="B1257" s="8" t="s">
        <v>9</v>
      </c>
      <c r="C1257" s="8" t="s">
        <v>8</v>
      </c>
      <c r="D1257" s="8" t="s">
        <v>7</v>
      </c>
      <c r="E1257" s="8" t="s">
        <v>6</v>
      </c>
      <c r="F1257" s="8" t="s">
        <v>204</v>
      </c>
      <c r="G1257" s="8" t="s">
        <v>208</v>
      </c>
      <c r="H1257" s="8" t="s">
        <v>33</v>
      </c>
      <c r="I1257" s="7">
        <v>103384122</v>
      </c>
    </row>
    <row r="1258" spans="2:9" ht="25" outlineLevel="2" x14ac:dyDescent="0.2">
      <c r="B1258" s="8" t="s">
        <v>9</v>
      </c>
      <c r="C1258" s="8" t="s">
        <v>8</v>
      </c>
      <c r="D1258" s="8" t="s">
        <v>7</v>
      </c>
      <c r="E1258" s="8" t="s">
        <v>6</v>
      </c>
      <c r="F1258" s="8" t="s">
        <v>204</v>
      </c>
      <c r="G1258" s="8" t="s">
        <v>207</v>
      </c>
      <c r="H1258" s="8" t="s">
        <v>61</v>
      </c>
      <c r="I1258" s="7">
        <v>9360000</v>
      </c>
    </row>
    <row r="1259" spans="2:9" ht="25" outlineLevel="2" x14ac:dyDescent="0.2">
      <c r="B1259" s="8" t="s">
        <v>9</v>
      </c>
      <c r="C1259" s="8" t="s">
        <v>8</v>
      </c>
      <c r="D1259" s="8" t="s">
        <v>7</v>
      </c>
      <c r="E1259" s="8" t="s">
        <v>6</v>
      </c>
      <c r="F1259" s="8" t="s">
        <v>204</v>
      </c>
      <c r="G1259" s="8" t="s">
        <v>206</v>
      </c>
      <c r="H1259" s="8" t="s">
        <v>205</v>
      </c>
      <c r="I1259" s="7">
        <v>17285878</v>
      </c>
    </row>
    <row r="1260" spans="2:9" outlineLevel="2" x14ac:dyDescent="0.2">
      <c r="B1260" s="8" t="s">
        <v>9</v>
      </c>
      <c r="C1260" s="8" t="s">
        <v>8</v>
      </c>
      <c r="D1260" s="8" t="s">
        <v>7</v>
      </c>
      <c r="E1260" s="8" t="s">
        <v>6</v>
      </c>
      <c r="F1260" s="8" t="s">
        <v>204</v>
      </c>
      <c r="G1260" s="8" t="s">
        <v>203</v>
      </c>
      <c r="H1260" s="8" t="s">
        <v>205</v>
      </c>
      <c r="I1260" s="7">
        <v>1640000</v>
      </c>
    </row>
    <row r="1261" spans="2:9" outlineLevel="2" x14ac:dyDescent="0.2">
      <c r="B1261" s="8" t="s">
        <v>9</v>
      </c>
      <c r="C1261" s="8" t="s">
        <v>8</v>
      </c>
      <c r="D1261" s="8" t="s">
        <v>7</v>
      </c>
      <c r="E1261" s="8" t="s">
        <v>6</v>
      </c>
      <c r="F1261" s="8" t="s">
        <v>204</v>
      </c>
      <c r="G1261" s="8" t="s">
        <v>203</v>
      </c>
      <c r="H1261" s="8" t="s">
        <v>26</v>
      </c>
      <c r="I1261" s="7">
        <v>1640000</v>
      </c>
    </row>
    <row r="1262" spans="2:9" outlineLevel="2" x14ac:dyDescent="0.2">
      <c r="B1262" s="8"/>
      <c r="C1262" s="8"/>
      <c r="D1262" s="8"/>
      <c r="E1262" s="8"/>
      <c r="F1262" s="8"/>
      <c r="G1262" s="8"/>
      <c r="H1262" s="8"/>
      <c r="I1262" s="7"/>
    </row>
    <row r="1263" spans="2:9" outlineLevel="2" x14ac:dyDescent="0.2">
      <c r="B1263" s="8"/>
      <c r="C1263" s="8"/>
      <c r="D1263" s="8"/>
      <c r="E1263" s="8"/>
      <c r="F1263" s="8"/>
      <c r="G1263" s="8"/>
      <c r="H1263" s="8"/>
      <c r="I1263" s="7"/>
    </row>
    <row r="1264" spans="2:9" outlineLevel="2" x14ac:dyDescent="0.2">
      <c r="B1264" s="8" t="s">
        <v>9</v>
      </c>
      <c r="C1264" s="8" t="s">
        <v>97</v>
      </c>
      <c r="D1264" s="8" t="s">
        <v>7</v>
      </c>
      <c r="E1264" s="8" t="s">
        <v>6</v>
      </c>
      <c r="F1264" s="8" t="s">
        <v>200</v>
      </c>
      <c r="G1264" s="8" t="s">
        <v>7</v>
      </c>
      <c r="H1264" s="8" t="s">
        <v>11</v>
      </c>
      <c r="I1264" s="7">
        <v>0</v>
      </c>
    </row>
    <row r="1265" spans="2:9" ht="25" outlineLevel="2" x14ac:dyDescent="0.2">
      <c r="B1265" s="8" t="s">
        <v>9</v>
      </c>
      <c r="C1265" s="8" t="s">
        <v>97</v>
      </c>
      <c r="D1265" s="8" t="s">
        <v>7</v>
      </c>
      <c r="E1265" s="8" t="s">
        <v>6</v>
      </c>
      <c r="F1265" s="8" t="s">
        <v>200</v>
      </c>
      <c r="G1265" s="8" t="s">
        <v>202</v>
      </c>
      <c r="H1265" s="8" t="s">
        <v>55</v>
      </c>
      <c r="I1265" s="7">
        <v>-26220000</v>
      </c>
    </row>
    <row r="1266" spans="2:9" ht="25" outlineLevel="2" x14ac:dyDescent="0.2">
      <c r="B1266" s="8" t="s">
        <v>9</v>
      </c>
      <c r="C1266" s="8" t="s">
        <v>97</v>
      </c>
      <c r="D1266" s="8" t="s">
        <v>7</v>
      </c>
      <c r="E1266" s="8" t="s">
        <v>6</v>
      </c>
      <c r="F1266" s="8" t="s">
        <v>200</v>
      </c>
      <c r="G1266" s="8" t="s">
        <v>201</v>
      </c>
      <c r="H1266" s="8" t="s">
        <v>61</v>
      </c>
      <c r="I1266" s="7">
        <v>8050000</v>
      </c>
    </row>
    <row r="1267" spans="2:9" ht="25" outlineLevel="2" x14ac:dyDescent="0.2">
      <c r="B1267" s="8" t="s">
        <v>9</v>
      </c>
      <c r="C1267" s="8" t="s">
        <v>97</v>
      </c>
      <c r="D1267" s="8" t="s">
        <v>7</v>
      </c>
      <c r="E1267" s="8" t="s">
        <v>6</v>
      </c>
      <c r="F1267" s="8" t="s">
        <v>200</v>
      </c>
      <c r="G1267" s="8" t="s">
        <v>199</v>
      </c>
      <c r="H1267" s="8" t="s">
        <v>58</v>
      </c>
      <c r="I1267" s="7">
        <v>18170000</v>
      </c>
    </row>
    <row r="1268" spans="2:9" outlineLevel="2" x14ac:dyDescent="0.2">
      <c r="B1268" s="8"/>
      <c r="C1268" s="8"/>
      <c r="D1268" s="8"/>
      <c r="E1268" s="8"/>
      <c r="F1268" s="8"/>
      <c r="G1268" s="8"/>
      <c r="H1268" s="8"/>
      <c r="I1268" s="7"/>
    </row>
    <row r="1269" spans="2:9" outlineLevel="2" x14ac:dyDescent="0.2">
      <c r="B1269" s="8" t="s">
        <v>9</v>
      </c>
      <c r="C1269" s="8" t="s">
        <v>97</v>
      </c>
      <c r="D1269" s="8" t="s">
        <v>7</v>
      </c>
      <c r="E1269" s="8" t="s">
        <v>6</v>
      </c>
      <c r="F1269" s="8" t="s">
        <v>196</v>
      </c>
      <c r="G1269" s="8" t="s">
        <v>7</v>
      </c>
      <c r="H1269" s="8" t="s">
        <v>11</v>
      </c>
      <c r="I1269" s="7">
        <v>0</v>
      </c>
    </row>
    <row r="1270" spans="2:9" outlineLevel="2" x14ac:dyDescent="0.2">
      <c r="B1270" s="8" t="s">
        <v>9</v>
      </c>
      <c r="C1270" s="8" t="s">
        <v>97</v>
      </c>
      <c r="D1270" s="8" t="s">
        <v>7</v>
      </c>
      <c r="E1270" s="8" t="s">
        <v>6</v>
      </c>
      <c r="F1270" s="8" t="s">
        <v>196</v>
      </c>
      <c r="G1270" s="8" t="s">
        <v>198</v>
      </c>
      <c r="H1270" s="8" t="s">
        <v>55</v>
      </c>
      <c r="I1270" s="7">
        <v>-9740000</v>
      </c>
    </row>
    <row r="1271" spans="2:9" ht="25" outlineLevel="2" x14ac:dyDescent="0.2">
      <c r="B1271" s="8" t="s">
        <v>9</v>
      </c>
      <c r="C1271" s="8" t="s">
        <v>97</v>
      </c>
      <c r="D1271" s="8" t="s">
        <v>7</v>
      </c>
      <c r="E1271" s="8" t="s">
        <v>6</v>
      </c>
      <c r="F1271" s="8" t="s">
        <v>196</v>
      </c>
      <c r="G1271" s="8" t="s">
        <v>197</v>
      </c>
      <c r="H1271" s="8" t="s">
        <v>61</v>
      </c>
      <c r="I1271" s="7">
        <v>2600000</v>
      </c>
    </row>
    <row r="1272" spans="2:9" ht="25" outlineLevel="2" x14ac:dyDescent="0.2">
      <c r="B1272" s="8" t="s">
        <v>9</v>
      </c>
      <c r="C1272" s="8" t="s">
        <v>97</v>
      </c>
      <c r="D1272" s="8" t="s">
        <v>7</v>
      </c>
      <c r="E1272" s="8" t="s">
        <v>6</v>
      </c>
      <c r="F1272" s="8" t="s">
        <v>196</v>
      </c>
      <c r="G1272" s="8" t="s">
        <v>195</v>
      </c>
      <c r="H1272" s="8" t="s">
        <v>58</v>
      </c>
      <c r="I1272" s="7">
        <v>7140000</v>
      </c>
    </row>
    <row r="1273" spans="2:9" outlineLevel="2" x14ac:dyDescent="0.2">
      <c r="B1273" s="8"/>
      <c r="C1273" s="8"/>
      <c r="D1273" s="8"/>
      <c r="E1273" s="8"/>
      <c r="F1273" s="8"/>
      <c r="G1273" s="8"/>
      <c r="H1273" s="8"/>
      <c r="I1273" s="7"/>
    </row>
    <row r="1274" spans="2:9" outlineLevel="2" x14ac:dyDescent="0.2">
      <c r="B1274" s="8" t="s">
        <v>9</v>
      </c>
      <c r="C1274" s="8" t="s">
        <v>97</v>
      </c>
      <c r="D1274" s="8" t="s">
        <v>7</v>
      </c>
      <c r="E1274" s="8" t="s">
        <v>6</v>
      </c>
      <c r="F1274" s="8" t="s">
        <v>192</v>
      </c>
      <c r="G1274" s="8" t="s">
        <v>7</v>
      </c>
      <c r="H1274" s="8" t="s">
        <v>11</v>
      </c>
      <c r="I1274" s="7">
        <v>0</v>
      </c>
    </row>
    <row r="1275" spans="2:9" ht="25" outlineLevel="2" x14ac:dyDescent="0.2">
      <c r="B1275" s="8" t="s">
        <v>9</v>
      </c>
      <c r="C1275" s="8" t="s">
        <v>97</v>
      </c>
      <c r="D1275" s="8" t="s">
        <v>7</v>
      </c>
      <c r="E1275" s="8" t="s">
        <v>6</v>
      </c>
      <c r="F1275" s="8" t="s">
        <v>192</v>
      </c>
      <c r="G1275" s="8" t="s">
        <v>194</v>
      </c>
      <c r="H1275" s="8" t="s">
        <v>55</v>
      </c>
      <c r="I1275" s="7">
        <v>-13355000</v>
      </c>
    </row>
    <row r="1276" spans="2:9" ht="25" outlineLevel="2" x14ac:dyDescent="0.2">
      <c r="B1276" s="8" t="s">
        <v>9</v>
      </c>
      <c r="C1276" s="8" t="s">
        <v>97</v>
      </c>
      <c r="D1276" s="8" t="s">
        <v>7</v>
      </c>
      <c r="E1276" s="8" t="s">
        <v>6</v>
      </c>
      <c r="F1276" s="8" t="s">
        <v>192</v>
      </c>
      <c r="G1276" s="8" t="s">
        <v>193</v>
      </c>
      <c r="H1276" s="8" t="s">
        <v>61</v>
      </c>
      <c r="I1276" s="7">
        <v>4700000</v>
      </c>
    </row>
    <row r="1277" spans="2:9" ht="25" outlineLevel="2" x14ac:dyDescent="0.2">
      <c r="B1277" s="8" t="s">
        <v>9</v>
      </c>
      <c r="C1277" s="8" t="s">
        <v>97</v>
      </c>
      <c r="D1277" s="8" t="s">
        <v>7</v>
      </c>
      <c r="E1277" s="8" t="s">
        <v>6</v>
      </c>
      <c r="F1277" s="8" t="s">
        <v>192</v>
      </c>
      <c r="G1277" s="8" t="s">
        <v>191</v>
      </c>
      <c r="H1277" s="8" t="s">
        <v>58</v>
      </c>
      <c r="I1277" s="7">
        <v>8655000</v>
      </c>
    </row>
    <row r="1278" spans="2:9" outlineLevel="2" x14ac:dyDescent="0.2">
      <c r="B1278" s="8"/>
      <c r="C1278" s="8"/>
      <c r="D1278" s="8"/>
      <c r="E1278" s="8"/>
      <c r="F1278" s="8"/>
      <c r="G1278" s="8"/>
      <c r="H1278" s="8"/>
      <c r="I1278" s="7"/>
    </row>
    <row r="1279" spans="2:9" outlineLevel="2" x14ac:dyDescent="0.2">
      <c r="B1279" s="8" t="s">
        <v>9</v>
      </c>
      <c r="C1279" s="8" t="s">
        <v>97</v>
      </c>
      <c r="D1279" s="8" t="s">
        <v>7</v>
      </c>
      <c r="E1279" s="8" t="s">
        <v>6</v>
      </c>
      <c r="F1279" s="8" t="s">
        <v>188</v>
      </c>
      <c r="G1279" s="8" t="s">
        <v>7</v>
      </c>
      <c r="H1279" s="8" t="s">
        <v>11</v>
      </c>
      <c r="I1279" s="7">
        <v>0</v>
      </c>
    </row>
    <row r="1280" spans="2:9" ht="25" outlineLevel="2" x14ac:dyDescent="0.2">
      <c r="B1280" s="8" t="s">
        <v>9</v>
      </c>
      <c r="C1280" s="8" t="s">
        <v>97</v>
      </c>
      <c r="D1280" s="8" t="s">
        <v>7</v>
      </c>
      <c r="E1280" s="8" t="s">
        <v>6</v>
      </c>
      <c r="F1280" s="8" t="s">
        <v>188</v>
      </c>
      <c r="G1280" s="8" t="s">
        <v>190</v>
      </c>
      <c r="H1280" s="8" t="s">
        <v>55</v>
      </c>
      <c r="I1280" s="7">
        <v>-13240000</v>
      </c>
    </row>
    <row r="1281" spans="2:9" ht="25" outlineLevel="2" x14ac:dyDescent="0.2">
      <c r="B1281" s="8" t="s">
        <v>9</v>
      </c>
      <c r="C1281" s="8" t="s">
        <v>97</v>
      </c>
      <c r="D1281" s="8" t="s">
        <v>7</v>
      </c>
      <c r="E1281" s="8" t="s">
        <v>6</v>
      </c>
      <c r="F1281" s="8" t="s">
        <v>188</v>
      </c>
      <c r="G1281" s="8" t="s">
        <v>189</v>
      </c>
      <c r="H1281" s="8" t="s">
        <v>61</v>
      </c>
      <c r="I1281" s="7">
        <v>4500000</v>
      </c>
    </row>
    <row r="1282" spans="2:9" ht="25" outlineLevel="2" x14ac:dyDescent="0.2">
      <c r="B1282" s="8" t="s">
        <v>9</v>
      </c>
      <c r="C1282" s="8" t="s">
        <v>97</v>
      </c>
      <c r="D1282" s="8" t="s">
        <v>7</v>
      </c>
      <c r="E1282" s="8" t="s">
        <v>6</v>
      </c>
      <c r="F1282" s="8" t="s">
        <v>188</v>
      </c>
      <c r="G1282" s="8" t="s">
        <v>187</v>
      </c>
      <c r="H1282" s="8" t="s">
        <v>58</v>
      </c>
      <c r="I1282" s="7">
        <v>8740000</v>
      </c>
    </row>
    <row r="1283" spans="2:9" outlineLevel="2" x14ac:dyDescent="0.2">
      <c r="B1283" s="8"/>
      <c r="C1283" s="8"/>
      <c r="D1283" s="8"/>
      <c r="E1283" s="8"/>
      <c r="F1283" s="8"/>
      <c r="G1283" s="8"/>
      <c r="H1283" s="8"/>
      <c r="I1283" s="7"/>
    </row>
    <row r="1284" spans="2:9" outlineLevel="2" x14ac:dyDescent="0.2">
      <c r="B1284" s="8" t="s">
        <v>9</v>
      </c>
      <c r="C1284" s="8" t="s">
        <v>97</v>
      </c>
      <c r="D1284" s="8" t="s">
        <v>7</v>
      </c>
      <c r="E1284" s="8" t="s">
        <v>6</v>
      </c>
      <c r="F1284" s="8" t="s">
        <v>184</v>
      </c>
      <c r="G1284" s="8" t="s">
        <v>7</v>
      </c>
      <c r="H1284" s="8" t="s">
        <v>11</v>
      </c>
      <c r="I1284" s="7">
        <v>0</v>
      </c>
    </row>
    <row r="1285" spans="2:9" outlineLevel="2" x14ac:dyDescent="0.2">
      <c r="B1285" s="8" t="s">
        <v>9</v>
      </c>
      <c r="C1285" s="8" t="s">
        <v>97</v>
      </c>
      <c r="D1285" s="8" t="s">
        <v>7</v>
      </c>
      <c r="E1285" s="8" t="s">
        <v>6</v>
      </c>
      <c r="F1285" s="8" t="s">
        <v>184</v>
      </c>
      <c r="G1285" s="8" t="s">
        <v>186</v>
      </c>
      <c r="H1285" s="8" t="s">
        <v>55</v>
      </c>
      <c r="I1285" s="7">
        <v>-17650000</v>
      </c>
    </row>
    <row r="1286" spans="2:9" ht="25" outlineLevel="2" x14ac:dyDescent="0.2">
      <c r="B1286" s="8" t="s">
        <v>9</v>
      </c>
      <c r="C1286" s="8" t="s">
        <v>97</v>
      </c>
      <c r="D1286" s="8" t="s">
        <v>7</v>
      </c>
      <c r="E1286" s="8" t="s">
        <v>6</v>
      </c>
      <c r="F1286" s="8" t="s">
        <v>184</v>
      </c>
      <c r="G1286" s="8" t="s">
        <v>185</v>
      </c>
      <c r="H1286" s="8" t="s">
        <v>61</v>
      </c>
      <c r="I1286" s="7">
        <v>7550000</v>
      </c>
    </row>
    <row r="1287" spans="2:9" ht="25" outlineLevel="2" x14ac:dyDescent="0.2">
      <c r="B1287" s="8" t="s">
        <v>9</v>
      </c>
      <c r="C1287" s="8" t="s">
        <v>97</v>
      </c>
      <c r="D1287" s="8" t="s">
        <v>7</v>
      </c>
      <c r="E1287" s="8" t="s">
        <v>6</v>
      </c>
      <c r="F1287" s="8" t="s">
        <v>184</v>
      </c>
      <c r="G1287" s="8" t="s">
        <v>183</v>
      </c>
      <c r="H1287" s="8" t="s">
        <v>58</v>
      </c>
      <c r="I1287" s="7">
        <v>10100000</v>
      </c>
    </row>
    <row r="1288" spans="2:9" outlineLevel="2" x14ac:dyDescent="0.2">
      <c r="B1288" s="8"/>
      <c r="C1288" s="8"/>
      <c r="D1288" s="8"/>
      <c r="E1288" s="8"/>
      <c r="F1288" s="8"/>
      <c r="G1288" s="8"/>
      <c r="H1288" s="8"/>
      <c r="I1288" s="7"/>
    </row>
    <row r="1289" spans="2:9" outlineLevel="2" x14ac:dyDescent="0.2">
      <c r="B1289" s="8" t="s">
        <v>9</v>
      </c>
      <c r="C1289" s="8" t="s">
        <v>97</v>
      </c>
      <c r="D1289" s="8" t="s">
        <v>7</v>
      </c>
      <c r="E1289" s="8" t="s">
        <v>6</v>
      </c>
      <c r="F1289" s="8" t="s">
        <v>180</v>
      </c>
      <c r="G1289" s="8" t="s">
        <v>7</v>
      </c>
      <c r="H1289" s="8" t="s">
        <v>11</v>
      </c>
      <c r="I1289" s="7">
        <v>0</v>
      </c>
    </row>
    <row r="1290" spans="2:9" outlineLevel="2" x14ac:dyDescent="0.2">
      <c r="B1290" s="8" t="s">
        <v>9</v>
      </c>
      <c r="C1290" s="8" t="s">
        <v>97</v>
      </c>
      <c r="D1290" s="8" t="s">
        <v>7</v>
      </c>
      <c r="E1290" s="8" t="s">
        <v>6</v>
      </c>
      <c r="F1290" s="8" t="s">
        <v>180</v>
      </c>
      <c r="G1290" s="8" t="s">
        <v>182</v>
      </c>
      <c r="H1290" s="8" t="s">
        <v>55</v>
      </c>
      <c r="I1290" s="7">
        <v>-15630000</v>
      </c>
    </row>
    <row r="1291" spans="2:9" ht="25" outlineLevel="2" x14ac:dyDescent="0.2">
      <c r="B1291" s="8" t="s">
        <v>9</v>
      </c>
      <c r="C1291" s="8" t="s">
        <v>97</v>
      </c>
      <c r="D1291" s="8" t="s">
        <v>7</v>
      </c>
      <c r="E1291" s="8" t="s">
        <v>6</v>
      </c>
      <c r="F1291" s="8" t="s">
        <v>180</v>
      </c>
      <c r="G1291" s="8" t="s">
        <v>181</v>
      </c>
      <c r="H1291" s="8" t="s">
        <v>61</v>
      </c>
      <c r="I1291" s="7">
        <v>6000000</v>
      </c>
    </row>
    <row r="1292" spans="2:9" ht="25" outlineLevel="2" x14ac:dyDescent="0.2">
      <c r="B1292" s="8" t="s">
        <v>9</v>
      </c>
      <c r="C1292" s="8" t="s">
        <v>97</v>
      </c>
      <c r="D1292" s="8" t="s">
        <v>7</v>
      </c>
      <c r="E1292" s="8" t="s">
        <v>6</v>
      </c>
      <c r="F1292" s="8" t="s">
        <v>180</v>
      </c>
      <c r="G1292" s="8" t="s">
        <v>179</v>
      </c>
      <c r="H1292" s="8" t="s">
        <v>58</v>
      </c>
      <c r="I1292" s="7">
        <v>9630000</v>
      </c>
    </row>
    <row r="1293" spans="2:9" outlineLevel="2" x14ac:dyDescent="0.2">
      <c r="B1293" s="8"/>
      <c r="C1293" s="8"/>
      <c r="D1293" s="8"/>
      <c r="E1293" s="8"/>
      <c r="F1293" s="8"/>
      <c r="G1293" s="8"/>
      <c r="H1293" s="8"/>
      <c r="I1293" s="7"/>
    </row>
    <row r="1294" spans="2:9" outlineLevel="2" x14ac:dyDescent="0.2">
      <c r="B1294" s="8" t="s">
        <v>9</v>
      </c>
      <c r="C1294" s="8" t="s">
        <v>97</v>
      </c>
      <c r="D1294" s="8" t="s">
        <v>7</v>
      </c>
      <c r="E1294" s="8" t="s">
        <v>6</v>
      </c>
      <c r="F1294" s="8" t="s">
        <v>176</v>
      </c>
      <c r="G1294" s="8" t="s">
        <v>7</v>
      </c>
      <c r="H1294" s="8" t="s">
        <v>11</v>
      </c>
      <c r="I1294" s="7">
        <v>0</v>
      </c>
    </row>
    <row r="1295" spans="2:9" ht="25" outlineLevel="2" x14ac:dyDescent="0.2">
      <c r="B1295" s="8" t="s">
        <v>9</v>
      </c>
      <c r="C1295" s="8" t="s">
        <v>97</v>
      </c>
      <c r="D1295" s="8" t="s">
        <v>7</v>
      </c>
      <c r="E1295" s="8" t="s">
        <v>6</v>
      </c>
      <c r="F1295" s="8" t="s">
        <v>176</v>
      </c>
      <c r="G1295" s="8" t="s">
        <v>178</v>
      </c>
      <c r="H1295" s="8" t="s">
        <v>55</v>
      </c>
      <c r="I1295" s="7">
        <v>-14872915</v>
      </c>
    </row>
    <row r="1296" spans="2:9" ht="25" outlineLevel="2" x14ac:dyDescent="0.2">
      <c r="B1296" s="8" t="s">
        <v>9</v>
      </c>
      <c r="C1296" s="8" t="s">
        <v>97</v>
      </c>
      <c r="D1296" s="8" t="s">
        <v>7</v>
      </c>
      <c r="E1296" s="8" t="s">
        <v>6</v>
      </c>
      <c r="F1296" s="8" t="s">
        <v>176</v>
      </c>
      <c r="G1296" s="8" t="s">
        <v>177</v>
      </c>
      <c r="H1296" s="8" t="s">
        <v>61</v>
      </c>
      <c r="I1296" s="7">
        <v>6650000</v>
      </c>
    </row>
    <row r="1297" spans="2:9" ht="25" outlineLevel="2" x14ac:dyDescent="0.2">
      <c r="B1297" s="8" t="s">
        <v>9</v>
      </c>
      <c r="C1297" s="8" t="s">
        <v>97</v>
      </c>
      <c r="D1297" s="8" t="s">
        <v>7</v>
      </c>
      <c r="E1297" s="8" t="s">
        <v>6</v>
      </c>
      <c r="F1297" s="8" t="s">
        <v>176</v>
      </c>
      <c r="G1297" s="8" t="s">
        <v>175</v>
      </c>
      <c r="H1297" s="8" t="s">
        <v>58</v>
      </c>
      <c r="I1297" s="7">
        <v>8222915</v>
      </c>
    </row>
    <row r="1298" spans="2:9" outlineLevel="2" x14ac:dyDescent="0.2">
      <c r="B1298" s="8"/>
      <c r="C1298" s="8"/>
      <c r="D1298" s="8"/>
      <c r="E1298" s="8"/>
      <c r="F1298" s="8"/>
      <c r="G1298" s="8"/>
      <c r="H1298" s="8"/>
      <c r="I1298" s="7"/>
    </row>
    <row r="1299" spans="2:9" ht="25" outlineLevel="2" x14ac:dyDescent="0.2">
      <c r="B1299" s="8" t="s">
        <v>9</v>
      </c>
      <c r="C1299" s="8" t="s">
        <v>8</v>
      </c>
      <c r="D1299" s="8" t="s">
        <v>7</v>
      </c>
      <c r="E1299" s="8" t="s">
        <v>6</v>
      </c>
      <c r="F1299" s="8" t="s">
        <v>90</v>
      </c>
      <c r="G1299" s="8" t="s">
        <v>174</v>
      </c>
      <c r="H1299" s="8" t="s">
        <v>11</v>
      </c>
      <c r="I1299" s="7">
        <v>0</v>
      </c>
    </row>
    <row r="1300" spans="2:9" ht="25" outlineLevel="2" x14ac:dyDescent="0.2">
      <c r="B1300" s="8" t="s">
        <v>9</v>
      </c>
      <c r="C1300" s="8" t="s">
        <v>8</v>
      </c>
      <c r="D1300" s="8" t="s">
        <v>7</v>
      </c>
      <c r="E1300" s="8" t="s">
        <v>6</v>
      </c>
      <c r="F1300" s="8" t="s">
        <v>90</v>
      </c>
      <c r="G1300" s="8" t="s">
        <v>173</v>
      </c>
      <c r="H1300" s="8" t="s">
        <v>3</v>
      </c>
      <c r="I1300" s="7">
        <v>11700000</v>
      </c>
    </row>
    <row r="1301" spans="2:9" ht="25" outlineLevel="2" x14ac:dyDescent="0.2">
      <c r="B1301" s="8" t="s">
        <v>9</v>
      </c>
      <c r="C1301" s="8" t="s">
        <v>8</v>
      </c>
      <c r="D1301" s="8" t="s">
        <v>7</v>
      </c>
      <c r="E1301" s="8" t="s">
        <v>6</v>
      </c>
      <c r="F1301" s="8" t="s">
        <v>90</v>
      </c>
      <c r="G1301" s="8" t="s">
        <v>172</v>
      </c>
      <c r="H1301" s="8" t="s">
        <v>33</v>
      </c>
      <c r="I1301" s="7">
        <v>-11700000</v>
      </c>
    </row>
    <row r="1302" spans="2:9" outlineLevel="2" x14ac:dyDescent="0.2">
      <c r="B1302" s="8"/>
      <c r="C1302" s="8"/>
      <c r="D1302" s="8"/>
      <c r="E1302" s="8"/>
      <c r="F1302" s="8"/>
      <c r="G1302" s="8"/>
      <c r="H1302" s="8"/>
      <c r="I1302" s="7"/>
    </row>
    <row r="1303" spans="2:9" outlineLevel="2" x14ac:dyDescent="0.2">
      <c r="B1303" s="8" t="s">
        <v>9</v>
      </c>
      <c r="C1303" s="8" t="s">
        <v>8</v>
      </c>
      <c r="D1303" s="8" t="s">
        <v>7</v>
      </c>
      <c r="E1303" s="8" t="s">
        <v>6</v>
      </c>
      <c r="F1303" s="8" t="s">
        <v>90</v>
      </c>
      <c r="G1303" s="8" t="s">
        <v>171</v>
      </c>
      <c r="H1303" s="8" t="s">
        <v>11</v>
      </c>
      <c r="I1303" s="7">
        <v>0</v>
      </c>
    </row>
    <row r="1304" spans="2:9" ht="25" outlineLevel="2" x14ac:dyDescent="0.2">
      <c r="B1304" s="8" t="s">
        <v>9</v>
      </c>
      <c r="C1304" s="8" t="s">
        <v>8</v>
      </c>
      <c r="D1304" s="8" t="s">
        <v>7</v>
      </c>
      <c r="E1304" s="8" t="s">
        <v>6</v>
      </c>
      <c r="F1304" s="8" t="s">
        <v>90</v>
      </c>
      <c r="G1304" s="8" t="s">
        <v>171</v>
      </c>
      <c r="H1304" s="8" t="s">
        <v>3</v>
      </c>
      <c r="I1304" s="7">
        <v>8640000</v>
      </c>
    </row>
    <row r="1305" spans="2:9" ht="25" outlineLevel="2" x14ac:dyDescent="0.2">
      <c r="B1305" s="8" t="s">
        <v>9</v>
      </c>
      <c r="C1305" s="8" t="s">
        <v>8</v>
      </c>
      <c r="D1305" s="8" t="s">
        <v>7</v>
      </c>
      <c r="E1305" s="8" t="s">
        <v>6</v>
      </c>
      <c r="F1305" s="8" t="s">
        <v>90</v>
      </c>
      <c r="G1305" s="8" t="s">
        <v>170</v>
      </c>
      <c r="H1305" s="8" t="s">
        <v>61</v>
      </c>
      <c r="I1305" s="7">
        <v>-4000000</v>
      </c>
    </row>
    <row r="1306" spans="2:9" ht="25" outlineLevel="2" x14ac:dyDescent="0.2">
      <c r="B1306" s="8" t="s">
        <v>9</v>
      </c>
      <c r="C1306" s="8" t="s">
        <v>8</v>
      </c>
      <c r="D1306" s="8" t="s">
        <v>7</v>
      </c>
      <c r="E1306" s="8" t="s">
        <v>6</v>
      </c>
      <c r="F1306" s="8" t="s">
        <v>90</v>
      </c>
      <c r="G1306" s="8" t="s">
        <v>169</v>
      </c>
      <c r="H1306" s="8" t="s">
        <v>58</v>
      </c>
      <c r="I1306" s="7">
        <v>-4640000</v>
      </c>
    </row>
    <row r="1307" spans="2:9" outlineLevel="2" x14ac:dyDescent="0.2">
      <c r="B1307" s="8"/>
      <c r="C1307" s="8"/>
      <c r="D1307" s="8"/>
      <c r="E1307" s="8"/>
      <c r="F1307" s="8"/>
      <c r="G1307" s="8"/>
      <c r="H1307" s="8"/>
      <c r="I1307" s="7"/>
    </row>
    <row r="1308" spans="2:9" outlineLevel="2" x14ac:dyDescent="0.2">
      <c r="B1308" s="8" t="s">
        <v>9</v>
      </c>
      <c r="C1308" s="8" t="s">
        <v>8</v>
      </c>
      <c r="D1308" s="8" t="s">
        <v>7</v>
      </c>
      <c r="E1308" s="8" t="s">
        <v>6</v>
      </c>
      <c r="F1308" s="8" t="s">
        <v>90</v>
      </c>
      <c r="G1308" s="8" t="s">
        <v>168</v>
      </c>
      <c r="H1308" s="8" t="s">
        <v>11</v>
      </c>
      <c r="I1308" s="7">
        <v>0</v>
      </c>
    </row>
    <row r="1309" spans="2:9" ht="25" outlineLevel="2" x14ac:dyDescent="0.2">
      <c r="B1309" s="8" t="s">
        <v>9</v>
      </c>
      <c r="C1309" s="8" t="s">
        <v>8</v>
      </c>
      <c r="D1309" s="8" t="s">
        <v>7</v>
      </c>
      <c r="E1309" s="8" t="s">
        <v>6</v>
      </c>
      <c r="F1309" s="8" t="s">
        <v>90</v>
      </c>
      <c r="G1309" s="8" t="s">
        <v>167</v>
      </c>
      <c r="H1309" s="8" t="s">
        <v>3</v>
      </c>
      <c r="I1309" s="7">
        <v>21600000</v>
      </c>
    </row>
    <row r="1310" spans="2:9" ht="25" outlineLevel="2" x14ac:dyDescent="0.2">
      <c r="B1310" s="8" t="s">
        <v>9</v>
      </c>
      <c r="C1310" s="8" t="s">
        <v>8</v>
      </c>
      <c r="D1310" s="8" t="s">
        <v>7</v>
      </c>
      <c r="E1310" s="8" t="s">
        <v>6</v>
      </c>
      <c r="F1310" s="8" t="s">
        <v>90</v>
      </c>
      <c r="G1310" s="8" t="s">
        <v>166</v>
      </c>
      <c r="H1310" s="8" t="s">
        <v>61</v>
      </c>
      <c r="I1310" s="7">
        <v>-10000000</v>
      </c>
    </row>
    <row r="1311" spans="2:9" ht="25" outlineLevel="2" x14ac:dyDescent="0.2">
      <c r="B1311" s="8" t="s">
        <v>9</v>
      </c>
      <c r="C1311" s="8" t="s">
        <v>8</v>
      </c>
      <c r="D1311" s="8" t="s">
        <v>7</v>
      </c>
      <c r="E1311" s="8" t="s">
        <v>6</v>
      </c>
      <c r="F1311" s="8" t="s">
        <v>90</v>
      </c>
      <c r="G1311" s="8" t="s">
        <v>165</v>
      </c>
      <c r="H1311" s="8" t="s">
        <v>58</v>
      </c>
      <c r="I1311" s="7">
        <v>-11600000</v>
      </c>
    </row>
    <row r="1312" spans="2:9" outlineLevel="2" x14ac:dyDescent="0.2">
      <c r="B1312" s="8"/>
      <c r="C1312" s="8"/>
      <c r="D1312" s="8"/>
      <c r="E1312" s="8"/>
      <c r="F1312" s="8"/>
      <c r="G1312" s="8"/>
      <c r="H1312" s="8"/>
      <c r="I1312" s="7"/>
    </row>
    <row r="1313" spans="2:9" ht="25" outlineLevel="2" x14ac:dyDescent="0.2">
      <c r="B1313" s="8" t="s">
        <v>9</v>
      </c>
      <c r="C1313" s="8" t="s">
        <v>8</v>
      </c>
      <c r="D1313" s="8" t="s">
        <v>7</v>
      </c>
      <c r="E1313" s="8" t="s">
        <v>6</v>
      </c>
      <c r="F1313" s="8" t="s">
        <v>90</v>
      </c>
      <c r="G1313" s="8" t="s">
        <v>164</v>
      </c>
      <c r="H1313" s="8" t="s">
        <v>11</v>
      </c>
      <c r="I1313" s="7">
        <v>0</v>
      </c>
    </row>
    <row r="1314" spans="2:9" ht="25" outlineLevel="2" x14ac:dyDescent="0.2">
      <c r="B1314" s="8" t="s">
        <v>9</v>
      </c>
      <c r="C1314" s="8" t="s">
        <v>8</v>
      </c>
      <c r="D1314" s="8" t="s">
        <v>7</v>
      </c>
      <c r="E1314" s="8" t="s">
        <v>6</v>
      </c>
      <c r="F1314" s="8" t="s">
        <v>90</v>
      </c>
      <c r="G1314" s="8" t="s">
        <v>164</v>
      </c>
      <c r="H1314" s="8" t="s">
        <v>3</v>
      </c>
      <c r="I1314" s="7">
        <v>72225000</v>
      </c>
    </row>
    <row r="1315" spans="2:9" ht="25" outlineLevel="2" x14ac:dyDescent="0.2">
      <c r="B1315" s="8" t="s">
        <v>9</v>
      </c>
      <c r="C1315" s="8" t="s">
        <v>8</v>
      </c>
      <c r="D1315" s="8" t="s">
        <v>7</v>
      </c>
      <c r="E1315" s="8" t="s">
        <v>6</v>
      </c>
      <c r="F1315" s="8" t="s">
        <v>90</v>
      </c>
      <c r="G1315" s="8" t="s">
        <v>163</v>
      </c>
      <c r="H1315" s="8" t="s">
        <v>61</v>
      </c>
      <c r="I1315" s="7">
        <v>-34515000</v>
      </c>
    </row>
    <row r="1316" spans="2:9" ht="25" outlineLevel="2" x14ac:dyDescent="0.2">
      <c r="B1316" s="8" t="s">
        <v>9</v>
      </c>
      <c r="C1316" s="8" t="s">
        <v>8</v>
      </c>
      <c r="D1316" s="8" t="s">
        <v>7</v>
      </c>
      <c r="E1316" s="8" t="s">
        <v>6</v>
      </c>
      <c r="F1316" s="8" t="s">
        <v>90</v>
      </c>
      <c r="G1316" s="8" t="s">
        <v>162</v>
      </c>
      <c r="H1316" s="8" t="s">
        <v>58</v>
      </c>
      <c r="I1316" s="7">
        <v>-37710000</v>
      </c>
    </row>
    <row r="1317" spans="2:9" outlineLevel="2" x14ac:dyDescent="0.2">
      <c r="B1317" s="8"/>
      <c r="C1317" s="8"/>
      <c r="D1317" s="8"/>
      <c r="E1317" s="8"/>
      <c r="F1317" s="8"/>
      <c r="G1317" s="8"/>
      <c r="H1317" s="8"/>
      <c r="I1317" s="7"/>
    </row>
    <row r="1318" spans="2:9" outlineLevel="2" x14ac:dyDescent="0.2">
      <c r="B1318" s="8" t="s">
        <v>9</v>
      </c>
      <c r="C1318" s="8" t="s">
        <v>8</v>
      </c>
      <c r="D1318" s="8" t="s">
        <v>7</v>
      </c>
      <c r="E1318" s="8" t="s">
        <v>6</v>
      </c>
      <c r="F1318" s="8" t="s">
        <v>90</v>
      </c>
      <c r="G1318" s="8" t="s">
        <v>161</v>
      </c>
      <c r="H1318" s="8" t="s">
        <v>11</v>
      </c>
      <c r="I1318" s="7">
        <v>0</v>
      </c>
    </row>
    <row r="1319" spans="2:9" ht="25" outlineLevel="2" x14ac:dyDescent="0.2">
      <c r="B1319" s="8" t="s">
        <v>9</v>
      </c>
      <c r="C1319" s="8" t="s">
        <v>8</v>
      </c>
      <c r="D1319" s="8" t="s">
        <v>7</v>
      </c>
      <c r="E1319" s="8" t="s">
        <v>6</v>
      </c>
      <c r="F1319" s="8" t="s">
        <v>90</v>
      </c>
      <c r="G1319" s="8" t="s">
        <v>160</v>
      </c>
      <c r="H1319" s="8" t="s">
        <v>3</v>
      </c>
      <c r="I1319" s="7">
        <v>15017182</v>
      </c>
    </row>
    <row r="1320" spans="2:9" ht="25" outlineLevel="2" x14ac:dyDescent="0.2">
      <c r="B1320" s="8" t="s">
        <v>9</v>
      </c>
      <c r="C1320" s="8" t="s">
        <v>8</v>
      </c>
      <c r="D1320" s="8" t="s">
        <v>7</v>
      </c>
      <c r="E1320" s="8" t="s">
        <v>6</v>
      </c>
      <c r="F1320" s="8" t="s">
        <v>90</v>
      </c>
      <c r="G1320" s="8" t="s">
        <v>159</v>
      </c>
      <c r="H1320" s="8" t="s">
        <v>61</v>
      </c>
      <c r="I1320" s="7">
        <v>-2340000</v>
      </c>
    </row>
    <row r="1321" spans="2:9" ht="25" outlineLevel="2" x14ac:dyDescent="0.2">
      <c r="B1321" s="8" t="s">
        <v>9</v>
      </c>
      <c r="C1321" s="8" t="s">
        <v>8</v>
      </c>
      <c r="D1321" s="8" t="s">
        <v>7</v>
      </c>
      <c r="E1321" s="8" t="s">
        <v>6</v>
      </c>
      <c r="F1321" s="8" t="s">
        <v>90</v>
      </c>
      <c r="G1321" s="8" t="s">
        <v>158</v>
      </c>
      <c r="H1321" s="8" t="s">
        <v>58</v>
      </c>
      <c r="I1321" s="7">
        <v>-11177182</v>
      </c>
    </row>
    <row r="1322" spans="2:9" ht="25" outlineLevel="2" x14ac:dyDescent="0.2">
      <c r="B1322" s="8" t="s">
        <v>9</v>
      </c>
      <c r="C1322" s="8" t="s">
        <v>8</v>
      </c>
      <c r="D1322" s="8" t="s">
        <v>7</v>
      </c>
      <c r="E1322" s="8" t="s">
        <v>6</v>
      </c>
      <c r="F1322" s="8" t="s">
        <v>90</v>
      </c>
      <c r="G1322" s="8" t="s">
        <v>157</v>
      </c>
      <c r="H1322" s="8" t="s">
        <v>58</v>
      </c>
      <c r="I1322" s="7">
        <v>-1500000</v>
      </c>
    </row>
    <row r="1323" spans="2:9" outlineLevel="2" x14ac:dyDescent="0.2">
      <c r="B1323" s="8"/>
      <c r="C1323" s="8"/>
      <c r="D1323" s="8"/>
      <c r="E1323" s="8"/>
      <c r="F1323" s="8"/>
      <c r="G1323" s="8"/>
      <c r="H1323" s="8"/>
      <c r="I1323" s="7"/>
    </row>
    <row r="1324" spans="2:9" outlineLevel="2" x14ac:dyDescent="0.2">
      <c r="B1324" s="8" t="s">
        <v>9</v>
      </c>
      <c r="C1324" s="8" t="s">
        <v>8</v>
      </c>
      <c r="D1324" s="8" t="s">
        <v>7</v>
      </c>
      <c r="E1324" s="8" t="s">
        <v>6</v>
      </c>
      <c r="F1324" s="8" t="s">
        <v>90</v>
      </c>
      <c r="G1324" s="8" t="s">
        <v>156</v>
      </c>
      <c r="H1324" s="8" t="s">
        <v>11</v>
      </c>
      <c r="I1324" s="7">
        <v>0</v>
      </c>
    </row>
    <row r="1325" spans="2:9" ht="25" outlineLevel="2" x14ac:dyDescent="0.2">
      <c r="B1325" s="8" t="s">
        <v>9</v>
      </c>
      <c r="C1325" s="8" t="s">
        <v>8</v>
      </c>
      <c r="D1325" s="8" t="s">
        <v>7</v>
      </c>
      <c r="E1325" s="8" t="s">
        <v>6</v>
      </c>
      <c r="F1325" s="8" t="s">
        <v>90</v>
      </c>
      <c r="G1325" s="8" t="s">
        <v>155</v>
      </c>
      <c r="H1325" s="8" t="s">
        <v>3</v>
      </c>
      <c r="I1325" s="7">
        <v>8963182</v>
      </c>
    </row>
    <row r="1326" spans="2:9" ht="25" outlineLevel="2" x14ac:dyDescent="0.2">
      <c r="B1326" s="8" t="s">
        <v>9</v>
      </c>
      <c r="C1326" s="8" t="s">
        <v>8</v>
      </c>
      <c r="D1326" s="8" t="s">
        <v>7</v>
      </c>
      <c r="E1326" s="8" t="s">
        <v>6</v>
      </c>
      <c r="F1326" s="8" t="s">
        <v>90</v>
      </c>
      <c r="G1326" s="8" t="s">
        <v>154</v>
      </c>
      <c r="H1326" s="8" t="s">
        <v>61</v>
      </c>
      <c r="I1326" s="7">
        <v>-2340000</v>
      </c>
    </row>
    <row r="1327" spans="2:9" ht="25" outlineLevel="2" x14ac:dyDescent="0.2">
      <c r="B1327" s="8" t="s">
        <v>9</v>
      </c>
      <c r="C1327" s="8" t="s">
        <v>8</v>
      </c>
      <c r="D1327" s="8" t="s">
        <v>7</v>
      </c>
      <c r="E1327" s="8" t="s">
        <v>6</v>
      </c>
      <c r="F1327" s="8" t="s">
        <v>90</v>
      </c>
      <c r="G1327" s="8" t="s">
        <v>153</v>
      </c>
      <c r="H1327" s="8" t="s">
        <v>58</v>
      </c>
      <c r="I1327" s="7">
        <v>-6623182</v>
      </c>
    </row>
    <row r="1328" spans="2:9" ht="25" outlineLevel="2" x14ac:dyDescent="0.2">
      <c r="B1328" s="8" t="s">
        <v>9</v>
      </c>
      <c r="C1328" s="8" t="s">
        <v>8</v>
      </c>
      <c r="D1328" s="8" t="s">
        <v>7</v>
      </c>
      <c r="E1328" s="8" t="s">
        <v>6</v>
      </c>
      <c r="F1328" s="8" t="s">
        <v>90</v>
      </c>
      <c r="G1328" s="8" t="s">
        <v>152</v>
      </c>
      <c r="H1328" s="8" t="s">
        <v>58</v>
      </c>
      <c r="I1328" s="7">
        <v>0</v>
      </c>
    </row>
    <row r="1329" spans="2:9" outlineLevel="2" x14ac:dyDescent="0.2">
      <c r="B1329" s="8"/>
      <c r="C1329" s="8"/>
      <c r="D1329" s="8"/>
      <c r="E1329" s="8"/>
      <c r="F1329" s="8"/>
      <c r="G1329" s="8"/>
      <c r="H1329" s="8"/>
      <c r="I1329" s="7"/>
    </row>
    <row r="1330" spans="2:9" outlineLevel="2" x14ac:dyDescent="0.2">
      <c r="B1330" s="8" t="s">
        <v>9</v>
      </c>
      <c r="C1330" s="8" t="s">
        <v>8</v>
      </c>
      <c r="D1330" s="8" t="s">
        <v>7</v>
      </c>
      <c r="E1330" s="8" t="s">
        <v>6</v>
      </c>
      <c r="F1330" s="8" t="s">
        <v>90</v>
      </c>
      <c r="G1330" s="8" t="s">
        <v>151</v>
      </c>
      <c r="H1330" s="8" t="s">
        <v>11</v>
      </c>
      <c r="I1330" s="7">
        <v>0</v>
      </c>
    </row>
    <row r="1331" spans="2:9" ht="25" outlineLevel="2" x14ac:dyDescent="0.2">
      <c r="B1331" s="8" t="s">
        <v>9</v>
      </c>
      <c r="C1331" s="8" t="s">
        <v>8</v>
      </c>
      <c r="D1331" s="8" t="s">
        <v>7</v>
      </c>
      <c r="E1331" s="8" t="s">
        <v>6</v>
      </c>
      <c r="F1331" s="8" t="s">
        <v>90</v>
      </c>
      <c r="G1331" s="8" t="s">
        <v>150</v>
      </c>
      <c r="H1331" s="8" t="s">
        <v>3</v>
      </c>
      <c r="I1331" s="7">
        <v>12320000</v>
      </c>
    </row>
    <row r="1332" spans="2:9" ht="25" outlineLevel="2" x14ac:dyDescent="0.2">
      <c r="B1332" s="8" t="s">
        <v>9</v>
      </c>
      <c r="C1332" s="8" t="s">
        <v>8</v>
      </c>
      <c r="D1332" s="8" t="s">
        <v>7</v>
      </c>
      <c r="E1332" s="8" t="s">
        <v>6</v>
      </c>
      <c r="F1332" s="8" t="s">
        <v>90</v>
      </c>
      <c r="G1332" s="8" t="s">
        <v>149</v>
      </c>
      <c r="H1332" s="8" t="s">
        <v>61</v>
      </c>
      <c r="I1332" s="7">
        <v>-2000000</v>
      </c>
    </row>
    <row r="1333" spans="2:9" ht="25" outlineLevel="2" x14ac:dyDescent="0.2">
      <c r="B1333" s="8" t="s">
        <v>9</v>
      </c>
      <c r="C1333" s="8" t="s">
        <v>8</v>
      </c>
      <c r="D1333" s="8" t="s">
        <v>7</v>
      </c>
      <c r="E1333" s="8" t="s">
        <v>6</v>
      </c>
      <c r="F1333" s="8" t="s">
        <v>90</v>
      </c>
      <c r="G1333" s="8" t="s">
        <v>148</v>
      </c>
      <c r="H1333" s="8" t="s">
        <v>58</v>
      </c>
      <c r="I1333" s="7">
        <v>-2320000</v>
      </c>
    </row>
    <row r="1334" spans="2:9" ht="25" outlineLevel="2" x14ac:dyDescent="0.2">
      <c r="B1334" s="8" t="s">
        <v>9</v>
      </c>
      <c r="C1334" s="8" t="s">
        <v>8</v>
      </c>
      <c r="D1334" s="8" t="s">
        <v>7</v>
      </c>
      <c r="E1334" s="8" t="s">
        <v>6</v>
      </c>
      <c r="F1334" s="8" t="s">
        <v>90</v>
      </c>
      <c r="G1334" s="8" t="s">
        <v>147</v>
      </c>
      <c r="H1334" s="8" t="s">
        <v>58</v>
      </c>
      <c r="I1334" s="7">
        <v>-8000000</v>
      </c>
    </row>
    <row r="1335" spans="2:9" outlineLevel="2" x14ac:dyDescent="0.2">
      <c r="B1335" s="8"/>
      <c r="C1335" s="8"/>
      <c r="D1335" s="8"/>
      <c r="E1335" s="8"/>
      <c r="F1335" s="8"/>
      <c r="G1335" s="8"/>
      <c r="H1335" s="8"/>
      <c r="I1335" s="7"/>
    </row>
    <row r="1336" spans="2:9" outlineLevel="2" x14ac:dyDescent="0.2">
      <c r="B1336" s="8" t="s">
        <v>9</v>
      </c>
      <c r="C1336" s="8" t="s">
        <v>8</v>
      </c>
      <c r="D1336" s="8" t="s">
        <v>7</v>
      </c>
      <c r="E1336" s="8" t="s">
        <v>6</v>
      </c>
      <c r="F1336" s="8" t="s">
        <v>90</v>
      </c>
      <c r="G1336" s="8" t="s">
        <v>146</v>
      </c>
      <c r="H1336" s="8" t="s">
        <v>11</v>
      </c>
      <c r="I1336" s="7">
        <v>0</v>
      </c>
    </row>
    <row r="1337" spans="2:9" ht="25" outlineLevel="2" x14ac:dyDescent="0.2">
      <c r="B1337" s="8" t="s">
        <v>9</v>
      </c>
      <c r="C1337" s="8" t="s">
        <v>8</v>
      </c>
      <c r="D1337" s="8" t="s">
        <v>7</v>
      </c>
      <c r="E1337" s="8" t="s">
        <v>6</v>
      </c>
      <c r="F1337" s="8" t="s">
        <v>90</v>
      </c>
      <c r="G1337" s="8" t="s">
        <v>145</v>
      </c>
      <c r="H1337" s="8" t="s">
        <v>3</v>
      </c>
      <c r="I1337" s="7">
        <v>85338082</v>
      </c>
    </row>
    <row r="1338" spans="2:9" ht="25" outlineLevel="2" x14ac:dyDescent="0.2">
      <c r="B1338" s="8" t="s">
        <v>9</v>
      </c>
      <c r="C1338" s="8" t="s">
        <v>8</v>
      </c>
      <c r="D1338" s="8" t="s">
        <v>7</v>
      </c>
      <c r="E1338" s="8" t="s">
        <v>6</v>
      </c>
      <c r="F1338" s="8" t="s">
        <v>90</v>
      </c>
      <c r="G1338" s="8" t="s">
        <v>144</v>
      </c>
      <c r="H1338" s="8" t="s">
        <v>61</v>
      </c>
      <c r="I1338" s="7">
        <v>-7550000</v>
      </c>
    </row>
    <row r="1339" spans="2:9" ht="25" outlineLevel="2" x14ac:dyDescent="0.2">
      <c r="B1339" s="8" t="s">
        <v>9</v>
      </c>
      <c r="C1339" s="8" t="s">
        <v>8</v>
      </c>
      <c r="D1339" s="8" t="s">
        <v>7</v>
      </c>
      <c r="E1339" s="8" t="s">
        <v>6</v>
      </c>
      <c r="F1339" s="8" t="s">
        <v>90</v>
      </c>
      <c r="G1339" s="8" t="s">
        <v>143</v>
      </c>
      <c r="H1339" s="8" t="s">
        <v>58</v>
      </c>
      <c r="I1339" s="7">
        <v>-28788082</v>
      </c>
    </row>
    <row r="1340" spans="2:9" ht="25" outlineLevel="2" x14ac:dyDescent="0.2">
      <c r="B1340" s="8" t="s">
        <v>9</v>
      </c>
      <c r="C1340" s="8" t="s">
        <v>8</v>
      </c>
      <c r="D1340" s="8" t="s">
        <v>7</v>
      </c>
      <c r="E1340" s="8" t="s">
        <v>6</v>
      </c>
      <c r="F1340" s="8" t="s">
        <v>90</v>
      </c>
      <c r="G1340" s="8" t="s">
        <v>142</v>
      </c>
      <c r="H1340" s="8" t="s">
        <v>58</v>
      </c>
      <c r="I1340" s="7">
        <v>-49000000</v>
      </c>
    </row>
    <row r="1341" spans="2:9" outlineLevel="2" x14ac:dyDescent="0.2">
      <c r="B1341" s="8"/>
      <c r="C1341" s="8"/>
      <c r="D1341" s="8"/>
      <c r="E1341" s="8"/>
      <c r="F1341" s="8"/>
      <c r="G1341" s="8"/>
      <c r="H1341" s="8"/>
      <c r="I1341" s="7"/>
    </row>
    <row r="1342" spans="2:9" outlineLevel="2" x14ac:dyDescent="0.2">
      <c r="B1342" s="8" t="s">
        <v>9</v>
      </c>
      <c r="C1342" s="8" t="s">
        <v>8</v>
      </c>
      <c r="D1342" s="8" t="s">
        <v>7</v>
      </c>
      <c r="E1342" s="8" t="s">
        <v>6</v>
      </c>
      <c r="F1342" s="8" t="s">
        <v>90</v>
      </c>
      <c r="G1342" s="8" t="s">
        <v>141</v>
      </c>
      <c r="H1342" s="8" t="s">
        <v>11</v>
      </c>
      <c r="I1342" s="7">
        <v>0</v>
      </c>
    </row>
    <row r="1343" spans="2:9" ht="25" outlineLevel="2" x14ac:dyDescent="0.2">
      <c r="B1343" s="8" t="s">
        <v>9</v>
      </c>
      <c r="C1343" s="8" t="s">
        <v>8</v>
      </c>
      <c r="D1343" s="8" t="s">
        <v>7</v>
      </c>
      <c r="E1343" s="8" t="s">
        <v>6</v>
      </c>
      <c r="F1343" s="8" t="s">
        <v>90</v>
      </c>
      <c r="G1343" s="8" t="s">
        <v>140</v>
      </c>
      <c r="H1343" s="8" t="s">
        <v>3</v>
      </c>
      <c r="I1343" s="7">
        <v>7774576</v>
      </c>
    </row>
    <row r="1344" spans="2:9" ht="25" outlineLevel="2" x14ac:dyDescent="0.2">
      <c r="B1344" s="8" t="s">
        <v>9</v>
      </c>
      <c r="C1344" s="8" t="s">
        <v>8</v>
      </c>
      <c r="D1344" s="8" t="s">
        <v>7</v>
      </c>
      <c r="E1344" s="8" t="s">
        <v>6</v>
      </c>
      <c r="F1344" s="8" t="s">
        <v>90</v>
      </c>
      <c r="G1344" s="8" t="s">
        <v>139</v>
      </c>
      <c r="H1344" s="8" t="s">
        <v>61</v>
      </c>
      <c r="I1344" s="7">
        <v>-27304940</v>
      </c>
    </row>
    <row r="1345" spans="2:9" ht="25" outlineLevel="2" x14ac:dyDescent="0.2">
      <c r="B1345" s="8" t="s">
        <v>9</v>
      </c>
      <c r="C1345" s="8" t="s">
        <v>8</v>
      </c>
      <c r="D1345" s="8" t="s">
        <v>7</v>
      </c>
      <c r="E1345" s="8" t="s">
        <v>6</v>
      </c>
      <c r="F1345" s="8" t="s">
        <v>90</v>
      </c>
      <c r="G1345" s="8" t="s">
        <v>138</v>
      </c>
      <c r="H1345" s="8" t="s">
        <v>58</v>
      </c>
      <c r="I1345" s="7">
        <v>19530364</v>
      </c>
    </row>
    <row r="1346" spans="2:9" ht="25" outlineLevel="2" x14ac:dyDescent="0.2">
      <c r="B1346" s="8" t="s">
        <v>9</v>
      </c>
      <c r="C1346" s="8" t="s">
        <v>8</v>
      </c>
      <c r="D1346" s="8" t="s">
        <v>7</v>
      </c>
      <c r="E1346" s="8" t="s">
        <v>6</v>
      </c>
      <c r="F1346" s="8" t="s">
        <v>90</v>
      </c>
      <c r="G1346" s="8" t="s">
        <v>137</v>
      </c>
      <c r="H1346" s="8" t="s">
        <v>58</v>
      </c>
      <c r="I1346" s="7">
        <v>0</v>
      </c>
    </row>
    <row r="1347" spans="2:9" outlineLevel="2" x14ac:dyDescent="0.2">
      <c r="B1347" s="8"/>
      <c r="C1347" s="8"/>
      <c r="D1347" s="8"/>
      <c r="E1347" s="8"/>
      <c r="F1347" s="8"/>
      <c r="G1347" s="8"/>
      <c r="H1347" s="8"/>
      <c r="I1347" s="7"/>
    </row>
    <row r="1348" spans="2:9" outlineLevel="2" x14ac:dyDescent="0.2">
      <c r="B1348" s="8" t="s">
        <v>9</v>
      </c>
      <c r="C1348" s="8" t="s">
        <v>97</v>
      </c>
      <c r="D1348" s="8" t="s">
        <v>7</v>
      </c>
      <c r="E1348" s="8" t="s">
        <v>6</v>
      </c>
      <c r="F1348" s="8" t="s">
        <v>134</v>
      </c>
      <c r="G1348" s="8" t="s">
        <v>7</v>
      </c>
      <c r="H1348" s="8" t="s">
        <v>11</v>
      </c>
      <c r="I1348" s="7">
        <v>0</v>
      </c>
    </row>
    <row r="1349" spans="2:9" outlineLevel="2" x14ac:dyDescent="0.2">
      <c r="B1349" s="8" t="s">
        <v>9</v>
      </c>
      <c r="C1349" s="8" t="s">
        <v>97</v>
      </c>
      <c r="D1349" s="8" t="s">
        <v>7</v>
      </c>
      <c r="E1349" s="8" t="s">
        <v>6</v>
      </c>
      <c r="F1349" s="8" t="s">
        <v>134</v>
      </c>
      <c r="G1349" s="8" t="s">
        <v>136</v>
      </c>
      <c r="H1349" s="8" t="s">
        <v>55</v>
      </c>
      <c r="I1349" s="7">
        <v>-153483000</v>
      </c>
    </row>
    <row r="1350" spans="2:9" ht="25" outlineLevel="2" x14ac:dyDescent="0.2">
      <c r="B1350" s="8" t="s">
        <v>9</v>
      </c>
      <c r="C1350" s="8" t="s">
        <v>97</v>
      </c>
      <c r="D1350" s="8" t="s">
        <v>7</v>
      </c>
      <c r="E1350" s="8" t="s">
        <v>6</v>
      </c>
      <c r="F1350" s="8" t="s">
        <v>134</v>
      </c>
      <c r="G1350" s="8" t="s">
        <v>135</v>
      </c>
      <c r="H1350" s="8" t="s">
        <v>61</v>
      </c>
      <c r="I1350" s="7">
        <v>52972500</v>
      </c>
    </row>
    <row r="1351" spans="2:9" ht="25" outlineLevel="2" x14ac:dyDescent="0.2">
      <c r="B1351" s="8" t="s">
        <v>9</v>
      </c>
      <c r="C1351" s="8" t="s">
        <v>97</v>
      </c>
      <c r="D1351" s="8" t="s">
        <v>7</v>
      </c>
      <c r="E1351" s="8" t="s">
        <v>6</v>
      </c>
      <c r="F1351" s="8" t="s">
        <v>134</v>
      </c>
      <c r="G1351" s="8" t="s">
        <v>133</v>
      </c>
      <c r="H1351" s="8" t="s">
        <v>58</v>
      </c>
      <c r="I1351" s="7">
        <v>100510500</v>
      </c>
    </row>
    <row r="1352" spans="2:9" outlineLevel="2" x14ac:dyDescent="0.2">
      <c r="B1352" s="8"/>
      <c r="C1352" s="8"/>
      <c r="D1352" s="8"/>
      <c r="E1352" s="8"/>
      <c r="F1352" s="8"/>
      <c r="G1352" s="8"/>
      <c r="H1352" s="8"/>
      <c r="I1352" s="7"/>
    </row>
    <row r="1353" spans="2:9" outlineLevel="2" x14ac:dyDescent="0.2">
      <c r="B1353" s="8" t="s">
        <v>9</v>
      </c>
      <c r="C1353" s="8" t="s">
        <v>8</v>
      </c>
      <c r="D1353" s="8" t="s">
        <v>7</v>
      </c>
      <c r="E1353" s="8" t="s">
        <v>6</v>
      </c>
      <c r="F1353" s="8" t="s">
        <v>90</v>
      </c>
      <c r="G1353" s="8" t="s">
        <v>132</v>
      </c>
      <c r="H1353" s="8" t="s">
        <v>11</v>
      </c>
      <c r="I1353" s="7">
        <v>0</v>
      </c>
    </row>
    <row r="1354" spans="2:9" ht="25" outlineLevel="2" x14ac:dyDescent="0.2">
      <c r="B1354" s="8" t="s">
        <v>9</v>
      </c>
      <c r="C1354" s="8" t="s">
        <v>8</v>
      </c>
      <c r="D1354" s="8" t="s">
        <v>7</v>
      </c>
      <c r="E1354" s="8" t="s">
        <v>6</v>
      </c>
      <c r="F1354" s="8" t="s">
        <v>90</v>
      </c>
      <c r="G1354" s="8" t="s">
        <v>131</v>
      </c>
      <c r="H1354" s="8" t="s">
        <v>3</v>
      </c>
      <c r="I1354" s="7">
        <v>59754545</v>
      </c>
    </row>
    <row r="1355" spans="2:9" ht="25" outlineLevel="2" x14ac:dyDescent="0.2">
      <c r="B1355" s="8" t="s">
        <v>9</v>
      </c>
      <c r="C1355" s="8" t="s">
        <v>8</v>
      </c>
      <c r="D1355" s="8" t="s">
        <v>7</v>
      </c>
      <c r="E1355" s="8" t="s">
        <v>6</v>
      </c>
      <c r="F1355" s="8" t="s">
        <v>90</v>
      </c>
      <c r="G1355" s="8" t="s">
        <v>130</v>
      </c>
      <c r="H1355" s="8" t="s">
        <v>61</v>
      </c>
      <c r="I1355" s="7">
        <v>-15600000</v>
      </c>
    </row>
    <row r="1356" spans="2:9" ht="25" outlineLevel="2" x14ac:dyDescent="0.2">
      <c r="B1356" s="8" t="s">
        <v>9</v>
      </c>
      <c r="C1356" s="8" t="s">
        <v>8</v>
      </c>
      <c r="D1356" s="8" t="s">
        <v>7</v>
      </c>
      <c r="E1356" s="8" t="s">
        <v>6</v>
      </c>
      <c r="F1356" s="8" t="s">
        <v>90</v>
      </c>
      <c r="G1356" s="8" t="s">
        <v>129</v>
      </c>
      <c r="H1356" s="8" t="s">
        <v>58</v>
      </c>
      <c r="I1356" s="7">
        <v>-44154545</v>
      </c>
    </row>
    <row r="1357" spans="2:9" ht="25" outlineLevel="2" x14ac:dyDescent="0.2">
      <c r="B1357" s="8" t="s">
        <v>9</v>
      </c>
      <c r="C1357" s="8" t="s">
        <v>8</v>
      </c>
      <c r="D1357" s="8" t="s">
        <v>7</v>
      </c>
      <c r="E1357" s="8" t="s">
        <v>6</v>
      </c>
      <c r="F1357" s="8" t="s">
        <v>90</v>
      </c>
      <c r="G1357" s="8" t="s">
        <v>128</v>
      </c>
      <c r="H1357" s="8" t="s">
        <v>58</v>
      </c>
      <c r="I1357" s="7">
        <v>0</v>
      </c>
    </row>
    <row r="1358" spans="2:9" outlineLevel="2" x14ac:dyDescent="0.2">
      <c r="B1358" s="8"/>
      <c r="C1358" s="8"/>
      <c r="D1358" s="8"/>
      <c r="E1358" s="8"/>
      <c r="F1358" s="8"/>
      <c r="G1358" s="8"/>
      <c r="H1358" s="8"/>
      <c r="I1358" s="7"/>
    </row>
    <row r="1359" spans="2:9" outlineLevel="2" x14ac:dyDescent="0.2">
      <c r="B1359" s="8" t="s">
        <v>9</v>
      </c>
      <c r="C1359" s="8" t="s">
        <v>8</v>
      </c>
      <c r="D1359" s="8" t="s">
        <v>7</v>
      </c>
      <c r="E1359" s="8" t="s">
        <v>6</v>
      </c>
      <c r="F1359" s="8" t="s">
        <v>90</v>
      </c>
      <c r="G1359" s="8" t="s">
        <v>127</v>
      </c>
      <c r="H1359" s="8" t="s">
        <v>11</v>
      </c>
      <c r="I1359" s="7">
        <v>0</v>
      </c>
    </row>
    <row r="1360" spans="2:9" ht="25" outlineLevel="2" x14ac:dyDescent="0.2">
      <c r="B1360" s="8" t="s">
        <v>9</v>
      </c>
      <c r="C1360" s="8" t="s">
        <v>8</v>
      </c>
      <c r="D1360" s="8" t="s">
        <v>7</v>
      </c>
      <c r="E1360" s="8" t="s">
        <v>6</v>
      </c>
      <c r="F1360" s="8" t="s">
        <v>90</v>
      </c>
      <c r="G1360" s="8" t="s">
        <v>126</v>
      </c>
      <c r="H1360" s="8" t="s">
        <v>3</v>
      </c>
      <c r="I1360" s="7">
        <v>86000000</v>
      </c>
    </row>
    <row r="1361" spans="2:9" ht="25" outlineLevel="2" x14ac:dyDescent="0.2">
      <c r="B1361" s="8" t="s">
        <v>9</v>
      </c>
      <c r="C1361" s="8" t="s">
        <v>8</v>
      </c>
      <c r="D1361" s="8" t="s">
        <v>7</v>
      </c>
      <c r="E1361" s="8" t="s">
        <v>6</v>
      </c>
      <c r="F1361" s="8" t="s">
        <v>90</v>
      </c>
      <c r="G1361" s="8" t="s">
        <v>125</v>
      </c>
      <c r="H1361" s="8" t="s">
        <v>61</v>
      </c>
      <c r="I1361" s="7">
        <v>-25000000</v>
      </c>
    </row>
    <row r="1362" spans="2:9" ht="25" outlineLevel="2" x14ac:dyDescent="0.2">
      <c r="B1362" s="8" t="s">
        <v>9</v>
      </c>
      <c r="C1362" s="8" t="s">
        <v>8</v>
      </c>
      <c r="D1362" s="8" t="s">
        <v>7</v>
      </c>
      <c r="E1362" s="8" t="s">
        <v>6</v>
      </c>
      <c r="F1362" s="8" t="s">
        <v>90</v>
      </c>
      <c r="G1362" s="8" t="s">
        <v>124</v>
      </c>
      <c r="H1362" s="8" t="s">
        <v>58</v>
      </c>
      <c r="I1362" s="7">
        <v>-29000000</v>
      </c>
    </row>
    <row r="1363" spans="2:9" ht="25" outlineLevel="2" x14ac:dyDescent="0.2">
      <c r="B1363" s="8" t="s">
        <v>9</v>
      </c>
      <c r="C1363" s="8" t="s">
        <v>8</v>
      </c>
      <c r="D1363" s="8" t="s">
        <v>7</v>
      </c>
      <c r="E1363" s="8" t="s">
        <v>6</v>
      </c>
      <c r="F1363" s="8" t="s">
        <v>90</v>
      </c>
      <c r="G1363" s="8" t="s">
        <v>123</v>
      </c>
      <c r="H1363" s="8" t="s">
        <v>58</v>
      </c>
      <c r="I1363" s="7">
        <v>-32000000</v>
      </c>
    </row>
    <row r="1364" spans="2:9" outlineLevel="2" x14ac:dyDescent="0.2">
      <c r="B1364" s="8"/>
      <c r="C1364" s="8"/>
      <c r="D1364" s="8"/>
      <c r="E1364" s="8"/>
      <c r="F1364" s="8"/>
      <c r="G1364" s="8"/>
      <c r="H1364" s="8"/>
      <c r="I1364" s="7"/>
    </row>
    <row r="1365" spans="2:9" outlineLevel="2" x14ac:dyDescent="0.2">
      <c r="B1365" s="8" t="s">
        <v>9</v>
      </c>
      <c r="C1365" s="8" t="s">
        <v>97</v>
      </c>
      <c r="D1365" s="8" t="s">
        <v>7</v>
      </c>
      <c r="E1365" s="8" t="s">
        <v>6</v>
      </c>
      <c r="F1365" s="8" t="s">
        <v>120</v>
      </c>
      <c r="G1365" s="8" t="s">
        <v>7</v>
      </c>
      <c r="H1365" s="8" t="s">
        <v>11</v>
      </c>
      <c r="I1365" s="7">
        <v>0</v>
      </c>
    </row>
    <row r="1366" spans="2:9" outlineLevel="2" x14ac:dyDescent="0.2">
      <c r="B1366" s="8" t="s">
        <v>9</v>
      </c>
      <c r="C1366" s="8" t="s">
        <v>97</v>
      </c>
      <c r="D1366" s="8" t="s">
        <v>7</v>
      </c>
      <c r="E1366" s="8" t="s">
        <v>6</v>
      </c>
      <c r="F1366" s="8" t="s">
        <v>120</v>
      </c>
      <c r="G1366" s="8" t="s">
        <v>122</v>
      </c>
      <c r="H1366" s="8" t="s">
        <v>55</v>
      </c>
      <c r="I1366" s="7">
        <v>-15990000</v>
      </c>
    </row>
    <row r="1367" spans="2:9" ht="25" outlineLevel="2" x14ac:dyDescent="0.2">
      <c r="B1367" s="8" t="s">
        <v>9</v>
      </c>
      <c r="C1367" s="8" t="s">
        <v>97</v>
      </c>
      <c r="D1367" s="8" t="s">
        <v>7</v>
      </c>
      <c r="E1367" s="8" t="s">
        <v>6</v>
      </c>
      <c r="F1367" s="8" t="s">
        <v>120</v>
      </c>
      <c r="G1367" s="8" t="s">
        <v>121</v>
      </c>
      <c r="H1367" s="8" t="s">
        <v>61</v>
      </c>
      <c r="I1367" s="7">
        <v>10250000</v>
      </c>
    </row>
    <row r="1368" spans="2:9" ht="25" outlineLevel="2" x14ac:dyDescent="0.2">
      <c r="B1368" s="8" t="s">
        <v>9</v>
      </c>
      <c r="C1368" s="8" t="s">
        <v>97</v>
      </c>
      <c r="D1368" s="8" t="s">
        <v>7</v>
      </c>
      <c r="E1368" s="8" t="s">
        <v>6</v>
      </c>
      <c r="F1368" s="8" t="s">
        <v>120</v>
      </c>
      <c r="G1368" s="8" t="s">
        <v>119</v>
      </c>
      <c r="H1368" s="8" t="s">
        <v>58</v>
      </c>
      <c r="I1368" s="7">
        <v>5740000</v>
      </c>
    </row>
    <row r="1369" spans="2:9" outlineLevel="2" x14ac:dyDescent="0.2">
      <c r="B1369" s="8"/>
      <c r="C1369" s="8"/>
      <c r="D1369" s="8"/>
      <c r="E1369" s="8"/>
      <c r="F1369" s="8"/>
      <c r="G1369" s="8"/>
      <c r="H1369" s="8"/>
      <c r="I1369" s="7"/>
    </row>
    <row r="1370" spans="2:9" outlineLevel="2" x14ac:dyDescent="0.2">
      <c r="B1370" s="8" t="s">
        <v>9</v>
      </c>
      <c r="C1370" s="8" t="s">
        <v>97</v>
      </c>
      <c r="D1370" s="8" t="s">
        <v>7</v>
      </c>
      <c r="E1370" s="8" t="s">
        <v>6</v>
      </c>
      <c r="F1370" s="8" t="s">
        <v>116</v>
      </c>
      <c r="G1370" s="8" t="s">
        <v>7</v>
      </c>
      <c r="H1370" s="8" t="s">
        <v>11</v>
      </c>
      <c r="I1370" s="7">
        <v>0</v>
      </c>
    </row>
    <row r="1371" spans="2:9" outlineLevel="2" x14ac:dyDescent="0.2">
      <c r="B1371" s="8" t="s">
        <v>9</v>
      </c>
      <c r="C1371" s="8" t="s">
        <v>97</v>
      </c>
      <c r="D1371" s="8" t="s">
        <v>7</v>
      </c>
      <c r="E1371" s="8" t="s">
        <v>6</v>
      </c>
      <c r="F1371" s="8" t="s">
        <v>116</v>
      </c>
      <c r="G1371" s="8" t="s">
        <v>118</v>
      </c>
      <c r="H1371" s="8" t="s">
        <v>55</v>
      </c>
      <c r="I1371" s="7">
        <v>-11815000</v>
      </c>
    </row>
    <row r="1372" spans="2:9" ht="25" outlineLevel="2" x14ac:dyDescent="0.2">
      <c r="B1372" s="8" t="s">
        <v>9</v>
      </c>
      <c r="C1372" s="8" t="s">
        <v>97</v>
      </c>
      <c r="D1372" s="8" t="s">
        <v>7</v>
      </c>
      <c r="E1372" s="8" t="s">
        <v>6</v>
      </c>
      <c r="F1372" s="8" t="s">
        <v>116</v>
      </c>
      <c r="G1372" s="8" t="s">
        <v>117</v>
      </c>
      <c r="H1372" s="8" t="s">
        <v>61</v>
      </c>
      <c r="I1372" s="7">
        <v>4450000</v>
      </c>
    </row>
    <row r="1373" spans="2:9" ht="25" outlineLevel="2" x14ac:dyDescent="0.2">
      <c r="B1373" s="8" t="s">
        <v>9</v>
      </c>
      <c r="C1373" s="8" t="s">
        <v>97</v>
      </c>
      <c r="D1373" s="8" t="s">
        <v>7</v>
      </c>
      <c r="E1373" s="8" t="s">
        <v>6</v>
      </c>
      <c r="F1373" s="8" t="s">
        <v>116</v>
      </c>
      <c r="G1373" s="8" t="s">
        <v>115</v>
      </c>
      <c r="H1373" s="8" t="s">
        <v>58</v>
      </c>
      <c r="I1373" s="7">
        <v>7365000</v>
      </c>
    </row>
    <row r="1374" spans="2:9" outlineLevel="2" x14ac:dyDescent="0.2">
      <c r="B1374" s="8"/>
      <c r="C1374" s="8"/>
      <c r="D1374" s="8"/>
      <c r="E1374" s="8"/>
      <c r="F1374" s="8"/>
      <c r="G1374" s="8"/>
      <c r="H1374" s="8"/>
      <c r="I1374" s="7"/>
    </row>
    <row r="1375" spans="2:9" outlineLevel="2" x14ac:dyDescent="0.2">
      <c r="B1375" s="8" t="s">
        <v>9</v>
      </c>
      <c r="C1375" s="8" t="s">
        <v>97</v>
      </c>
      <c r="D1375" s="8" t="s">
        <v>7</v>
      </c>
      <c r="E1375" s="8" t="s">
        <v>6</v>
      </c>
      <c r="F1375" s="8" t="s">
        <v>112</v>
      </c>
      <c r="G1375" s="8" t="s">
        <v>7</v>
      </c>
      <c r="H1375" s="8" t="s">
        <v>11</v>
      </c>
      <c r="I1375" s="7">
        <v>0</v>
      </c>
    </row>
    <row r="1376" spans="2:9" outlineLevel="2" x14ac:dyDescent="0.2">
      <c r="B1376" s="8" t="s">
        <v>9</v>
      </c>
      <c r="C1376" s="8" t="s">
        <v>97</v>
      </c>
      <c r="D1376" s="8" t="s">
        <v>7</v>
      </c>
      <c r="E1376" s="8" t="s">
        <v>6</v>
      </c>
      <c r="F1376" s="8" t="s">
        <v>112</v>
      </c>
      <c r="G1376" s="8" t="s">
        <v>114</v>
      </c>
      <c r="H1376" s="8" t="s">
        <v>55</v>
      </c>
      <c r="I1376" s="7">
        <v>-15925000</v>
      </c>
    </row>
    <row r="1377" spans="2:9" ht="25" outlineLevel="2" x14ac:dyDescent="0.2">
      <c r="B1377" s="8" t="s">
        <v>9</v>
      </c>
      <c r="C1377" s="8" t="s">
        <v>97</v>
      </c>
      <c r="D1377" s="8" t="s">
        <v>7</v>
      </c>
      <c r="E1377" s="8" t="s">
        <v>6</v>
      </c>
      <c r="F1377" s="8" t="s">
        <v>112</v>
      </c>
      <c r="G1377" s="8" t="s">
        <v>113</v>
      </c>
      <c r="H1377" s="8" t="s">
        <v>61</v>
      </c>
      <c r="I1377" s="7">
        <v>6750000</v>
      </c>
    </row>
    <row r="1378" spans="2:9" ht="25" outlineLevel="2" x14ac:dyDescent="0.2">
      <c r="B1378" s="8" t="s">
        <v>9</v>
      </c>
      <c r="C1378" s="8" t="s">
        <v>97</v>
      </c>
      <c r="D1378" s="8" t="s">
        <v>7</v>
      </c>
      <c r="E1378" s="8" t="s">
        <v>6</v>
      </c>
      <c r="F1378" s="8" t="s">
        <v>112</v>
      </c>
      <c r="G1378" s="8" t="s">
        <v>111</v>
      </c>
      <c r="H1378" s="8" t="s">
        <v>58</v>
      </c>
      <c r="I1378" s="7">
        <v>9175000</v>
      </c>
    </row>
    <row r="1379" spans="2:9" outlineLevel="2" x14ac:dyDescent="0.2">
      <c r="B1379" s="8"/>
      <c r="C1379" s="8"/>
      <c r="D1379" s="8"/>
      <c r="E1379" s="8"/>
      <c r="F1379" s="8"/>
      <c r="G1379" s="8"/>
      <c r="H1379" s="8"/>
      <c r="I1379" s="7"/>
    </row>
    <row r="1380" spans="2:9" outlineLevel="2" x14ac:dyDescent="0.2">
      <c r="B1380" s="8" t="s">
        <v>9</v>
      </c>
      <c r="C1380" s="8" t="s">
        <v>97</v>
      </c>
      <c r="D1380" s="8" t="s">
        <v>7</v>
      </c>
      <c r="E1380" s="8" t="s">
        <v>6</v>
      </c>
      <c r="F1380" s="8" t="s">
        <v>108</v>
      </c>
      <c r="G1380" s="8" t="s">
        <v>7</v>
      </c>
      <c r="H1380" s="8" t="s">
        <v>11</v>
      </c>
      <c r="I1380" s="7">
        <v>0</v>
      </c>
    </row>
    <row r="1381" spans="2:9" outlineLevel="2" x14ac:dyDescent="0.2">
      <c r="B1381" s="8" t="s">
        <v>9</v>
      </c>
      <c r="C1381" s="8" t="s">
        <v>97</v>
      </c>
      <c r="D1381" s="8" t="s">
        <v>7</v>
      </c>
      <c r="E1381" s="8" t="s">
        <v>6</v>
      </c>
      <c r="F1381" s="8" t="s">
        <v>108</v>
      </c>
      <c r="G1381" s="8" t="s">
        <v>110</v>
      </c>
      <c r="H1381" s="8" t="s">
        <v>55</v>
      </c>
      <c r="I1381" s="7">
        <v>-11470000</v>
      </c>
    </row>
    <row r="1382" spans="2:9" ht="25" outlineLevel="2" x14ac:dyDescent="0.2">
      <c r="B1382" s="8" t="s">
        <v>9</v>
      </c>
      <c r="C1382" s="8" t="s">
        <v>97</v>
      </c>
      <c r="D1382" s="8" t="s">
        <v>7</v>
      </c>
      <c r="E1382" s="8" t="s">
        <v>6</v>
      </c>
      <c r="F1382" s="8" t="s">
        <v>108</v>
      </c>
      <c r="G1382" s="8" t="s">
        <v>109</v>
      </c>
      <c r="H1382" s="8" t="s">
        <v>61</v>
      </c>
      <c r="I1382" s="7">
        <v>4400000</v>
      </c>
    </row>
    <row r="1383" spans="2:9" ht="25" outlineLevel="2" x14ac:dyDescent="0.2">
      <c r="B1383" s="8" t="s">
        <v>9</v>
      </c>
      <c r="C1383" s="8" t="s">
        <v>97</v>
      </c>
      <c r="D1383" s="8" t="s">
        <v>7</v>
      </c>
      <c r="E1383" s="8" t="s">
        <v>6</v>
      </c>
      <c r="F1383" s="8" t="s">
        <v>108</v>
      </c>
      <c r="G1383" s="8" t="s">
        <v>107</v>
      </c>
      <c r="H1383" s="8" t="s">
        <v>58</v>
      </c>
      <c r="I1383" s="7">
        <v>7070000</v>
      </c>
    </row>
    <row r="1384" spans="2:9" outlineLevel="2" x14ac:dyDescent="0.2">
      <c r="B1384" s="8"/>
      <c r="C1384" s="8"/>
      <c r="D1384" s="8"/>
      <c r="E1384" s="8"/>
      <c r="F1384" s="8"/>
      <c r="G1384" s="8"/>
      <c r="H1384" s="8"/>
      <c r="I1384" s="7"/>
    </row>
    <row r="1385" spans="2:9" outlineLevel="2" x14ac:dyDescent="0.2">
      <c r="B1385" s="8" t="s">
        <v>9</v>
      </c>
      <c r="C1385" s="8" t="s">
        <v>8</v>
      </c>
      <c r="D1385" s="8" t="s">
        <v>7</v>
      </c>
      <c r="E1385" s="8" t="s">
        <v>6</v>
      </c>
      <c r="F1385" s="8" t="s">
        <v>90</v>
      </c>
      <c r="G1385" s="8" t="s">
        <v>106</v>
      </c>
      <c r="H1385" s="8" t="s">
        <v>11</v>
      </c>
      <c r="I1385" s="7">
        <v>0</v>
      </c>
    </row>
    <row r="1386" spans="2:9" ht="25" outlineLevel="2" x14ac:dyDescent="0.2">
      <c r="B1386" s="8" t="s">
        <v>9</v>
      </c>
      <c r="C1386" s="8" t="s">
        <v>8</v>
      </c>
      <c r="D1386" s="8" t="s">
        <v>7</v>
      </c>
      <c r="E1386" s="8" t="s">
        <v>6</v>
      </c>
      <c r="F1386" s="8" t="s">
        <v>90</v>
      </c>
      <c r="G1386" s="8" t="s">
        <v>105</v>
      </c>
      <c r="H1386" s="8" t="s">
        <v>3</v>
      </c>
      <c r="I1386" s="7">
        <v>-42275000</v>
      </c>
    </row>
    <row r="1387" spans="2:9" ht="25" outlineLevel="2" x14ac:dyDescent="0.2">
      <c r="B1387" s="8" t="s">
        <v>9</v>
      </c>
      <c r="C1387" s="8" t="s">
        <v>8</v>
      </c>
      <c r="D1387" s="8" t="s">
        <v>7</v>
      </c>
      <c r="E1387" s="8" t="s">
        <v>6</v>
      </c>
      <c r="F1387" s="8" t="s">
        <v>90</v>
      </c>
      <c r="G1387" s="8" t="s">
        <v>104</v>
      </c>
      <c r="H1387" s="8" t="s">
        <v>61</v>
      </c>
      <c r="I1387" s="7">
        <v>10800000</v>
      </c>
    </row>
    <row r="1388" spans="2:9" ht="25" outlineLevel="2" x14ac:dyDescent="0.2">
      <c r="B1388" s="8" t="s">
        <v>9</v>
      </c>
      <c r="C1388" s="8" t="s">
        <v>8</v>
      </c>
      <c r="D1388" s="8" t="s">
        <v>7</v>
      </c>
      <c r="E1388" s="8" t="s">
        <v>6</v>
      </c>
      <c r="F1388" s="8" t="s">
        <v>90</v>
      </c>
      <c r="G1388" s="8" t="s">
        <v>103</v>
      </c>
      <c r="H1388" s="8" t="s">
        <v>58</v>
      </c>
      <c r="I1388" s="7">
        <v>31475000</v>
      </c>
    </row>
    <row r="1389" spans="2:9" outlineLevel="2" x14ac:dyDescent="0.2">
      <c r="B1389" s="8"/>
      <c r="C1389" s="8"/>
      <c r="D1389" s="8"/>
      <c r="E1389" s="8"/>
      <c r="F1389" s="8"/>
      <c r="G1389" s="8"/>
      <c r="H1389" s="8"/>
      <c r="I1389" s="7"/>
    </row>
    <row r="1390" spans="2:9" outlineLevel="2" x14ac:dyDescent="0.2">
      <c r="B1390" s="8" t="s">
        <v>9</v>
      </c>
      <c r="C1390" s="8" t="s">
        <v>97</v>
      </c>
      <c r="D1390" s="8" t="s">
        <v>7</v>
      </c>
      <c r="E1390" s="8" t="s">
        <v>6</v>
      </c>
      <c r="F1390" s="8" t="s">
        <v>100</v>
      </c>
      <c r="G1390" s="8" t="s">
        <v>7</v>
      </c>
      <c r="H1390" s="8" t="s">
        <v>11</v>
      </c>
      <c r="I1390" s="7">
        <v>0</v>
      </c>
    </row>
    <row r="1391" spans="2:9" outlineLevel="2" x14ac:dyDescent="0.2">
      <c r="B1391" s="8" t="s">
        <v>9</v>
      </c>
      <c r="C1391" s="8" t="s">
        <v>97</v>
      </c>
      <c r="D1391" s="8" t="s">
        <v>7</v>
      </c>
      <c r="E1391" s="8" t="s">
        <v>6</v>
      </c>
      <c r="F1391" s="8" t="s">
        <v>100</v>
      </c>
      <c r="G1391" s="8" t="s">
        <v>102</v>
      </c>
      <c r="H1391" s="8" t="s">
        <v>55</v>
      </c>
      <c r="I1391" s="7">
        <v>-9635000</v>
      </c>
    </row>
    <row r="1392" spans="2:9" ht="25" outlineLevel="2" x14ac:dyDescent="0.2">
      <c r="B1392" s="8" t="s">
        <v>9</v>
      </c>
      <c r="C1392" s="8" t="s">
        <v>97</v>
      </c>
      <c r="D1392" s="8" t="s">
        <v>7</v>
      </c>
      <c r="E1392" s="8" t="s">
        <v>6</v>
      </c>
      <c r="F1392" s="8" t="s">
        <v>100</v>
      </c>
      <c r="G1392" s="8" t="s">
        <v>101</v>
      </c>
      <c r="H1392" s="8" t="s">
        <v>61</v>
      </c>
      <c r="I1392" s="7">
        <v>3150000</v>
      </c>
    </row>
    <row r="1393" spans="2:9" ht="25" outlineLevel="2" x14ac:dyDescent="0.2">
      <c r="B1393" s="8" t="s">
        <v>9</v>
      </c>
      <c r="C1393" s="8" t="s">
        <v>97</v>
      </c>
      <c r="D1393" s="8" t="s">
        <v>7</v>
      </c>
      <c r="E1393" s="8" t="s">
        <v>6</v>
      </c>
      <c r="F1393" s="8" t="s">
        <v>100</v>
      </c>
      <c r="G1393" s="8" t="s">
        <v>95</v>
      </c>
      <c r="H1393" s="8" t="s">
        <v>58</v>
      </c>
      <c r="I1393" s="7">
        <v>6485000</v>
      </c>
    </row>
    <row r="1394" spans="2:9" outlineLevel="2" x14ac:dyDescent="0.2">
      <c r="B1394" s="8"/>
      <c r="C1394" s="8"/>
      <c r="D1394" s="8"/>
      <c r="E1394" s="8"/>
      <c r="F1394" s="8"/>
      <c r="G1394" s="8"/>
      <c r="H1394" s="8"/>
      <c r="I1394" s="7"/>
    </row>
    <row r="1395" spans="2:9" outlineLevel="2" x14ac:dyDescent="0.2">
      <c r="B1395" s="8" t="s">
        <v>9</v>
      </c>
      <c r="C1395" s="8" t="s">
        <v>97</v>
      </c>
      <c r="D1395" s="8" t="s">
        <v>7</v>
      </c>
      <c r="E1395" s="8" t="s">
        <v>6</v>
      </c>
      <c r="F1395" s="8" t="s">
        <v>96</v>
      </c>
      <c r="G1395" s="8" t="s">
        <v>7</v>
      </c>
      <c r="H1395" s="8" t="s">
        <v>11</v>
      </c>
      <c r="I1395" s="7">
        <v>0</v>
      </c>
    </row>
    <row r="1396" spans="2:9" outlineLevel="2" x14ac:dyDescent="0.2">
      <c r="B1396" s="8" t="s">
        <v>9</v>
      </c>
      <c r="C1396" s="8" t="s">
        <v>97</v>
      </c>
      <c r="D1396" s="8" t="s">
        <v>7</v>
      </c>
      <c r="E1396" s="8" t="s">
        <v>6</v>
      </c>
      <c r="F1396" s="8" t="s">
        <v>96</v>
      </c>
      <c r="G1396" s="8" t="s">
        <v>99</v>
      </c>
      <c r="H1396" s="8" t="s">
        <v>55</v>
      </c>
      <c r="I1396" s="7">
        <v>-10850000</v>
      </c>
    </row>
    <row r="1397" spans="2:9" ht="25" outlineLevel="2" x14ac:dyDescent="0.2">
      <c r="B1397" s="8" t="s">
        <v>9</v>
      </c>
      <c r="C1397" s="8" t="s">
        <v>97</v>
      </c>
      <c r="D1397" s="8" t="s">
        <v>7</v>
      </c>
      <c r="E1397" s="8" t="s">
        <v>6</v>
      </c>
      <c r="F1397" s="8" t="s">
        <v>96</v>
      </c>
      <c r="G1397" s="8" t="s">
        <v>98</v>
      </c>
      <c r="H1397" s="8" t="s">
        <v>61</v>
      </c>
      <c r="I1397" s="7">
        <v>3750000</v>
      </c>
    </row>
    <row r="1398" spans="2:9" ht="25" outlineLevel="2" x14ac:dyDescent="0.2">
      <c r="B1398" s="8" t="s">
        <v>9</v>
      </c>
      <c r="C1398" s="8" t="s">
        <v>97</v>
      </c>
      <c r="D1398" s="8" t="s">
        <v>7</v>
      </c>
      <c r="E1398" s="8" t="s">
        <v>6</v>
      </c>
      <c r="F1398" s="8" t="s">
        <v>96</v>
      </c>
      <c r="G1398" s="8" t="s">
        <v>95</v>
      </c>
      <c r="H1398" s="8" t="s">
        <v>58</v>
      </c>
      <c r="I1398" s="7">
        <v>7100000</v>
      </c>
    </row>
    <row r="1399" spans="2:9" outlineLevel="2" x14ac:dyDescent="0.2">
      <c r="B1399" s="8"/>
      <c r="C1399" s="8"/>
      <c r="D1399" s="8"/>
      <c r="E1399" s="8"/>
      <c r="F1399" s="8"/>
      <c r="G1399" s="8"/>
      <c r="H1399" s="8"/>
      <c r="I1399" s="7"/>
    </row>
    <row r="1400" spans="2:9" outlineLevel="2" x14ac:dyDescent="0.2">
      <c r="B1400" s="8" t="s">
        <v>9</v>
      </c>
      <c r="C1400" s="8" t="s">
        <v>8</v>
      </c>
      <c r="D1400" s="8" t="s">
        <v>7</v>
      </c>
      <c r="E1400" s="8" t="s">
        <v>6</v>
      </c>
      <c r="F1400" s="8" t="s">
        <v>90</v>
      </c>
      <c r="G1400" s="8" t="s">
        <v>94</v>
      </c>
      <c r="H1400" s="8" t="s">
        <v>11</v>
      </c>
      <c r="I1400" s="7">
        <v>0</v>
      </c>
    </row>
    <row r="1401" spans="2:9" ht="25" outlineLevel="2" x14ac:dyDescent="0.2">
      <c r="B1401" s="8" t="s">
        <v>9</v>
      </c>
      <c r="C1401" s="8" t="s">
        <v>8</v>
      </c>
      <c r="D1401" s="8" t="s">
        <v>7</v>
      </c>
      <c r="E1401" s="8" t="s">
        <v>6</v>
      </c>
      <c r="F1401" s="8" t="s">
        <v>90</v>
      </c>
      <c r="G1401" s="8" t="s">
        <v>93</v>
      </c>
      <c r="H1401" s="8" t="s">
        <v>3</v>
      </c>
      <c r="I1401" s="7">
        <v>-113134188</v>
      </c>
    </row>
    <row r="1402" spans="2:9" ht="25" outlineLevel="2" x14ac:dyDescent="0.2">
      <c r="B1402" s="8" t="s">
        <v>9</v>
      </c>
      <c r="C1402" s="8" t="s">
        <v>8</v>
      </c>
      <c r="D1402" s="8" t="s">
        <v>7</v>
      </c>
      <c r="E1402" s="8" t="s">
        <v>6</v>
      </c>
      <c r="F1402" s="8" t="s">
        <v>90</v>
      </c>
      <c r="G1402" s="8" t="s">
        <v>92</v>
      </c>
      <c r="H1402" s="8" t="s">
        <v>61</v>
      </c>
      <c r="I1402" s="7">
        <v>21800000</v>
      </c>
    </row>
    <row r="1403" spans="2:9" ht="25" outlineLevel="2" x14ac:dyDescent="0.2">
      <c r="B1403" s="8" t="s">
        <v>9</v>
      </c>
      <c r="C1403" s="8" t="s">
        <v>8</v>
      </c>
      <c r="D1403" s="8" t="s">
        <v>7</v>
      </c>
      <c r="E1403" s="8" t="s">
        <v>6</v>
      </c>
      <c r="F1403" s="8" t="s">
        <v>90</v>
      </c>
      <c r="G1403" s="8" t="s">
        <v>91</v>
      </c>
      <c r="H1403" s="8" t="s">
        <v>58</v>
      </c>
      <c r="I1403" s="7">
        <v>37434188</v>
      </c>
    </row>
    <row r="1404" spans="2:9" ht="25" outlineLevel="2" x14ac:dyDescent="0.2">
      <c r="B1404" s="8" t="s">
        <v>9</v>
      </c>
      <c r="C1404" s="8" t="s">
        <v>8</v>
      </c>
      <c r="D1404" s="8" t="s">
        <v>7</v>
      </c>
      <c r="E1404" s="8" t="s">
        <v>6</v>
      </c>
      <c r="F1404" s="8" t="s">
        <v>90</v>
      </c>
      <c r="G1404" s="8" t="s">
        <v>89</v>
      </c>
      <c r="H1404" s="8" t="s">
        <v>58</v>
      </c>
      <c r="I1404" s="7">
        <v>53900000</v>
      </c>
    </row>
    <row r="1405" spans="2:9" outlineLevel="2" x14ac:dyDescent="0.2">
      <c r="B1405" s="8"/>
      <c r="C1405" s="8"/>
      <c r="D1405" s="8"/>
      <c r="E1405" s="8"/>
      <c r="F1405" s="8"/>
      <c r="G1405" s="8"/>
      <c r="H1405" s="8"/>
      <c r="I1405" s="7"/>
    </row>
    <row r="1406" spans="2:9" outlineLevel="2" x14ac:dyDescent="0.2">
      <c r="B1406" s="8" t="s">
        <v>9</v>
      </c>
      <c r="C1406" s="8" t="s">
        <v>8</v>
      </c>
      <c r="D1406" s="8" t="s">
        <v>7</v>
      </c>
      <c r="E1406" s="8" t="s">
        <v>6</v>
      </c>
      <c r="F1406" s="8" t="s">
        <v>80</v>
      </c>
      <c r="G1406" s="8" t="s">
        <v>88</v>
      </c>
      <c r="H1406" s="8" t="s">
        <v>11</v>
      </c>
      <c r="I1406" s="7">
        <v>0</v>
      </c>
    </row>
    <row r="1407" spans="2:9" ht="25" outlineLevel="2" x14ac:dyDescent="0.2">
      <c r="B1407" s="8" t="s">
        <v>9</v>
      </c>
      <c r="C1407" s="8" t="s">
        <v>8</v>
      </c>
      <c r="D1407" s="8" t="s">
        <v>7</v>
      </c>
      <c r="E1407" s="8" t="s">
        <v>6</v>
      </c>
      <c r="F1407" s="8" t="s">
        <v>80</v>
      </c>
      <c r="G1407" s="8" t="s">
        <v>87</v>
      </c>
      <c r="H1407" s="8" t="s">
        <v>3</v>
      </c>
      <c r="I1407" s="7">
        <v>21420000</v>
      </c>
    </row>
    <row r="1408" spans="2:9" ht="25" outlineLevel="2" x14ac:dyDescent="0.2">
      <c r="B1408" s="8" t="s">
        <v>9</v>
      </c>
      <c r="C1408" s="8" t="s">
        <v>8</v>
      </c>
      <c r="D1408" s="8" t="s">
        <v>7</v>
      </c>
      <c r="E1408" s="8" t="s">
        <v>6</v>
      </c>
      <c r="F1408" s="8" t="s">
        <v>80</v>
      </c>
      <c r="G1408" s="8" t="s">
        <v>86</v>
      </c>
      <c r="H1408" s="8" t="s">
        <v>61</v>
      </c>
      <c r="I1408" s="7">
        <v>-10500000</v>
      </c>
    </row>
    <row r="1409" spans="2:9" ht="25" outlineLevel="2" x14ac:dyDescent="0.2">
      <c r="B1409" s="8" t="s">
        <v>9</v>
      </c>
      <c r="C1409" s="8" t="s">
        <v>8</v>
      </c>
      <c r="D1409" s="8" t="s">
        <v>7</v>
      </c>
      <c r="E1409" s="8" t="s">
        <v>6</v>
      </c>
      <c r="F1409" s="8" t="s">
        <v>80</v>
      </c>
      <c r="G1409" s="8" t="s">
        <v>85</v>
      </c>
      <c r="H1409" s="8" t="s">
        <v>58</v>
      </c>
      <c r="I1409" s="7">
        <v>-10920000</v>
      </c>
    </row>
    <row r="1410" spans="2:9" outlineLevel="2" x14ac:dyDescent="0.2">
      <c r="B1410" s="8"/>
      <c r="C1410" s="8"/>
      <c r="D1410" s="8"/>
      <c r="E1410" s="8"/>
      <c r="F1410" s="8"/>
      <c r="G1410" s="8"/>
      <c r="H1410" s="8"/>
      <c r="I1410" s="7"/>
    </row>
    <row r="1411" spans="2:9" outlineLevel="2" x14ac:dyDescent="0.2">
      <c r="B1411" s="8" t="s">
        <v>9</v>
      </c>
      <c r="C1411" s="8" t="s">
        <v>8</v>
      </c>
      <c r="D1411" s="8" t="s">
        <v>7</v>
      </c>
      <c r="E1411" s="8" t="s">
        <v>6</v>
      </c>
      <c r="F1411" s="8" t="s">
        <v>80</v>
      </c>
      <c r="G1411" s="8" t="s">
        <v>84</v>
      </c>
      <c r="H1411" s="8" t="s">
        <v>11</v>
      </c>
      <c r="I1411" s="7">
        <v>0</v>
      </c>
    </row>
    <row r="1412" spans="2:9" ht="25" outlineLevel="2" x14ac:dyDescent="0.2">
      <c r="B1412" s="8" t="s">
        <v>9</v>
      </c>
      <c r="C1412" s="8" t="s">
        <v>8</v>
      </c>
      <c r="D1412" s="8" t="s">
        <v>7</v>
      </c>
      <c r="E1412" s="8" t="s">
        <v>6</v>
      </c>
      <c r="F1412" s="8" t="s">
        <v>80</v>
      </c>
      <c r="G1412" s="8" t="s">
        <v>83</v>
      </c>
      <c r="H1412" s="8" t="s">
        <v>3</v>
      </c>
      <c r="I1412" s="7">
        <v>41980000</v>
      </c>
    </row>
    <row r="1413" spans="2:9" ht="25" outlineLevel="2" x14ac:dyDescent="0.2">
      <c r="B1413" s="8" t="s">
        <v>9</v>
      </c>
      <c r="C1413" s="8" t="s">
        <v>8</v>
      </c>
      <c r="D1413" s="8" t="s">
        <v>7</v>
      </c>
      <c r="E1413" s="8" t="s">
        <v>6</v>
      </c>
      <c r="F1413" s="8" t="s">
        <v>80</v>
      </c>
      <c r="G1413" s="8" t="s">
        <v>82</v>
      </c>
      <c r="H1413" s="8" t="s">
        <v>61</v>
      </c>
      <c r="I1413" s="7">
        <v>-22900000</v>
      </c>
    </row>
    <row r="1414" spans="2:9" ht="25" outlineLevel="2" x14ac:dyDescent="0.2">
      <c r="B1414" s="8" t="s">
        <v>9</v>
      </c>
      <c r="C1414" s="8" t="s">
        <v>8</v>
      </c>
      <c r="D1414" s="8" t="s">
        <v>7</v>
      </c>
      <c r="E1414" s="8" t="s">
        <v>6</v>
      </c>
      <c r="F1414" s="8" t="s">
        <v>80</v>
      </c>
      <c r="G1414" s="8" t="s">
        <v>81</v>
      </c>
      <c r="H1414" s="8" t="s">
        <v>58</v>
      </c>
      <c r="I1414" s="7">
        <v>-14080000</v>
      </c>
    </row>
    <row r="1415" spans="2:9" ht="25" outlineLevel="2" x14ac:dyDescent="0.2">
      <c r="B1415" s="8" t="s">
        <v>9</v>
      </c>
      <c r="C1415" s="8" t="s">
        <v>8</v>
      </c>
      <c r="D1415" s="8" t="s">
        <v>7</v>
      </c>
      <c r="E1415" s="8" t="s">
        <v>6</v>
      </c>
      <c r="F1415" s="8" t="s">
        <v>80</v>
      </c>
      <c r="G1415" s="8" t="s">
        <v>79</v>
      </c>
      <c r="H1415" s="8" t="s">
        <v>58</v>
      </c>
      <c r="I1415" s="7">
        <v>-5000000</v>
      </c>
    </row>
    <row r="1416" spans="2:9" outlineLevel="2" x14ac:dyDescent="0.2">
      <c r="B1416" s="8"/>
      <c r="C1416" s="8"/>
      <c r="D1416" s="8"/>
      <c r="E1416" s="8"/>
      <c r="F1416" s="8"/>
      <c r="G1416" s="8"/>
      <c r="H1416" s="8"/>
      <c r="I1416" s="7"/>
    </row>
    <row r="1417" spans="2:9" outlineLevel="2" x14ac:dyDescent="0.2">
      <c r="B1417" s="8" t="s">
        <v>9</v>
      </c>
      <c r="C1417" s="8" t="s">
        <v>8</v>
      </c>
      <c r="D1417" s="8" t="s">
        <v>7</v>
      </c>
      <c r="E1417" s="8" t="s">
        <v>6</v>
      </c>
      <c r="F1417" s="8" t="s">
        <v>70</v>
      </c>
      <c r="G1417" s="8" t="s">
        <v>56</v>
      </c>
      <c r="H1417" s="8" t="s">
        <v>11</v>
      </c>
      <c r="I1417" s="7">
        <v>0</v>
      </c>
    </row>
    <row r="1418" spans="2:9" ht="25" outlineLevel="2" x14ac:dyDescent="0.2">
      <c r="B1418" s="8" t="s">
        <v>9</v>
      </c>
      <c r="C1418" s="8" t="s">
        <v>8</v>
      </c>
      <c r="D1418" s="8" t="s">
        <v>7</v>
      </c>
      <c r="E1418" s="8" t="s">
        <v>6</v>
      </c>
      <c r="F1418" s="8" t="s">
        <v>70</v>
      </c>
      <c r="G1418" s="8" t="s">
        <v>78</v>
      </c>
      <c r="H1418" s="8" t="s">
        <v>61</v>
      </c>
      <c r="I1418" s="7">
        <v>32890600</v>
      </c>
    </row>
    <row r="1419" spans="2:9" ht="25" outlineLevel="2" x14ac:dyDescent="0.2">
      <c r="B1419" s="8" t="s">
        <v>9</v>
      </c>
      <c r="C1419" s="8" t="s">
        <v>8</v>
      </c>
      <c r="D1419" s="8" t="s">
        <v>7</v>
      </c>
      <c r="E1419" s="8" t="s">
        <v>6</v>
      </c>
      <c r="F1419" s="8" t="s">
        <v>70</v>
      </c>
      <c r="G1419" s="8" t="s">
        <v>77</v>
      </c>
      <c r="H1419" s="8" t="s">
        <v>58</v>
      </c>
      <c r="I1419" s="7">
        <v>8201000</v>
      </c>
    </row>
    <row r="1420" spans="2:9" ht="25" outlineLevel="2" x14ac:dyDescent="0.2">
      <c r="B1420" s="8" t="s">
        <v>9</v>
      </c>
      <c r="C1420" s="8" t="s">
        <v>8</v>
      </c>
      <c r="D1420" s="8" t="s">
        <v>7</v>
      </c>
      <c r="E1420" s="8" t="s">
        <v>6</v>
      </c>
      <c r="F1420" s="8" t="s">
        <v>70</v>
      </c>
      <c r="G1420" s="8" t="s">
        <v>76</v>
      </c>
      <c r="H1420" s="8" t="s">
        <v>61</v>
      </c>
      <c r="I1420" s="7">
        <v>7997648</v>
      </c>
    </row>
    <row r="1421" spans="2:9" ht="25" outlineLevel="2" x14ac:dyDescent="0.2">
      <c r="B1421" s="8" t="s">
        <v>9</v>
      </c>
      <c r="C1421" s="8" t="s">
        <v>8</v>
      </c>
      <c r="D1421" s="8" t="s">
        <v>7</v>
      </c>
      <c r="E1421" s="8" t="s">
        <v>6</v>
      </c>
      <c r="F1421" s="8" t="s">
        <v>70</v>
      </c>
      <c r="G1421" s="8" t="s">
        <v>75</v>
      </c>
      <c r="H1421" s="8" t="s">
        <v>61</v>
      </c>
      <c r="I1421" s="7">
        <v>104481000</v>
      </c>
    </row>
    <row r="1422" spans="2:9" ht="25" outlineLevel="2" x14ac:dyDescent="0.2">
      <c r="B1422" s="8" t="s">
        <v>9</v>
      </c>
      <c r="C1422" s="8" t="s">
        <v>8</v>
      </c>
      <c r="D1422" s="8" t="s">
        <v>7</v>
      </c>
      <c r="E1422" s="8" t="s">
        <v>6</v>
      </c>
      <c r="F1422" s="8" t="s">
        <v>70</v>
      </c>
      <c r="G1422" s="8" t="s">
        <v>74</v>
      </c>
      <c r="H1422" s="8" t="s">
        <v>58</v>
      </c>
      <c r="I1422" s="7">
        <v>10785000</v>
      </c>
    </row>
    <row r="1423" spans="2:9" ht="25" outlineLevel="2" x14ac:dyDescent="0.2">
      <c r="B1423" s="8" t="s">
        <v>9</v>
      </c>
      <c r="C1423" s="8" t="s">
        <v>8</v>
      </c>
      <c r="D1423" s="8" t="s">
        <v>7</v>
      </c>
      <c r="E1423" s="8" t="s">
        <v>6</v>
      </c>
      <c r="F1423" s="8" t="s">
        <v>70</v>
      </c>
      <c r="G1423" s="8" t="s">
        <v>73</v>
      </c>
      <c r="H1423" s="8" t="s">
        <v>61</v>
      </c>
      <c r="I1423" s="7">
        <v>14416940</v>
      </c>
    </row>
    <row r="1424" spans="2:9" ht="25" outlineLevel="2" x14ac:dyDescent="0.2">
      <c r="B1424" s="8" t="s">
        <v>9</v>
      </c>
      <c r="C1424" s="8" t="s">
        <v>8</v>
      </c>
      <c r="D1424" s="8" t="s">
        <v>7</v>
      </c>
      <c r="E1424" s="8" t="s">
        <v>6</v>
      </c>
      <c r="F1424" s="8" t="s">
        <v>70</v>
      </c>
      <c r="G1424" s="8" t="s">
        <v>72</v>
      </c>
      <c r="H1424" s="8" t="s">
        <v>58</v>
      </c>
      <c r="I1424" s="7">
        <v>7596000</v>
      </c>
    </row>
    <row r="1425" spans="2:9" ht="25" outlineLevel="2" x14ac:dyDescent="0.2">
      <c r="B1425" s="8" t="s">
        <v>9</v>
      </c>
      <c r="C1425" s="8" t="s">
        <v>8</v>
      </c>
      <c r="D1425" s="8" t="s">
        <v>7</v>
      </c>
      <c r="E1425" s="8" t="s">
        <v>6</v>
      </c>
      <c r="F1425" s="8" t="s">
        <v>70</v>
      </c>
      <c r="G1425" s="8" t="s">
        <v>71</v>
      </c>
      <c r="H1425" s="8" t="s">
        <v>58</v>
      </c>
      <c r="I1425" s="7">
        <v>20000000</v>
      </c>
    </row>
    <row r="1426" spans="2:9" outlineLevel="2" x14ac:dyDescent="0.2">
      <c r="B1426" s="8" t="s">
        <v>9</v>
      </c>
      <c r="C1426" s="8" t="s">
        <v>8</v>
      </c>
      <c r="D1426" s="8" t="s">
        <v>7</v>
      </c>
      <c r="E1426" s="8" t="s">
        <v>6</v>
      </c>
      <c r="F1426" s="8" t="s">
        <v>70</v>
      </c>
      <c r="G1426" s="8" t="s">
        <v>56</v>
      </c>
      <c r="H1426" s="8" t="s">
        <v>55</v>
      </c>
      <c r="I1426" s="7">
        <v>-206368188</v>
      </c>
    </row>
    <row r="1427" spans="2:9" outlineLevel="2" x14ac:dyDescent="0.2">
      <c r="B1427" s="8"/>
      <c r="C1427" s="8"/>
      <c r="D1427" s="8"/>
      <c r="E1427" s="8"/>
      <c r="F1427" s="8"/>
      <c r="G1427" s="8"/>
      <c r="H1427" s="8"/>
      <c r="I1427" s="7"/>
    </row>
    <row r="1428" spans="2:9" outlineLevel="2" x14ac:dyDescent="0.2">
      <c r="B1428" s="8" t="s">
        <v>9</v>
      </c>
      <c r="C1428" s="8" t="s">
        <v>8</v>
      </c>
      <c r="D1428" s="8" t="s">
        <v>7</v>
      </c>
      <c r="E1428" s="8" t="s">
        <v>6</v>
      </c>
      <c r="F1428" s="8" t="s">
        <v>64</v>
      </c>
      <c r="G1428" s="8" t="s">
        <v>56</v>
      </c>
      <c r="H1428" s="8" t="s">
        <v>11</v>
      </c>
      <c r="I1428" s="7">
        <v>0</v>
      </c>
    </row>
    <row r="1429" spans="2:9" ht="25" outlineLevel="2" x14ac:dyDescent="0.2">
      <c r="B1429" s="8" t="s">
        <v>9</v>
      </c>
      <c r="C1429" s="8" t="s">
        <v>8</v>
      </c>
      <c r="D1429" s="8" t="s">
        <v>7</v>
      </c>
      <c r="E1429" s="8" t="s">
        <v>6</v>
      </c>
      <c r="F1429" s="8" t="s">
        <v>64</v>
      </c>
      <c r="G1429" s="8" t="s">
        <v>69</v>
      </c>
      <c r="H1429" s="8" t="s">
        <v>61</v>
      </c>
      <c r="I1429" s="7">
        <v>40500000</v>
      </c>
    </row>
    <row r="1430" spans="2:9" ht="25" outlineLevel="2" x14ac:dyDescent="0.2">
      <c r="B1430" s="8" t="s">
        <v>9</v>
      </c>
      <c r="C1430" s="8" t="s">
        <v>8</v>
      </c>
      <c r="D1430" s="8" t="s">
        <v>7</v>
      </c>
      <c r="E1430" s="8" t="s">
        <v>6</v>
      </c>
      <c r="F1430" s="8" t="s">
        <v>64</v>
      </c>
      <c r="G1430" s="8" t="s">
        <v>68</v>
      </c>
      <c r="H1430" s="8" t="s">
        <v>58</v>
      </c>
      <c r="I1430" s="7">
        <v>15996962</v>
      </c>
    </row>
    <row r="1431" spans="2:9" ht="25" outlineLevel="2" x14ac:dyDescent="0.2">
      <c r="B1431" s="8" t="s">
        <v>9</v>
      </c>
      <c r="C1431" s="8" t="s">
        <v>8</v>
      </c>
      <c r="D1431" s="8" t="s">
        <v>7</v>
      </c>
      <c r="E1431" s="8" t="s">
        <v>6</v>
      </c>
      <c r="F1431" s="8" t="s">
        <v>64</v>
      </c>
      <c r="G1431" s="8" t="s">
        <v>67</v>
      </c>
      <c r="H1431" s="8" t="s">
        <v>61</v>
      </c>
      <c r="I1431" s="7">
        <v>89700000</v>
      </c>
    </row>
    <row r="1432" spans="2:9" ht="25" outlineLevel="2" x14ac:dyDescent="0.2">
      <c r="B1432" s="8" t="s">
        <v>9</v>
      </c>
      <c r="C1432" s="8" t="s">
        <v>8</v>
      </c>
      <c r="D1432" s="8" t="s">
        <v>7</v>
      </c>
      <c r="E1432" s="8" t="s">
        <v>6</v>
      </c>
      <c r="F1432" s="8" t="s">
        <v>64</v>
      </c>
      <c r="G1432" s="8" t="s">
        <v>66</v>
      </c>
      <c r="H1432" s="8" t="s">
        <v>58</v>
      </c>
      <c r="I1432" s="7">
        <v>26500000</v>
      </c>
    </row>
    <row r="1433" spans="2:9" ht="25" outlineLevel="2" x14ac:dyDescent="0.2">
      <c r="B1433" s="8" t="s">
        <v>9</v>
      </c>
      <c r="C1433" s="8" t="s">
        <v>8</v>
      </c>
      <c r="D1433" s="8" t="s">
        <v>7</v>
      </c>
      <c r="E1433" s="8" t="s">
        <v>6</v>
      </c>
      <c r="F1433" s="8" t="s">
        <v>64</v>
      </c>
      <c r="G1433" s="8" t="s">
        <v>65</v>
      </c>
      <c r="H1433" s="8" t="s">
        <v>58</v>
      </c>
      <c r="I1433" s="7">
        <v>6000000</v>
      </c>
    </row>
    <row r="1434" spans="2:9" outlineLevel="2" x14ac:dyDescent="0.2">
      <c r="B1434" s="8" t="s">
        <v>9</v>
      </c>
      <c r="C1434" s="8" t="s">
        <v>8</v>
      </c>
      <c r="D1434" s="8" t="s">
        <v>7</v>
      </c>
      <c r="E1434" s="8" t="s">
        <v>6</v>
      </c>
      <c r="F1434" s="8" t="s">
        <v>64</v>
      </c>
      <c r="G1434" s="8" t="s">
        <v>56</v>
      </c>
      <c r="H1434" s="8" t="s">
        <v>55</v>
      </c>
      <c r="I1434" s="7">
        <v>-178696962</v>
      </c>
    </row>
    <row r="1435" spans="2:9" outlineLevel="2" x14ac:dyDescent="0.2">
      <c r="B1435" s="8"/>
      <c r="C1435" s="8"/>
      <c r="D1435" s="8"/>
      <c r="E1435" s="8"/>
      <c r="F1435" s="8"/>
      <c r="G1435" s="8"/>
      <c r="H1435" s="8"/>
      <c r="I1435" s="7"/>
    </row>
    <row r="1436" spans="2:9" outlineLevel="2" x14ac:dyDescent="0.2">
      <c r="B1436" s="8" t="s">
        <v>9</v>
      </c>
      <c r="C1436" s="8" t="s">
        <v>8</v>
      </c>
      <c r="D1436" s="8" t="s">
        <v>7</v>
      </c>
      <c r="E1436" s="8" t="s">
        <v>6</v>
      </c>
      <c r="F1436" s="8" t="s">
        <v>57</v>
      </c>
      <c r="G1436" s="8" t="s">
        <v>56</v>
      </c>
      <c r="H1436" s="8" t="s">
        <v>11</v>
      </c>
      <c r="I1436" s="7">
        <v>0</v>
      </c>
    </row>
    <row r="1437" spans="2:9" ht="25" outlineLevel="2" x14ac:dyDescent="0.2">
      <c r="B1437" s="8" t="s">
        <v>9</v>
      </c>
      <c r="C1437" s="8" t="s">
        <v>8</v>
      </c>
      <c r="D1437" s="8" t="s">
        <v>7</v>
      </c>
      <c r="E1437" s="8" t="s">
        <v>6</v>
      </c>
      <c r="F1437" s="8" t="s">
        <v>57</v>
      </c>
      <c r="G1437" s="8" t="s">
        <v>63</v>
      </c>
      <c r="H1437" s="8" t="s">
        <v>61</v>
      </c>
      <c r="I1437" s="7">
        <v>18731120</v>
      </c>
    </row>
    <row r="1438" spans="2:9" ht="25" outlineLevel="2" x14ac:dyDescent="0.2">
      <c r="B1438" s="8" t="s">
        <v>9</v>
      </c>
      <c r="C1438" s="8" t="s">
        <v>8</v>
      </c>
      <c r="D1438" s="8" t="s">
        <v>7</v>
      </c>
      <c r="E1438" s="8" t="s">
        <v>6</v>
      </c>
      <c r="F1438" s="8" t="s">
        <v>57</v>
      </c>
      <c r="G1438" s="8" t="s">
        <v>62</v>
      </c>
      <c r="H1438" s="8" t="s">
        <v>61</v>
      </c>
      <c r="I1438" s="7">
        <v>170504360</v>
      </c>
    </row>
    <row r="1439" spans="2:9" ht="25" outlineLevel="2" x14ac:dyDescent="0.2">
      <c r="B1439" s="8" t="s">
        <v>9</v>
      </c>
      <c r="C1439" s="8" t="s">
        <v>8</v>
      </c>
      <c r="D1439" s="8" t="s">
        <v>7</v>
      </c>
      <c r="E1439" s="8" t="s">
        <v>6</v>
      </c>
      <c r="F1439" s="8" t="s">
        <v>57</v>
      </c>
      <c r="G1439" s="8" t="s">
        <v>60</v>
      </c>
      <c r="H1439" s="8" t="s">
        <v>58</v>
      </c>
      <c r="I1439" s="7">
        <v>22012120</v>
      </c>
    </row>
    <row r="1440" spans="2:9" ht="25" outlineLevel="2" x14ac:dyDescent="0.2">
      <c r="B1440" s="8" t="s">
        <v>9</v>
      </c>
      <c r="C1440" s="8" t="s">
        <v>8</v>
      </c>
      <c r="D1440" s="8" t="s">
        <v>7</v>
      </c>
      <c r="E1440" s="8" t="s">
        <v>6</v>
      </c>
      <c r="F1440" s="8" t="s">
        <v>57</v>
      </c>
      <c r="G1440" s="8" t="s">
        <v>59</v>
      </c>
      <c r="H1440" s="8" t="s">
        <v>58</v>
      </c>
      <c r="I1440" s="7">
        <v>33000000</v>
      </c>
    </row>
    <row r="1441" spans="2:9" outlineLevel="2" x14ac:dyDescent="0.2">
      <c r="B1441" s="8" t="s">
        <v>9</v>
      </c>
      <c r="C1441" s="8" t="s">
        <v>8</v>
      </c>
      <c r="D1441" s="8" t="s">
        <v>7</v>
      </c>
      <c r="E1441" s="8" t="s">
        <v>6</v>
      </c>
      <c r="F1441" s="8" t="s">
        <v>57</v>
      </c>
      <c r="G1441" s="8" t="s">
        <v>56</v>
      </c>
      <c r="H1441" s="8" t="s">
        <v>55</v>
      </c>
      <c r="I1441" s="7">
        <v>-244247600</v>
      </c>
    </row>
    <row r="1442" spans="2:9" outlineLevel="2" x14ac:dyDescent="0.2">
      <c r="B1442" s="8"/>
      <c r="C1442" s="8"/>
      <c r="D1442" s="8"/>
      <c r="E1442" s="8"/>
      <c r="F1442" s="8"/>
      <c r="G1442" s="8"/>
      <c r="H1442" s="8"/>
      <c r="I1442" s="7"/>
    </row>
    <row r="1443" spans="2:9" ht="25" outlineLevel="2" x14ac:dyDescent="0.2">
      <c r="B1443" s="8" t="s">
        <v>9</v>
      </c>
      <c r="C1443" s="8" t="s">
        <v>8</v>
      </c>
      <c r="D1443" s="8" t="s">
        <v>7</v>
      </c>
      <c r="E1443" s="8" t="s">
        <v>6</v>
      </c>
      <c r="F1443" s="8" t="s">
        <v>52</v>
      </c>
      <c r="G1443" s="8" t="s">
        <v>54</v>
      </c>
      <c r="H1443" s="8" t="s">
        <v>11</v>
      </c>
      <c r="I1443" s="7">
        <v>0</v>
      </c>
    </row>
    <row r="1444" spans="2:9" ht="25" outlineLevel="2" x14ac:dyDescent="0.2">
      <c r="B1444" s="8" t="s">
        <v>9</v>
      </c>
      <c r="C1444" s="8" t="s">
        <v>8</v>
      </c>
      <c r="D1444" s="8" t="s">
        <v>7</v>
      </c>
      <c r="E1444" s="8" t="s">
        <v>6</v>
      </c>
      <c r="F1444" s="8" t="s">
        <v>52</v>
      </c>
      <c r="G1444" s="8" t="s">
        <v>53</v>
      </c>
      <c r="H1444" s="8" t="s">
        <v>29</v>
      </c>
      <c r="I1444" s="7">
        <v>-13695000</v>
      </c>
    </row>
    <row r="1445" spans="2:9" ht="25" outlineLevel="2" x14ac:dyDescent="0.2">
      <c r="B1445" s="8" t="s">
        <v>9</v>
      </c>
      <c r="C1445" s="8" t="s">
        <v>8</v>
      </c>
      <c r="D1445" s="8" t="s">
        <v>7</v>
      </c>
      <c r="E1445" s="8" t="s">
        <v>6</v>
      </c>
      <c r="F1445" s="8" t="s">
        <v>52</v>
      </c>
      <c r="G1445" s="8" t="s">
        <v>51</v>
      </c>
      <c r="H1445" s="8" t="s">
        <v>26</v>
      </c>
      <c r="I1445" s="7">
        <v>-13695000</v>
      </c>
    </row>
    <row r="1446" spans="2:9" outlineLevel="2" x14ac:dyDescent="0.2">
      <c r="B1446" s="8"/>
      <c r="C1446" s="8"/>
      <c r="D1446" s="8"/>
      <c r="E1446" s="8"/>
      <c r="F1446" s="8"/>
      <c r="G1446" s="8"/>
      <c r="H1446" s="8"/>
      <c r="I1446" s="7"/>
    </row>
    <row r="1447" spans="2:9" outlineLevel="2" x14ac:dyDescent="0.2">
      <c r="B1447" s="8" t="s">
        <v>9</v>
      </c>
      <c r="C1447" s="8" t="s">
        <v>8</v>
      </c>
      <c r="D1447" s="8" t="s">
        <v>7</v>
      </c>
      <c r="E1447" s="8" t="s">
        <v>6</v>
      </c>
      <c r="F1447" s="8" t="s">
        <v>50</v>
      </c>
      <c r="G1447" s="8" t="s">
        <v>49</v>
      </c>
      <c r="H1447" s="8" t="s">
        <v>11</v>
      </c>
      <c r="I1447" s="7">
        <v>0</v>
      </c>
    </row>
    <row r="1448" spans="2:9" outlineLevel="2" x14ac:dyDescent="0.2">
      <c r="B1448" s="8" t="s">
        <v>9</v>
      </c>
      <c r="C1448" s="8" t="s">
        <v>8</v>
      </c>
      <c r="D1448" s="8" t="s">
        <v>7</v>
      </c>
      <c r="E1448" s="8" t="s">
        <v>6</v>
      </c>
      <c r="F1448" s="8" t="s">
        <v>50</v>
      </c>
      <c r="G1448" s="8" t="s">
        <v>49</v>
      </c>
      <c r="H1448" s="8" t="s">
        <v>43</v>
      </c>
      <c r="I1448" s="7">
        <v>3299019</v>
      </c>
    </row>
    <row r="1449" spans="2:9" outlineLevel="2" x14ac:dyDescent="0.2">
      <c r="B1449" s="8" t="s">
        <v>9</v>
      </c>
      <c r="C1449" s="8" t="s">
        <v>8</v>
      </c>
      <c r="D1449" s="8" t="s">
        <v>7</v>
      </c>
      <c r="E1449" s="8" t="s">
        <v>6</v>
      </c>
      <c r="F1449" s="8" t="s">
        <v>50</v>
      </c>
      <c r="G1449" s="8" t="s">
        <v>49</v>
      </c>
      <c r="H1449" s="8" t="s">
        <v>26</v>
      </c>
      <c r="I1449" s="7">
        <v>3299019</v>
      </c>
    </row>
    <row r="1450" spans="2:9" outlineLevel="2" x14ac:dyDescent="0.2">
      <c r="B1450" s="8"/>
      <c r="C1450" s="8"/>
      <c r="D1450" s="8"/>
      <c r="E1450" s="8"/>
      <c r="F1450" s="8"/>
      <c r="G1450" s="8"/>
      <c r="H1450" s="8"/>
      <c r="I1450" s="7"/>
    </row>
    <row r="1451" spans="2:9" outlineLevel="2" x14ac:dyDescent="0.2">
      <c r="B1451" s="8" t="s">
        <v>9</v>
      </c>
      <c r="C1451" s="8" t="s">
        <v>8</v>
      </c>
      <c r="D1451" s="8" t="s">
        <v>7</v>
      </c>
      <c r="E1451" s="8" t="s">
        <v>6</v>
      </c>
      <c r="F1451" s="8" t="s">
        <v>48</v>
      </c>
      <c r="G1451" s="8" t="s">
        <v>47</v>
      </c>
      <c r="H1451" s="8" t="s">
        <v>11</v>
      </c>
      <c r="I1451" s="7">
        <v>0</v>
      </c>
    </row>
    <row r="1452" spans="2:9" outlineLevel="2" x14ac:dyDescent="0.2">
      <c r="B1452" s="8" t="s">
        <v>9</v>
      </c>
      <c r="C1452" s="8" t="s">
        <v>8</v>
      </c>
      <c r="D1452" s="8" t="s">
        <v>7</v>
      </c>
      <c r="E1452" s="8" t="s">
        <v>6</v>
      </c>
      <c r="F1452" s="8" t="s">
        <v>48</v>
      </c>
      <c r="G1452" s="8" t="s">
        <v>47</v>
      </c>
      <c r="H1452" s="8" t="s">
        <v>29</v>
      </c>
      <c r="I1452" s="7">
        <v>10249600</v>
      </c>
    </row>
    <row r="1453" spans="2:9" outlineLevel="2" x14ac:dyDescent="0.2">
      <c r="B1453" s="8" t="s">
        <v>9</v>
      </c>
      <c r="C1453" s="8" t="s">
        <v>8</v>
      </c>
      <c r="D1453" s="8" t="s">
        <v>7</v>
      </c>
      <c r="E1453" s="8" t="s">
        <v>6</v>
      </c>
      <c r="F1453" s="8" t="s">
        <v>48</v>
      </c>
      <c r="G1453" s="8" t="s">
        <v>47</v>
      </c>
      <c r="H1453" s="8" t="s">
        <v>26</v>
      </c>
      <c r="I1453" s="7">
        <v>10249600</v>
      </c>
    </row>
    <row r="1454" spans="2:9" outlineLevel="2" x14ac:dyDescent="0.2">
      <c r="B1454" s="8"/>
      <c r="C1454" s="8"/>
      <c r="D1454" s="8"/>
      <c r="E1454" s="8"/>
      <c r="F1454" s="8"/>
      <c r="G1454" s="8"/>
      <c r="H1454" s="8"/>
      <c r="I1454" s="7"/>
    </row>
    <row r="1455" spans="2:9" ht="25" outlineLevel="2" x14ac:dyDescent="0.2">
      <c r="B1455" s="8" t="s">
        <v>9</v>
      </c>
      <c r="C1455" s="8" t="s">
        <v>8</v>
      </c>
      <c r="D1455" s="8" t="s">
        <v>7</v>
      </c>
      <c r="E1455" s="8" t="s">
        <v>6</v>
      </c>
      <c r="F1455" s="8" t="s">
        <v>45</v>
      </c>
      <c r="G1455" s="8" t="s">
        <v>44</v>
      </c>
      <c r="H1455" s="8" t="s">
        <v>11</v>
      </c>
      <c r="I1455" s="7">
        <v>0</v>
      </c>
    </row>
    <row r="1456" spans="2:9" ht="25" outlineLevel="2" x14ac:dyDescent="0.2">
      <c r="B1456" s="8" t="s">
        <v>9</v>
      </c>
      <c r="C1456" s="8" t="s">
        <v>8</v>
      </c>
      <c r="D1456" s="8" t="s">
        <v>7</v>
      </c>
      <c r="E1456" s="8" t="s">
        <v>6</v>
      </c>
      <c r="F1456" s="8" t="s">
        <v>45</v>
      </c>
      <c r="G1456" s="8" t="s">
        <v>44</v>
      </c>
      <c r="H1456" s="8" t="s">
        <v>46</v>
      </c>
      <c r="I1456" s="7">
        <v>1610734</v>
      </c>
    </row>
    <row r="1457" spans="2:9" ht="25" outlineLevel="2" x14ac:dyDescent="0.2">
      <c r="B1457" s="8" t="s">
        <v>9</v>
      </c>
      <c r="C1457" s="8" t="s">
        <v>8</v>
      </c>
      <c r="D1457" s="8" t="s">
        <v>7</v>
      </c>
      <c r="E1457" s="8" t="s">
        <v>6</v>
      </c>
      <c r="F1457" s="8" t="s">
        <v>45</v>
      </c>
      <c r="G1457" s="8" t="s">
        <v>44</v>
      </c>
      <c r="H1457" s="8" t="s">
        <v>26</v>
      </c>
      <c r="I1457" s="7">
        <v>1610734</v>
      </c>
    </row>
    <row r="1458" spans="2:9" outlineLevel="2" x14ac:dyDescent="0.2">
      <c r="B1458" s="8"/>
      <c r="C1458" s="8"/>
      <c r="D1458" s="8"/>
      <c r="E1458" s="8"/>
      <c r="F1458" s="8"/>
      <c r="G1458" s="8"/>
      <c r="H1458" s="8"/>
      <c r="I1458" s="7"/>
    </row>
    <row r="1459" spans="2:9" outlineLevel="2" x14ac:dyDescent="0.2">
      <c r="B1459" s="8" t="s">
        <v>9</v>
      </c>
      <c r="C1459" s="8" t="s">
        <v>8</v>
      </c>
      <c r="D1459" s="8" t="s">
        <v>7</v>
      </c>
      <c r="E1459" s="8" t="s">
        <v>6</v>
      </c>
      <c r="F1459" s="8" t="s">
        <v>42</v>
      </c>
      <c r="G1459" s="8" t="s">
        <v>41</v>
      </c>
      <c r="H1459" s="8" t="s">
        <v>11</v>
      </c>
      <c r="I1459" s="7">
        <v>0</v>
      </c>
    </row>
    <row r="1460" spans="2:9" outlineLevel="2" x14ac:dyDescent="0.2">
      <c r="B1460" s="8" t="s">
        <v>9</v>
      </c>
      <c r="C1460" s="8" t="s">
        <v>8</v>
      </c>
      <c r="D1460" s="8" t="s">
        <v>7</v>
      </c>
      <c r="E1460" s="8" t="s">
        <v>6</v>
      </c>
      <c r="F1460" s="8" t="s">
        <v>42</v>
      </c>
      <c r="G1460" s="8" t="s">
        <v>41</v>
      </c>
      <c r="H1460" s="8" t="s">
        <v>43</v>
      </c>
      <c r="I1460" s="7">
        <v>1026200</v>
      </c>
    </row>
    <row r="1461" spans="2:9" outlineLevel="2" x14ac:dyDescent="0.2">
      <c r="B1461" s="8" t="s">
        <v>9</v>
      </c>
      <c r="C1461" s="8" t="s">
        <v>8</v>
      </c>
      <c r="D1461" s="8" t="s">
        <v>7</v>
      </c>
      <c r="E1461" s="8" t="s">
        <v>6</v>
      </c>
      <c r="F1461" s="8" t="s">
        <v>42</v>
      </c>
      <c r="G1461" s="8" t="s">
        <v>41</v>
      </c>
      <c r="H1461" s="8" t="s">
        <v>26</v>
      </c>
      <c r="I1461" s="7">
        <v>1026200</v>
      </c>
    </row>
    <row r="1462" spans="2:9" outlineLevel="2" x14ac:dyDescent="0.2">
      <c r="B1462" s="8"/>
      <c r="C1462" s="8"/>
      <c r="D1462" s="8"/>
      <c r="E1462" s="8"/>
      <c r="F1462" s="8"/>
      <c r="G1462" s="8"/>
      <c r="H1462" s="8"/>
      <c r="I1462" s="7"/>
    </row>
    <row r="1463" spans="2:9" ht="25" outlineLevel="2" x14ac:dyDescent="0.2">
      <c r="B1463" s="8" t="s">
        <v>9</v>
      </c>
      <c r="C1463" s="8" t="s">
        <v>8</v>
      </c>
      <c r="D1463" s="8" t="s">
        <v>7</v>
      </c>
      <c r="E1463" s="8" t="s">
        <v>6</v>
      </c>
      <c r="F1463" s="8" t="s">
        <v>40</v>
      </c>
      <c r="G1463" s="8" t="s">
        <v>39</v>
      </c>
      <c r="H1463" s="8" t="s">
        <v>11</v>
      </c>
      <c r="I1463" s="7">
        <v>0</v>
      </c>
    </row>
    <row r="1464" spans="2:9" ht="25" outlineLevel="2" x14ac:dyDescent="0.2">
      <c r="B1464" s="8" t="s">
        <v>9</v>
      </c>
      <c r="C1464" s="8" t="s">
        <v>8</v>
      </c>
      <c r="D1464" s="8" t="s">
        <v>7</v>
      </c>
      <c r="E1464" s="8" t="s">
        <v>6</v>
      </c>
      <c r="F1464" s="8" t="s">
        <v>40</v>
      </c>
      <c r="G1464" s="8" t="s">
        <v>39</v>
      </c>
      <c r="H1464" s="8" t="s">
        <v>29</v>
      </c>
      <c r="I1464" s="7">
        <v>4536000</v>
      </c>
    </row>
    <row r="1465" spans="2:9" ht="25" outlineLevel="2" x14ac:dyDescent="0.2">
      <c r="B1465" s="8" t="s">
        <v>9</v>
      </c>
      <c r="C1465" s="8" t="s">
        <v>8</v>
      </c>
      <c r="D1465" s="8" t="s">
        <v>7</v>
      </c>
      <c r="E1465" s="8" t="s">
        <v>6</v>
      </c>
      <c r="F1465" s="8" t="s">
        <v>40</v>
      </c>
      <c r="G1465" s="8" t="s">
        <v>39</v>
      </c>
      <c r="H1465" s="8" t="s">
        <v>26</v>
      </c>
      <c r="I1465" s="7">
        <v>4536000</v>
      </c>
    </row>
    <row r="1466" spans="2:9" ht="25" outlineLevel="2" x14ac:dyDescent="0.2">
      <c r="B1466" s="8" t="s">
        <v>9</v>
      </c>
      <c r="C1466" s="8" t="s">
        <v>8</v>
      </c>
      <c r="D1466" s="8" t="s">
        <v>7</v>
      </c>
      <c r="E1466" s="8" t="s">
        <v>6</v>
      </c>
      <c r="F1466" s="8" t="s">
        <v>40</v>
      </c>
      <c r="G1466" s="8" t="s">
        <v>39</v>
      </c>
      <c r="H1466" s="8" t="s">
        <v>29</v>
      </c>
      <c r="I1466" s="7">
        <v>-4536000</v>
      </c>
    </row>
    <row r="1467" spans="2:9" ht="25" outlineLevel="2" x14ac:dyDescent="0.2">
      <c r="B1467" s="8" t="s">
        <v>9</v>
      </c>
      <c r="C1467" s="8" t="s">
        <v>8</v>
      </c>
      <c r="D1467" s="8" t="s">
        <v>7</v>
      </c>
      <c r="E1467" s="8" t="s">
        <v>6</v>
      </c>
      <c r="F1467" s="8" t="s">
        <v>40</v>
      </c>
      <c r="G1467" s="8" t="s">
        <v>39</v>
      </c>
      <c r="H1467" s="8" t="s">
        <v>38</v>
      </c>
      <c r="I1467" s="7">
        <v>4536000</v>
      </c>
    </row>
    <row r="1468" spans="2:9" outlineLevel="2" x14ac:dyDescent="0.2">
      <c r="B1468" s="8"/>
      <c r="C1468" s="8"/>
      <c r="D1468" s="8"/>
      <c r="E1468" s="8"/>
      <c r="F1468" s="8"/>
      <c r="G1468" s="8"/>
      <c r="H1468" s="8"/>
      <c r="I1468" s="7"/>
    </row>
    <row r="1469" spans="2:9" outlineLevel="2" x14ac:dyDescent="0.2">
      <c r="B1469" s="8" t="s">
        <v>9</v>
      </c>
      <c r="C1469" s="8" t="s">
        <v>8</v>
      </c>
      <c r="D1469" s="8" t="s">
        <v>7</v>
      </c>
      <c r="E1469" s="8" t="s">
        <v>6</v>
      </c>
      <c r="F1469" s="8" t="s">
        <v>37</v>
      </c>
      <c r="G1469" s="8" t="s">
        <v>36</v>
      </c>
      <c r="H1469" s="8" t="s">
        <v>11</v>
      </c>
      <c r="I1469" s="7">
        <v>0</v>
      </c>
    </row>
    <row r="1470" spans="2:9" outlineLevel="2" x14ac:dyDescent="0.2">
      <c r="B1470" s="8" t="s">
        <v>9</v>
      </c>
      <c r="C1470" s="8" t="s">
        <v>8</v>
      </c>
      <c r="D1470" s="8" t="s">
        <v>7</v>
      </c>
      <c r="E1470" s="8" t="s">
        <v>6</v>
      </c>
      <c r="F1470" s="8" t="s">
        <v>37</v>
      </c>
      <c r="G1470" s="8" t="s">
        <v>36</v>
      </c>
      <c r="H1470" s="8" t="s">
        <v>29</v>
      </c>
      <c r="I1470" s="7">
        <v>3537000</v>
      </c>
    </row>
    <row r="1471" spans="2:9" outlineLevel="2" x14ac:dyDescent="0.2">
      <c r="B1471" s="8" t="s">
        <v>9</v>
      </c>
      <c r="C1471" s="8" t="s">
        <v>8</v>
      </c>
      <c r="D1471" s="8" t="s">
        <v>7</v>
      </c>
      <c r="E1471" s="8" t="s">
        <v>6</v>
      </c>
      <c r="F1471" s="8" t="s">
        <v>37</v>
      </c>
      <c r="G1471" s="8" t="s">
        <v>36</v>
      </c>
      <c r="H1471" s="8" t="s">
        <v>26</v>
      </c>
      <c r="I1471" s="7">
        <v>3537000</v>
      </c>
    </row>
    <row r="1472" spans="2:9" outlineLevel="2" x14ac:dyDescent="0.2">
      <c r="B1472" s="8"/>
      <c r="C1472" s="8"/>
      <c r="D1472" s="8"/>
      <c r="E1472" s="8"/>
      <c r="F1472" s="8"/>
      <c r="G1472" s="8"/>
      <c r="H1472" s="8"/>
      <c r="I1472" s="7"/>
    </row>
    <row r="1473" spans="2:9" ht="25" outlineLevel="2" x14ac:dyDescent="0.2">
      <c r="B1473" s="8" t="s">
        <v>9</v>
      </c>
      <c r="C1473" s="8" t="s">
        <v>8</v>
      </c>
      <c r="D1473" s="8" t="s">
        <v>7</v>
      </c>
      <c r="E1473" s="8" t="s">
        <v>6</v>
      </c>
      <c r="F1473" s="8" t="s">
        <v>35</v>
      </c>
      <c r="G1473" s="8" t="s">
        <v>34</v>
      </c>
      <c r="H1473" s="8" t="s">
        <v>11</v>
      </c>
      <c r="I1473" s="7">
        <v>0</v>
      </c>
    </row>
    <row r="1474" spans="2:9" ht="25" outlineLevel="2" x14ac:dyDescent="0.2">
      <c r="B1474" s="8" t="s">
        <v>9</v>
      </c>
      <c r="C1474" s="8" t="s">
        <v>8</v>
      </c>
      <c r="D1474" s="8" t="s">
        <v>7</v>
      </c>
      <c r="E1474" s="8" t="s">
        <v>6</v>
      </c>
      <c r="F1474" s="8" t="s">
        <v>35</v>
      </c>
      <c r="G1474" s="8" t="s">
        <v>34</v>
      </c>
      <c r="H1474" s="8" t="s">
        <v>33</v>
      </c>
      <c r="I1474" s="7">
        <v>3664000</v>
      </c>
    </row>
    <row r="1475" spans="2:9" ht="25" outlineLevel="2" x14ac:dyDescent="0.2">
      <c r="B1475" s="8" t="s">
        <v>9</v>
      </c>
      <c r="C1475" s="8" t="s">
        <v>8</v>
      </c>
      <c r="D1475" s="8" t="s">
        <v>7</v>
      </c>
      <c r="E1475" s="8" t="s">
        <v>6</v>
      </c>
      <c r="F1475" s="8" t="s">
        <v>35</v>
      </c>
      <c r="G1475" s="8" t="s">
        <v>34</v>
      </c>
      <c r="H1475" s="8" t="s">
        <v>26</v>
      </c>
      <c r="I1475" s="7">
        <v>3664000</v>
      </c>
    </row>
    <row r="1476" spans="2:9" outlineLevel="2" x14ac:dyDescent="0.2">
      <c r="B1476" s="8"/>
      <c r="C1476" s="8"/>
      <c r="D1476" s="8"/>
      <c r="E1476" s="8"/>
      <c r="F1476" s="8"/>
      <c r="G1476" s="8"/>
      <c r="H1476" s="8"/>
      <c r="I1476" s="7"/>
    </row>
    <row r="1477" spans="2:9" ht="25" outlineLevel="2" x14ac:dyDescent="0.2">
      <c r="B1477" s="8" t="s">
        <v>9</v>
      </c>
      <c r="C1477" s="8" t="s">
        <v>8</v>
      </c>
      <c r="D1477" s="8" t="s">
        <v>7</v>
      </c>
      <c r="E1477" s="8" t="s">
        <v>6</v>
      </c>
      <c r="F1477" s="8" t="s">
        <v>32</v>
      </c>
      <c r="G1477" s="8" t="s">
        <v>31</v>
      </c>
      <c r="H1477" s="8" t="s">
        <v>11</v>
      </c>
      <c r="I1477" s="7">
        <v>0</v>
      </c>
    </row>
    <row r="1478" spans="2:9" ht="25" outlineLevel="2" x14ac:dyDescent="0.2">
      <c r="B1478" s="8" t="s">
        <v>9</v>
      </c>
      <c r="C1478" s="8" t="s">
        <v>8</v>
      </c>
      <c r="D1478" s="8" t="s">
        <v>7</v>
      </c>
      <c r="E1478" s="8" t="s">
        <v>6</v>
      </c>
      <c r="F1478" s="8" t="s">
        <v>32</v>
      </c>
      <c r="G1478" s="8" t="s">
        <v>31</v>
      </c>
      <c r="H1478" s="8" t="s">
        <v>33</v>
      </c>
      <c r="I1478" s="7">
        <v>13283000</v>
      </c>
    </row>
    <row r="1479" spans="2:9" ht="25" outlineLevel="2" x14ac:dyDescent="0.2">
      <c r="B1479" s="8" t="s">
        <v>9</v>
      </c>
      <c r="C1479" s="8" t="s">
        <v>8</v>
      </c>
      <c r="D1479" s="8" t="s">
        <v>7</v>
      </c>
      <c r="E1479" s="8" t="s">
        <v>6</v>
      </c>
      <c r="F1479" s="8" t="s">
        <v>32</v>
      </c>
      <c r="G1479" s="8" t="s">
        <v>31</v>
      </c>
      <c r="H1479" s="8" t="s">
        <v>26</v>
      </c>
      <c r="I1479" s="7">
        <v>13283000</v>
      </c>
    </row>
    <row r="1480" spans="2:9" outlineLevel="2" x14ac:dyDescent="0.2">
      <c r="B1480" s="8"/>
      <c r="C1480" s="8"/>
      <c r="D1480" s="8"/>
      <c r="E1480" s="8"/>
      <c r="F1480" s="8"/>
      <c r="G1480" s="8"/>
      <c r="H1480" s="8"/>
      <c r="I1480" s="7"/>
    </row>
    <row r="1481" spans="2:9" outlineLevel="2" x14ac:dyDescent="0.2">
      <c r="B1481" s="8" t="s">
        <v>9</v>
      </c>
      <c r="C1481" s="8" t="s">
        <v>8</v>
      </c>
      <c r="D1481" s="8" t="s">
        <v>7</v>
      </c>
      <c r="E1481" s="8" t="s">
        <v>6</v>
      </c>
      <c r="F1481" s="8" t="s">
        <v>28</v>
      </c>
      <c r="G1481" s="8" t="s">
        <v>30</v>
      </c>
      <c r="H1481" s="8" t="s">
        <v>11</v>
      </c>
      <c r="I1481" s="7">
        <v>0</v>
      </c>
    </row>
    <row r="1482" spans="2:9" outlineLevel="2" x14ac:dyDescent="0.2">
      <c r="B1482" s="8" t="s">
        <v>9</v>
      </c>
      <c r="C1482" s="8" t="s">
        <v>8</v>
      </c>
      <c r="D1482" s="8" t="s">
        <v>7</v>
      </c>
      <c r="E1482" s="8" t="s">
        <v>6</v>
      </c>
      <c r="F1482" s="8" t="s">
        <v>28</v>
      </c>
      <c r="G1482" s="8" t="s">
        <v>27</v>
      </c>
      <c r="H1482" s="8" t="s">
        <v>29</v>
      </c>
      <c r="I1482" s="7">
        <v>1296000</v>
      </c>
    </row>
    <row r="1483" spans="2:9" outlineLevel="2" x14ac:dyDescent="0.2">
      <c r="B1483" s="8" t="s">
        <v>9</v>
      </c>
      <c r="C1483" s="8" t="s">
        <v>8</v>
      </c>
      <c r="D1483" s="8" t="s">
        <v>7</v>
      </c>
      <c r="E1483" s="8" t="s">
        <v>6</v>
      </c>
      <c r="F1483" s="8" t="s">
        <v>28</v>
      </c>
      <c r="G1483" s="8" t="s">
        <v>27</v>
      </c>
      <c r="H1483" s="8" t="s">
        <v>26</v>
      </c>
      <c r="I1483" s="7">
        <v>1296000</v>
      </c>
    </row>
    <row r="1484" spans="2:9" outlineLevel="2" x14ac:dyDescent="0.2">
      <c r="B1484" s="8"/>
      <c r="C1484" s="8"/>
      <c r="D1484" s="8"/>
      <c r="E1484" s="8"/>
      <c r="F1484" s="8"/>
      <c r="G1484" s="8"/>
      <c r="H1484" s="8"/>
      <c r="I1484" s="7"/>
    </row>
    <row r="1485" spans="2:9" outlineLevel="2" x14ac:dyDescent="0.2">
      <c r="B1485" s="8" t="s">
        <v>9</v>
      </c>
      <c r="C1485" s="8" t="s">
        <v>8</v>
      </c>
      <c r="D1485" s="8" t="s">
        <v>7</v>
      </c>
      <c r="E1485" s="8" t="s">
        <v>6</v>
      </c>
      <c r="F1485" s="8" t="s">
        <v>25</v>
      </c>
      <c r="G1485" s="8" t="s">
        <v>24</v>
      </c>
      <c r="H1485" s="8" t="s">
        <v>11</v>
      </c>
      <c r="I1485" s="7">
        <v>0</v>
      </c>
    </row>
    <row r="1486" spans="2:9" ht="25" outlineLevel="2" x14ac:dyDescent="0.2">
      <c r="B1486" s="8" t="s">
        <v>9</v>
      </c>
      <c r="C1486" s="8" t="s">
        <v>8</v>
      </c>
      <c r="D1486" s="8" t="s">
        <v>7</v>
      </c>
      <c r="E1486" s="8" t="s">
        <v>6</v>
      </c>
      <c r="F1486" s="8" t="s">
        <v>25</v>
      </c>
      <c r="G1486" s="8" t="s">
        <v>24</v>
      </c>
      <c r="H1486" s="8" t="s">
        <v>10</v>
      </c>
      <c r="I1486" s="7">
        <v>79176824</v>
      </c>
    </row>
    <row r="1487" spans="2:9" ht="25" outlineLevel="2" x14ac:dyDescent="0.2">
      <c r="B1487" s="8" t="s">
        <v>9</v>
      </c>
      <c r="C1487" s="8" t="s">
        <v>8</v>
      </c>
      <c r="D1487" s="8" t="s">
        <v>7</v>
      </c>
      <c r="E1487" s="8" t="s">
        <v>6</v>
      </c>
      <c r="F1487" s="8" t="s">
        <v>25</v>
      </c>
      <c r="G1487" s="8" t="s">
        <v>24</v>
      </c>
      <c r="H1487" s="8" t="s">
        <v>3</v>
      </c>
      <c r="I1487" s="7">
        <v>-79176824</v>
      </c>
    </row>
    <row r="1488" spans="2:9" outlineLevel="2" x14ac:dyDescent="0.2">
      <c r="B1488" s="8"/>
      <c r="C1488" s="8"/>
      <c r="D1488" s="8"/>
      <c r="E1488" s="8"/>
      <c r="F1488" s="8"/>
      <c r="G1488" s="8"/>
      <c r="H1488" s="8"/>
      <c r="I1488" s="7"/>
    </row>
    <row r="1489" spans="2:9" outlineLevel="2" x14ac:dyDescent="0.2">
      <c r="B1489" s="8" t="s">
        <v>9</v>
      </c>
      <c r="C1489" s="8" t="s">
        <v>8</v>
      </c>
      <c r="D1489" s="8" t="s">
        <v>7</v>
      </c>
      <c r="E1489" s="8" t="s">
        <v>6</v>
      </c>
      <c r="F1489" s="8" t="s">
        <v>23</v>
      </c>
      <c r="G1489" s="8" t="s">
        <v>22</v>
      </c>
      <c r="H1489" s="8" t="s">
        <v>11</v>
      </c>
      <c r="I1489" s="7">
        <v>0</v>
      </c>
    </row>
    <row r="1490" spans="2:9" ht="25" outlineLevel="2" x14ac:dyDescent="0.2">
      <c r="B1490" s="8" t="s">
        <v>9</v>
      </c>
      <c r="C1490" s="8" t="s">
        <v>8</v>
      </c>
      <c r="D1490" s="8" t="s">
        <v>7</v>
      </c>
      <c r="E1490" s="8" t="s">
        <v>6</v>
      </c>
      <c r="F1490" s="8" t="s">
        <v>23</v>
      </c>
      <c r="G1490" s="8" t="s">
        <v>22</v>
      </c>
      <c r="H1490" s="8" t="s">
        <v>10</v>
      </c>
      <c r="I1490" s="7">
        <v>78760962</v>
      </c>
    </row>
    <row r="1491" spans="2:9" ht="25" outlineLevel="2" x14ac:dyDescent="0.2">
      <c r="B1491" s="8" t="s">
        <v>9</v>
      </c>
      <c r="C1491" s="8" t="s">
        <v>8</v>
      </c>
      <c r="D1491" s="8" t="s">
        <v>7</v>
      </c>
      <c r="E1491" s="8" t="s">
        <v>6</v>
      </c>
      <c r="F1491" s="8" t="s">
        <v>23</v>
      </c>
      <c r="G1491" s="8" t="s">
        <v>22</v>
      </c>
      <c r="H1491" s="8" t="s">
        <v>3</v>
      </c>
      <c r="I1491" s="7">
        <v>-78760962</v>
      </c>
    </row>
    <row r="1492" spans="2:9" outlineLevel="2" x14ac:dyDescent="0.2">
      <c r="B1492" s="8"/>
      <c r="C1492" s="8"/>
      <c r="D1492" s="8"/>
      <c r="E1492" s="8"/>
      <c r="F1492" s="8"/>
      <c r="G1492" s="8"/>
      <c r="H1492" s="8"/>
      <c r="I1492" s="7"/>
    </row>
    <row r="1493" spans="2:9" outlineLevel="2" x14ac:dyDescent="0.2">
      <c r="B1493" s="8" t="s">
        <v>9</v>
      </c>
      <c r="C1493" s="8" t="s">
        <v>8</v>
      </c>
      <c r="D1493" s="8" t="s">
        <v>7</v>
      </c>
      <c r="E1493" s="8" t="s">
        <v>6</v>
      </c>
      <c r="F1493" s="8" t="s">
        <v>21</v>
      </c>
      <c r="G1493" s="8" t="s">
        <v>20</v>
      </c>
      <c r="H1493" s="8" t="s">
        <v>11</v>
      </c>
      <c r="I1493" s="7">
        <v>0</v>
      </c>
    </row>
    <row r="1494" spans="2:9" ht="25" outlineLevel="2" x14ac:dyDescent="0.2">
      <c r="B1494" s="8" t="s">
        <v>9</v>
      </c>
      <c r="C1494" s="8" t="s">
        <v>8</v>
      </c>
      <c r="D1494" s="8" t="s">
        <v>7</v>
      </c>
      <c r="E1494" s="8" t="s">
        <v>6</v>
      </c>
      <c r="F1494" s="8" t="s">
        <v>21</v>
      </c>
      <c r="G1494" s="8" t="s">
        <v>20</v>
      </c>
      <c r="H1494" s="8" t="s">
        <v>10</v>
      </c>
      <c r="I1494" s="7">
        <v>77482829</v>
      </c>
    </row>
    <row r="1495" spans="2:9" ht="25" outlineLevel="2" x14ac:dyDescent="0.2">
      <c r="B1495" s="8" t="s">
        <v>9</v>
      </c>
      <c r="C1495" s="8" t="s">
        <v>8</v>
      </c>
      <c r="D1495" s="8" t="s">
        <v>7</v>
      </c>
      <c r="E1495" s="8" t="s">
        <v>6</v>
      </c>
      <c r="F1495" s="8" t="s">
        <v>21</v>
      </c>
      <c r="G1495" s="8" t="s">
        <v>20</v>
      </c>
      <c r="H1495" s="8" t="s">
        <v>3</v>
      </c>
      <c r="I1495" s="7">
        <v>-77482829</v>
      </c>
    </row>
    <row r="1496" spans="2:9" outlineLevel="2" x14ac:dyDescent="0.2">
      <c r="B1496" s="8"/>
      <c r="C1496" s="8"/>
      <c r="D1496" s="8"/>
      <c r="E1496" s="8"/>
      <c r="F1496" s="8"/>
      <c r="G1496" s="8"/>
      <c r="H1496" s="8"/>
      <c r="I1496" s="7"/>
    </row>
    <row r="1497" spans="2:9" outlineLevel="2" x14ac:dyDescent="0.2">
      <c r="B1497" s="8" t="s">
        <v>9</v>
      </c>
      <c r="C1497" s="8" t="s">
        <v>8</v>
      </c>
      <c r="D1497" s="8" t="s">
        <v>7</v>
      </c>
      <c r="E1497" s="8" t="s">
        <v>6</v>
      </c>
      <c r="F1497" s="8" t="s">
        <v>19</v>
      </c>
      <c r="G1497" s="8" t="s">
        <v>18</v>
      </c>
      <c r="H1497" s="8" t="s">
        <v>11</v>
      </c>
      <c r="I1497" s="7">
        <v>0</v>
      </c>
    </row>
    <row r="1498" spans="2:9" ht="25" outlineLevel="2" x14ac:dyDescent="0.2">
      <c r="B1498" s="8" t="s">
        <v>9</v>
      </c>
      <c r="C1498" s="8" t="s">
        <v>8</v>
      </c>
      <c r="D1498" s="8" t="s">
        <v>7</v>
      </c>
      <c r="E1498" s="8" t="s">
        <v>6</v>
      </c>
      <c r="F1498" s="8" t="s">
        <v>19</v>
      </c>
      <c r="G1498" s="8" t="s">
        <v>18</v>
      </c>
      <c r="H1498" s="8" t="s">
        <v>10</v>
      </c>
      <c r="I1498" s="7">
        <v>77464681</v>
      </c>
    </row>
    <row r="1499" spans="2:9" ht="25" outlineLevel="2" x14ac:dyDescent="0.2">
      <c r="B1499" s="8" t="s">
        <v>9</v>
      </c>
      <c r="C1499" s="8" t="s">
        <v>8</v>
      </c>
      <c r="D1499" s="8" t="s">
        <v>7</v>
      </c>
      <c r="E1499" s="8" t="s">
        <v>6</v>
      </c>
      <c r="F1499" s="8" t="s">
        <v>19</v>
      </c>
      <c r="G1499" s="8" t="s">
        <v>18</v>
      </c>
      <c r="H1499" s="8" t="s">
        <v>3</v>
      </c>
      <c r="I1499" s="7">
        <v>-77464681</v>
      </c>
    </row>
    <row r="1500" spans="2:9" outlineLevel="2" x14ac:dyDescent="0.2">
      <c r="B1500" s="8"/>
      <c r="C1500" s="8"/>
      <c r="D1500" s="8"/>
      <c r="E1500" s="8"/>
      <c r="F1500" s="8"/>
      <c r="G1500" s="8"/>
      <c r="H1500" s="8"/>
      <c r="I1500" s="7"/>
    </row>
    <row r="1501" spans="2:9" outlineLevel="2" x14ac:dyDescent="0.2">
      <c r="B1501" s="8" t="s">
        <v>9</v>
      </c>
      <c r="C1501" s="8" t="s">
        <v>8</v>
      </c>
      <c r="D1501" s="8" t="s">
        <v>7</v>
      </c>
      <c r="E1501" s="8" t="s">
        <v>6</v>
      </c>
      <c r="F1501" s="8" t="s">
        <v>17</v>
      </c>
      <c r="G1501" s="8" t="s">
        <v>16</v>
      </c>
      <c r="H1501" s="8" t="s">
        <v>11</v>
      </c>
      <c r="I1501" s="7">
        <v>0</v>
      </c>
    </row>
    <row r="1502" spans="2:9" ht="25" outlineLevel="2" x14ac:dyDescent="0.2">
      <c r="B1502" s="8" t="s">
        <v>9</v>
      </c>
      <c r="C1502" s="8" t="s">
        <v>8</v>
      </c>
      <c r="D1502" s="8" t="s">
        <v>7</v>
      </c>
      <c r="E1502" s="8" t="s">
        <v>6</v>
      </c>
      <c r="F1502" s="8" t="s">
        <v>17</v>
      </c>
      <c r="G1502" s="8" t="s">
        <v>16</v>
      </c>
      <c r="H1502" s="8" t="s">
        <v>10</v>
      </c>
      <c r="I1502" s="7">
        <v>82437355</v>
      </c>
    </row>
    <row r="1503" spans="2:9" ht="25" outlineLevel="2" x14ac:dyDescent="0.2">
      <c r="B1503" s="8" t="s">
        <v>9</v>
      </c>
      <c r="C1503" s="8" t="s">
        <v>8</v>
      </c>
      <c r="D1503" s="8" t="s">
        <v>7</v>
      </c>
      <c r="E1503" s="8" t="s">
        <v>6</v>
      </c>
      <c r="F1503" s="8" t="s">
        <v>17</v>
      </c>
      <c r="G1503" s="8" t="s">
        <v>16</v>
      </c>
      <c r="H1503" s="8" t="s">
        <v>3</v>
      </c>
      <c r="I1503" s="7">
        <v>-82437355</v>
      </c>
    </row>
    <row r="1504" spans="2:9" outlineLevel="2" x14ac:dyDescent="0.2">
      <c r="B1504" s="8"/>
      <c r="C1504" s="8"/>
      <c r="D1504" s="8"/>
      <c r="E1504" s="8"/>
      <c r="F1504" s="8"/>
      <c r="G1504" s="8"/>
      <c r="H1504" s="8"/>
      <c r="I1504" s="7"/>
    </row>
    <row r="1505" spans="1:9" outlineLevel="2" x14ac:dyDescent="0.2">
      <c r="B1505" s="8" t="s">
        <v>9</v>
      </c>
      <c r="C1505" s="8" t="s">
        <v>8</v>
      </c>
      <c r="D1505" s="8" t="s">
        <v>7</v>
      </c>
      <c r="E1505" s="8" t="s">
        <v>6</v>
      </c>
      <c r="F1505" s="8" t="s">
        <v>15</v>
      </c>
      <c r="G1505" s="8" t="s">
        <v>14</v>
      </c>
      <c r="H1505" s="8" t="s">
        <v>11</v>
      </c>
      <c r="I1505" s="7">
        <v>0</v>
      </c>
    </row>
    <row r="1506" spans="1:9" ht="25" outlineLevel="2" x14ac:dyDescent="0.2">
      <c r="B1506" s="8" t="s">
        <v>9</v>
      </c>
      <c r="C1506" s="8" t="s">
        <v>8</v>
      </c>
      <c r="D1506" s="8" t="s">
        <v>7</v>
      </c>
      <c r="E1506" s="8" t="s">
        <v>6</v>
      </c>
      <c r="F1506" s="8" t="s">
        <v>15</v>
      </c>
      <c r="G1506" s="8" t="s">
        <v>14</v>
      </c>
      <c r="H1506" s="8" t="s">
        <v>10</v>
      </c>
      <c r="I1506" s="7">
        <v>74740016</v>
      </c>
    </row>
    <row r="1507" spans="1:9" ht="25" outlineLevel="2" x14ac:dyDescent="0.2">
      <c r="B1507" s="8" t="s">
        <v>9</v>
      </c>
      <c r="C1507" s="8" t="s">
        <v>8</v>
      </c>
      <c r="D1507" s="8" t="s">
        <v>7</v>
      </c>
      <c r="E1507" s="8" t="s">
        <v>6</v>
      </c>
      <c r="F1507" s="8" t="s">
        <v>15</v>
      </c>
      <c r="G1507" s="8" t="s">
        <v>14</v>
      </c>
      <c r="H1507" s="8" t="s">
        <v>3</v>
      </c>
      <c r="I1507" s="7">
        <v>-74740016</v>
      </c>
    </row>
    <row r="1508" spans="1:9" outlineLevel="2" x14ac:dyDescent="0.2">
      <c r="B1508" s="8"/>
      <c r="C1508" s="8"/>
      <c r="D1508" s="8"/>
      <c r="E1508" s="8"/>
      <c r="F1508" s="8"/>
      <c r="G1508" s="8"/>
      <c r="H1508" s="8"/>
      <c r="I1508" s="7"/>
    </row>
    <row r="1509" spans="1:9" outlineLevel="2" x14ac:dyDescent="0.2">
      <c r="B1509" s="8" t="s">
        <v>9</v>
      </c>
      <c r="C1509" s="8" t="s">
        <v>8</v>
      </c>
      <c r="D1509" s="8" t="s">
        <v>7</v>
      </c>
      <c r="E1509" s="8" t="s">
        <v>6</v>
      </c>
      <c r="F1509" s="8" t="s">
        <v>13</v>
      </c>
      <c r="G1509" s="8" t="s">
        <v>12</v>
      </c>
      <c r="H1509" s="8" t="s">
        <v>11</v>
      </c>
      <c r="I1509" s="7">
        <v>0</v>
      </c>
    </row>
    <row r="1510" spans="1:9" ht="25" outlineLevel="2" x14ac:dyDescent="0.2">
      <c r="B1510" s="8" t="s">
        <v>9</v>
      </c>
      <c r="C1510" s="8" t="s">
        <v>8</v>
      </c>
      <c r="D1510" s="8" t="s">
        <v>7</v>
      </c>
      <c r="E1510" s="8" t="s">
        <v>6</v>
      </c>
      <c r="F1510" s="8" t="s">
        <v>13</v>
      </c>
      <c r="G1510" s="8" t="s">
        <v>12</v>
      </c>
      <c r="H1510" s="8" t="s">
        <v>10</v>
      </c>
      <c r="I1510" s="7">
        <v>81590901</v>
      </c>
    </row>
    <row r="1511" spans="1:9" ht="25" outlineLevel="2" x14ac:dyDescent="0.2">
      <c r="B1511" s="8" t="s">
        <v>9</v>
      </c>
      <c r="C1511" s="8" t="s">
        <v>8</v>
      </c>
      <c r="D1511" s="8" t="s">
        <v>7</v>
      </c>
      <c r="E1511" s="8" t="s">
        <v>6</v>
      </c>
      <c r="F1511" s="8" t="s">
        <v>13</v>
      </c>
      <c r="G1511" s="8" t="s">
        <v>12</v>
      </c>
      <c r="H1511" s="8" t="s">
        <v>3</v>
      </c>
      <c r="I1511" s="7">
        <v>-81590901</v>
      </c>
    </row>
    <row r="1512" spans="1:9" outlineLevel="2" x14ac:dyDescent="0.2">
      <c r="B1512" s="8"/>
      <c r="C1512" s="8"/>
      <c r="D1512" s="8"/>
      <c r="E1512" s="8"/>
      <c r="F1512" s="8"/>
      <c r="G1512" s="8"/>
      <c r="H1512" s="8"/>
      <c r="I1512" s="7"/>
    </row>
    <row r="1513" spans="1:9" outlineLevel="2" x14ac:dyDescent="0.2">
      <c r="B1513" s="8" t="s">
        <v>9</v>
      </c>
      <c r="C1513" s="8" t="s">
        <v>8</v>
      </c>
      <c r="D1513" s="8" t="s">
        <v>7</v>
      </c>
      <c r="E1513" s="8" t="s">
        <v>6</v>
      </c>
      <c r="F1513" s="8" t="s">
        <v>5</v>
      </c>
      <c r="G1513" s="8" t="s">
        <v>4</v>
      </c>
      <c r="H1513" s="8" t="s">
        <v>11</v>
      </c>
      <c r="I1513" s="7">
        <v>0</v>
      </c>
    </row>
    <row r="1514" spans="1:9" ht="25" outlineLevel="2" x14ac:dyDescent="0.2">
      <c r="B1514" s="8" t="s">
        <v>9</v>
      </c>
      <c r="C1514" s="8" t="s">
        <v>8</v>
      </c>
      <c r="D1514" s="8" t="s">
        <v>7</v>
      </c>
      <c r="E1514" s="8" t="s">
        <v>6</v>
      </c>
      <c r="F1514" s="8" t="s">
        <v>5</v>
      </c>
      <c r="G1514" s="8" t="s">
        <v>4</v>
      </c>
      <c r="H1514" s="8" t="s">
        <v>10</v>
      </c>
      <c r="I1514" s="7">
        <v>81672848</v>
      </c>
    </row>
    <row r="1515" spans="1:9" ht="25" outlineLevel="2" x14ac:dyDescent="0.2">
      <c r="B1515" s="8" t="s">
        <v>9</v>
      </c>
      <c r="C1515" s="8" t="s">
        <v>8</v>
      </c>
      <c r="D1515" s="8" t="s">
        <v>7</v>
      </c>
      <c r="E1515" s="8" t="s">
        <v>6</v>
      </c>
      <c r="F1515" s="8" t="s">
        <v>5</v>
      </c>
      <c r="G1515" s="8" t="s">
        <v>4</v>
      </c>
      <c r="H1515" s="8" t="s">
        <v>3</v>
      </c>
      <c r="I1515" s="7">
        <v>-81672848</v>
      </c>
    </row>
    <row r="1516" spans="1:9" outlineLevel="1" x14ac:dyDescent="0.2">
      <c r="A1516" s="6" t="s">
        <v>2</v>
      </c>
      <c r="I1516" s="4">
        <f>I23+I25+I26+I28+I29+I31+I32+I34+I35+I37+I38+I40+I41+I43+I44+I46+I47+I49+I50+I52+I53+I55+I56+I58+I59+I61+I62+I64+I65+I67+I68+I70+I71+I73+I74+I76+I77+I79+I80+I82+I83+I85+I86+I88+I89+I91+I92+I94+I95+I97+I98+I100+I101+I103+I104+I106+I107+I109+I110+I112+I113+I115+I116+I118+I119+I121+I122+I124+I125+I127+I128+I129+I131+I132+I134+I135+I137+I138+I139+I141+I142+I144+I145+I147+I148+I150+I151+I153+I154+I156+I157+I159+I160+I162+I163+I165+I166+I168+I169+I171+I172+I174+I175+I177+I178+I180+I181+I183+I184+I186+I187+I189+I190+I192+I193+I195+I196+I198+I199+I201+I202+I204+I205+I207+I208+I210+I211+I213+I214+I216+I217+I218+I220+I221+I223+I224+I226+I227+I229+I230+I232+I233+I234+I236+I237+I239+I240+I242+I243+I245+I246+I248+I249+I250+I252+I253+I255+I256+I257+I258+I260+I261+I263+I264+I265+I267+I268+I270+I271+I272+I274+I275+I276+I277+I279+I280+I282+I283+I285+I286+I288+I289+I291+I292+I294+I295+I297+I298+I300+I301+I303+I304+I306+I307+I309+I310+I312+I313+I314+I316+I317+I319+I320+I322+I323+I325+I326+I328+I329+I331+I332+I333+I335+I336+I338+I339+I341+I342+I344+I345+I346+I347+I349+I350+I352+I353+I355+I356+I358+I359+I361+I362+I364+I365+I366+I367+I368+I369+I370+I371+I373+I374+I376+I377+I379+I380+I382+I383+I385+I386+I388+I389+I391+I392+I394+I395+I397+I398+I400+I401+I402+I403+I405+I406+I408+I409+I411+I412+I414+I415+I417+I418+I420+I421+I423+I424+I426+I427+I429+I430+I432+I433+I435+I436+I438+I439+I441+I442+I444+I445+I446+I447+I449+I450+I452+I453+I455+I456+I458+I459+I461+I462+I464+I465+I467+I468+I470+I471+I472+I474+I475+I477+I478+I480+I481+I483+I484+I485+I486+I488+I489+I491+I492+I494+I495+I497+I498+I499+I501+I502+I504+I505+I506+I508+I509+I511+I512+I514+I515+I517+I518+I520+I521+I523+I524+I526+I527+I529+I530+I532+I533+I535+I536+I538+I539+I541+I542+I543+I544+I545+I547+I548+I550+I551+I552+I554+I555+I557+I558+I560+I561+I563+I564+I566+I567+I569+I570+I571+I573+I574+I576+I577+I579+I580+I582+I583+I585+I586+I587+I589+I590+I591+I593+I594+I596+I597+I598+I599+I600+I601+I602+I603+I604+I605+I606+I607+I608+I610+I611+I613+I614+I615+I616+I617+I618+I620+I621+I623+I624+I626+I627+I629+I630+I632+I633+I635+I636+I637+I639+I640+I642+I643+I645+I646+I648+I649+I650+I651+I653+I654+I656+I657+I658+I660+I661+I663+I664+I665+I667+I668+I670+I671+I672+I674+I675+I677+I678+I680+I681+I683+I684+I686+I687+I689+I690+I692+I693+I695+I696+I698+I699+I701+I702+I703+I705+I706+I708+I709+I711+I712+I714+I715+I716+I718+I719+I721+I722+I723+I724+I725+I726+I727+I728+I729+I731+I732+I734+I735+I737+I738+I740+I741+I743+I744+I746+I747+I749+I750+I751+I753+I754+I756+I757+I758+I760+I761+I763+I764+I765+I767+I768+I770+I771+I773+I774+I776+I777+I778+I780+I781+I783+I784+I785+I787+I788+I790+I791+I793+I794+I796+I797+I798+I800+I801+I803+I804+I805+I807+I808+I810+I811+I813+I814+I816+I817+I819+I820+I822+I823+I824+I826+I827+I829+I830+I831+I832+I833+I834+I836+I837+I839+I840+I841+I842+I843+I845+I846+I848+I849+I851+I852+I854+I855+I857+I858+I860+I861+I863+I864+I866+I867+I869+I870+I872+I873+I875+I876+I878+I879+I880+I881+I882+I883+I885+I886+I888+I889+I890+I891+I892+I893+I894+I895+I896+I897+I898+I899+I900+I902+I903+I904+I905+I906+I907+I908+I909+I910+I911+I912+I913+I914+I916+I917+I918+I919+I920+I921+I922+I923+I924+I926+I927+I928+I929+I930+I931+I932+I933+I934+I935+I936+I937+I938+I940+I941+I942+I943+I944+I945+I946+I947+I948+I949+I950+I951+I952+I954+I955+I956+I957+I958+I959+I960+I961+I962+I964+I965+I966+I967+I968+I969+I970+I971+I972+I974+I975+I976+I977+I978+I979+I980+I981+I982+I983+I984+I985+I986+I988+I989+I990+I991+I992+I993+I994+I995+I996+I997+I998+I999+I1000+I1002+I1003+I1004+I1005+I1006+I1007+I1008+I1009+I1010+I1012+I1013+I1014+I1015+I1016+I1017+I1018+I1019+I1020+I1022+I1023+I1024+I1025+I1026+I1027+I1028+I1029+I1030+I1031+I1032+I1033+I1034+I1036+I1037+I1038+I1039+I1040+I1041+I1042+I1043+I1044+I1045+I1046+I1047+I1048+I1050+I1051+I1052+I1053+I1054+I1055+I1056+I1057+I1058+I1059+I1061+I1062+I1063+I1064+I1065+I1066+I1067+I1068+I1069+I1070+I1072+I1073+I1074+I1075+I1076+I1077+I1078+I1079+I1080+I1081+I1083+I1084+I1085+I1086+I1087+I1088+I1089+I1090+I1091+I1092+I1094+I1095+I1096+I1097+I1098+I1099+I1100+I1101+I1102+I1103+I1105+I1106+I1107+I1108+I1109+I1110+I1111+I1112+I1113+I1114+I1116+I1117+I1118+I1119+I1120+I1121+I1122+I1123+I1124+I1125+I1127+I1128+I1129+I1130+I1131+I1132+I1133+I1134+I1135+I1136+I1138+I1139+I1140+I1141+I1142+I1143+I1144+I1145+I1146+I1147+I1149+I1150+I1151+I1152+I1154+I1155+I1156+I1157+I1158+I1159+I1160+I1161+I1162+I1164+I1165+I1166+I1167+I1168+I1169+I1170+I1171+I1172+I1173+I1175+I1176+I1177+I1178+I1179+I1180+I1181+I1182+I1183+I1184+I1186+I1187+I1188+I1189+I1190+I1191+I1192+I1193+I1194+I1196+I1197+I1198+I1199+I1200+I1201+I1202+I1203+I1204+I1205+I1207+I1208+I1209+I1210+I1211+I1212+I1213+I1214+I1215+I1216+I1218+I1219+I1220+I1221+I1222+I1223+I1224+I1225+I1226+I1227+I1229+I1230+I1231+I1232+I1233+I1234+I1235+I1236+I1237+I1238+I1240+I1241+I1242+I1243+I1244+I1245+I1246+I1247+I1248+I1250+I1251+I1252+I1253+I1255+I1256+I1257+I1258+I1259+I1260+I1261+I1264+I1265+I1266+I1267+I1269+I1270+I1271+I1272+I1274+I1275+I1276+I1277+I1279+I1280+I1281+I1282+I1284+I1285+I1286+I1287+I1289+I1290+I1291+I1292+I1294+I1295+I1296+I1297+I1299+I1300+I1301+I1303+I1304+I1305+I1306+I1308+I1309+I1310+I1311+I1313+I1314+I1315+I1316+I1318+I1319+I1320+I1321+I1322+I1324+I1325+I1326+I1327+I1328+I1330+I1331+I1332+I1333+I1334+I1336+I1337+I1338+I1339+I1340+I1342+I1343+I1344+I1345+I1346+I1348+I1349+I1350+I1351+I1353+I1354+I1355+I1356+I1357+I1359+I1360+I1361+I1362+I1363+I1365+I1366+I1367+I1368+I1370+I1371+I1372+I1373+I1375+I1376+I1377+I1378+I1380+I1381+I1382+I1383+I1385+I1386+I1387+I1388+I1390+I1391+I1392+I1393+I1395+I1396+I1397+I1398+I1400+I1401+I1402+I1403+I1404+I1406+I1407+I1408+I1409+I1411+I1412+I1413+I1414+I1415+I1417+I1418+I1419+I1420+I1421+I1422+I1423+I1424+I1425+I1426+I1428+I1429+I1430+I1431+I1432+I1433+I1434+I1436+I1437+I1438+I1439+I1440+I1441+I1443+I1444+I1445+I1447+I1448+I1449+I1451+I1452+I1453+I1455+I1456+I1457+I1459+I1460+I1461+I1463+I1464+I1465+I1466+I1467+I1469+I1470+I1471+I1473+I1474+I1475+I1477+I1478+I1479+I1481+I1482+I1483+I1485+I1486+I1487+I1489+I1490+I1491+I1493+I1494+I1495+I1497+I1498+I1499+I1501+I1502+I1503+I1505+I1506+I1507+I1509+I1510+I1511+I1513+I1514+I1515</f>
        <v>-1540882960</v>
      </c>
    </row>
    <row r="1517" spans="1:9" ht="25" x14ac:dyDescent="0.2">
      <c r="A1517" s="5" t="s">
        <v>1</v>
      </c>
      <c r="I1517" s="4">
        <f>I12+I22+I1516</f>
        <v>3684159066</v>
      </c>
    </row>
    <row r="1521" spans="1:8" x14ac:dyDescent="0.2">
      <c r="A1521" s="3" t="s">
        <v>0</v>
      </c>
      <c r="B1521" s="2"/>
      <c r="C1521" s="2"/>
      <c r="D1521" s="2"/>
      <c r="E1521" s="2"/>
      <c r="F1521" s="2"/>
      <c r="G1521" s="2"/>
      <c r="H1521" s="2"/>
    </row>
  </sheetData>
  <autoFilter ref="A5:I1517" xr:uid="{EB0E295F-D8C2-46D5-AB95-B00DBD650388}"/>
  <mergeCells count="4">
    <mergeCell ref="A1:H1"/>
    <mergeCell ref="A2:H2"/>
    <mergeCell ref="A3:H3"/>
    <mergeCell ref="A1521:H15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2026-01-14T14:30:01Z</dcterms:created>
  <dcterms:modified xsi:type="dcterms:W3CDTF">2026-01-14T14:30:15Z</dcterms:modified>
</cp:coreProperties>
</file>