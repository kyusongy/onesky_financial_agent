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dec_test/"/>
    </mc:Choice>
  </mc:AlternateContent>
  <xr:revisionPtr revIDLastSave="0" documentId="8_{D9DCB278-A954-3745-A2EC-ECA91DC6C717}" xr6:coauthVersionLast="47" xr6:coauthVersionMax="47" xr10:uidLastSave="{00000000-0000-0000-0000-000000000000}"/>
  <bookViews>
    <workbookView xWindow="760" yWindow="1000" windowWidth="27640" windowHeight="15520" xr2:uid="{A29DDBE1-4574-754C-9C95-1D904D56355E}"/>
  </bookViews>
  <sheets>
    <sheet name="salary allocation-v2" sheetId="1" r:id="rId1"/>
  </sheets>
  <externalReferences>
    <externalReference r:id="rId2"/>
    <externalReference r:id="rId3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_xlnm.Print_Area" localSheetId="0">'salary allocation-v2'!$A$1:$K$24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P3" i="1"/>
  <c r="Q3" i="1"/>
  <c r="R3" i="1"/>
  <c r="S3" i="1"/>
  <c r="T3" i="1"/>
  <c r="U3" i="1"/>
  <c r="V3" i="1"/>
  <c r="W3" i="1"/>
  <c r="X3" i="1"/>
  <c r="Y3" i="1"/>
  <c r="Z3" i="1"/>
  <c r="AA3" i="1"/>
  <c r="AB3" i="1"/>
  <c r="F6" i="1"/>
  <c r="K6" i="1" s="1"/>
  <c r="G6" i="1"/>
  <c r="H6" i="1"/>
  <c r="J6" i="1"/>
  <c r="O6" i="1"/>
  <c r="P6" i="1"/>
  <c r="Q6" i="1"/>
  <c r="AC6" i="1" s="1"/>
  <c r="R6" i="1"/>
  <c r="S6" i="1"/>
  <c r="T6" i="1"/>
  <c r="U6" i="1"/>
  <c r="V6" i="1"/>
  <c r="W6" i="1"/>
  <c r="X6" i="1"/>
  <c r="Y6" i="1"/>
  <c r="Z6" i="1"/>
  <c r="AA6" i="1"/>
  <c r="AB6" i="1"/>
  <c r="A7" i="1"/>
  <c r="F7" i="1"/>
  <c r="G7" i="1"/>
  <c r="H7" i="1"/>
  <c r="J7" i="1"/>
  <c r="K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E7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F8" i="1"/>
  <c r="G8" i="1"/>
  <c r="H8" i="1"/>
  <c r="K8" i="1" s="1"/>
  <c r="J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H8" i="1" s="1"/>
  <c r="AF8" i="1"/>
  <c r="AG8" i="1"/>
  <c r="F9" i="1"/>
  <c r="K9" i="1" s="1"/>
  <c r="G9" i="1"/>
  <c r="H9" i="1"/>
  <c r="J9" i="1"/>
  <c r="O9" i="1"/>
  <c r="P9" i="1"/>
  <c r="Q9" i="1"/>
  <c r="R9" i="1"/>
  <c r="S9" i="1"/>
  <c r="T9" i="1"/>
  <c r="U9" i="1"/>
  <c r="V9" i="1"/>
  <c r="W9" i="1"/>
  <c r="AC9" i="1" s="1"/>
  <c r="X9" i="1"/>
  <c r="Y9" i="1"/>
  <c r="Z9" i="1"/>
  <c r="AA9" i="1"/>
  <c r="AB9" i="1"/>
  <c r="F10" i="1"/>
  <c r="G10" i="1"/>
  <c r="H10" i="1"/>
  <c r="J10" i="1"/>
  <c r="K10" i="1"/>
  <c r="O10" i="1"/>
  <c r="P10" i="1"/>
  <c r="Q10" i="1"/>
  <c r="R10" i="1"/>
  <c r="S10" i="1"/>
  <c r="T10" i="1"/>
  <c r="U10" i="1"/>
  <c r="V10" i="1"/>
  <c r="W10" i="1"/>
  <c r="AC10" i="1" s="1"/>
  <c r="X10" i="1"/>
  <c r="Y10" i="1"/>
  <c r="Z10" i="1"/>
  <c r="AA10" i="1"/>
  <c r="AB10" i="1"/>
  <c r="F11" i="1"/>
  <c r="K11" i="1" s="1"/>
  <c r="G11" i="1"/>
  <c r="H11" i="1"/>
  <c r="J11" i="1"/>
  <c r="O11" i="1"/>
  <c r="P11" i="1"/>
  <c r="Q11" i="1"/>
  <c r="R11" i="1"/>
  <c r="AC11" i="1" s="1"/>
  <c r="S11" i="1"/>
  <c r="T11" i="1"/>
  <c r="U11" i="1"/>
  <c r="V11" i="1"/>
  <c r="W11" i="1"/>
  <c r="X11" i="1"/>
  <c r="Y11" i="1"/>
  <c r="Z11" i="1"/>
  <c r="AA11" i="1"/>
  <c r="AB11" i="1"/>
  <c r="F12" i="1"/>
  <c r="K12" i="1" s="1"/>
  <c r="G12" i="1"/>
  <c r="H12" i="1"/>
  <c r="J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 s="1"/>
  <c r="AJ12" i="1" s="1"/>
  <c r="AK12" i="1" s="1"/>
  <c r="F13" i="1"/>
  <c r="G13" i="1"/>
  <c r="K13" i="1" s="1"/>
  <c r="H13" i="1"/>
  <c r="J13" i="1"/>
  <c r="O13" i="1"/>
  <c r="P13" i="1"/>
  <c r="Q13" i="1"/>
  <c r="R13" i="1"/>
  <c r="S13" i="1"/>
  <c r="T13" i="1"/>
  <c r="U13" i="1"/>
  <c r="V13" i="1"/>
  <c r="W13" i="1"/>
  <c r="AC13" i="1" s="1"/>
  <c r="X13" i="1"/>
  <c r="Y13" i="1"/>
  <c r="Z13" i="1"/>
  <c r="AA13" i="1"/>
  <c r="AB13" i="1"/>
  <c r="F14" i="1"/>
  <c r="K14" i="1" s="1"/>
  <c r="G14" i="1"/>
  <c r="H14" i="1"/>
  <c r="O14" i="1"/>
  <c r="P14" i="1"/>
  <c r="Q14" i="1"/>
  <c r="AC14" i="1" s="1"/>
  <c r="R14" i="1"/>
  <c r="S14" i="1"/>
  <c r="T14" i="1"/>
  <c r="U14" i="1"/>
  <c r="V14" i="1"/>
  <c r="W14" i="1"/>
  <c r="X14" i="1"/>
  <c r="Y14" i="1"/>
  <c r="Z14" i="1"/>
  <c r="AA14" i="1"/>
  <c r="AB14" i="1"/>
  <c r="F15" i="1"/>
  <c r="G15" i="1"/>
  <c r="H15" i="1"/>
  <c r="J15" i="1"/>
  <c r="K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F15" i="1" s="1"/>
  <c r="AD15" i="1"/>
  <c r="AJ15" i="1" s="1"/>
  <c r="AK15" i="1" s="1"/>
  <c r="AE15" i="1"/>
  <c r="AH15" i="1"/>
  <c r="AI15" i="1"/>
  <c r="F16" i="1"/>
  <c r="K16" i="1" s="1"/>
  <c r="G16" i="1"/>
  <c r="H16" i="1"/>
  <c r="J16" i="1"/>
  <c r="O16" i="1"/>
  <c r="P16" i="1"/>
  <c r="Q16" i="1"/>
  <c r="AC16" i="1" s="1"/>
  <c r="R16" i="1"/>
  <c r="S16" i="1"/>
  <c r="T16" i="1"/>
  <c r="U16" i="1"/>
  <c r="V16" i="1"/>
  <c r="W16" i="1"/>
  <c r="X16" i="1"/>
  <c r="Y16" i="1"/>
  <c r="Z16" i="1"/>
  <c r="AA16" i="1"/>
  <c r="AB16" i="1"/>
  <c r="F17" i="1"/>
  <c r="K17" i="1" s="1"/>
  <c r="G17" i="1"/>
  <c r="H17" i="1"/>
  <c r="J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 s="1"/>
  <c r="AJ17" i="1" s="1"/>
  <c r="AK17" i="1" s="1"/>
  <c r="F18" i="1"/>
  <c r="G18" i="1"/>
  <c r="K18" i="1" s="1"/>
  <c r="H18" i="1"/>
  <c r="J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G18" i="1" s="1"/>
  <c r="AD18" i="1"/>
  <c r="AE18" i="1"/>
  <c r="AF18" i="1"/>
  <c r="AH18" i="1"/>
  <c r="AI18" i="1"/>
  <c r="AJ18" i="1"/>
  <c r="AK18" i="1" s="1"/>
  <c r="F19" i="1"/>
  <c r="K19" i="1" s="1"/>
  <c r="G19" i="1"/>
  <c r="H19" i="1"/>
  <c r="J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F19" i="1" s="1"/>
  <c r="AD19" i="1"/>
  <c r="AJ19" i="1" s="1"/>
  <c r="AK19" i="1" s="1"/>
  <c r="AE19" i="1"/>
  <c r="AG19" i="1"/>
  <c r="AH19" i="1"/>
  <c r="AI19" i="1"/>
  <c r="F20" i="1"/>
  <c r="K20" i="1" s="1"/>
  <c r="G20" i="1"/>
  <c r="H20" i="1"/>
  <c r="J20" i="1"/>
  <c r="O20" i="1"/>
  <c r="P20" i="1"/>
  <c r="Q20" i="1"/>
  <c r="R20" i="1"/>
  <c r="AC20" i="1" s="1"/>
  <c r="S20" i="1"/>
  <c r="T20" i="1"/>
  <c r="U20" i="1"/>
  <c r="V20" i="1"/>
  <c r="W20" i="1"/>
  <c r="X20" i="1"/>
  <c r="Y20" i="1"/>
  <c r="Z20" i="1"/>
  <c r="AA20" i="1"/>
  <c r="AB20" i="1"/>
  <c r="F21" i="1"/>
  <c r="G21" i="1"/>
  <c r="K21" i="1" s="1"/>
  <c r="H21" i="1"/>
  <c r="J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H21" i="1" s="1"/>
  <c r="F22" i="1"/>
  <c r="K22" i="1" s="1"/>
  <c r="G22" i="1"/>
  <c r="H22" i="1"/>
  <c r="J22" i="1"/>
  <c r="O22" i="1"/>
  <c r="P22" i="1"/>
  <c r="AC22" i="1" s="1"/>
  <c r="Q22" i="1"/>
  <c r="R22" i="1"/>
  <c r="S22" i="1"/>
  <c r="T22" i="1"/>
  <c r="U22" i="1"/>
  <c r="V22" i="1"/>
  <c r="W22" i="1"/>
  <c r="X22" i="1"/>
  <c r="Y22" i="1"/>
  <c r="Z22" i="1"/>
  <c r="AA22" i="1"/>
  <c r="AB22" i="1"/>
  <c r="P24" i="1"/>
  <c r="AC24" i="1" s="1"/>
  <c r="Q24" i="1"/>
  <c r="R24" i="1"/>
  <c r="W24" i="1"/>
  <c r="AD9" i="1" l="1"/>
  <c r="AJ9" i="1" s="1"/>
  <c r="AK9" i="1" s="1"/>
  <c r="AE9" i="1"/>
  <c r="AF9" i="1"/>
  <c r="AG9" i="1"/>
  <c r="AH9" i="1"/>
  <c r="AI9" i="1"/>
  <c r="AE20" i="1"/>
  <c r="AF20" i="1"/>
  <c r="AG20" i="1"/>
  <c r="AH20" i="1"/>
  <c r="AI20" i="1"/>
  <c r="AD20" i="1"/>
  <c r="AJ20" i="1" s="1"/>
  <c r="AK20" i="1" s="1"/>
  <c r="AF10" i="1"/>
  <c r="AG10" i="1"/>
  <c r="AH10" i="1"/>
  <c r="AI10" i="1"/>
  <c r="AD10" i="1"/>
  <c r="AJ10" i="1" s="1"/>
  <c r="AK10" i="1" s="1"/>
  <c r="AE10" i="1"/>
  <c r="AI16" i="1"/>
  <c r="AD16" i="1"/>
  <c r="AJ16" i="1" s="1"/>
  <c r="AK16" i="1" s="1"/>
  <c r="AE16" i="1"/>
  <c r="AF16" i="1"/>
  <c r="AG16" i="1"/>
  <c r="AH16" i="1"/>
  <c r="AI11" i="1"/>
  <c r="AD11" i="1"/>
  <c r="AJ11" i="1" s="1"/>
  <c r="AK11" i="1" s="1"/>
  <c r="AE11" i="1"/>
  <c r="AF11" i="1"/>
  <c r="AG11" i="1"/>
  <c r="AH11" i="1"/>
  <c r="AD14" i="1"/>
  <c r="AJ14" i="1" s="1"/>
  <c r="AK14" i="1" s="1"/>
  <c r="AE14" i="1"/>
  <c r="AF14" i="1"/>
  <c r="AG14" i="1"/>
  <c r="AH14" i="1"/>
  <c r="AI14" i="1"/>
  <c r="AD6" i="1"/>
  <c r="AE6" i="1"/>
  <c r="AE24" i="1" s="1"/>
  <c r="AF6" i="1"/>
  <c r="AF24" i="1" s="1"/>
  <c r="AG6" i="1"/>
  <c r="AG24" i="1" s="1"/>
  <c r="AH6" i="1"/>
  <c r="AH24" i="1" s="1"/>
  <c r="AI6" i="1"/>
  <c r="AI24" i="1" s="1"/>
  <c r="AG13" i="1"/>
  <c r="AH13" i="1"/>
  <c r="AI13" i="1"/>
  <c r="AD13" i="1"/>
  <c r="AJ13" i="1" s="1"/>
  <c r="AK13" i="1" s="1"/>
  <c r="AE13" i="1"/>
  <c r="AF13" i="1"/>
  <c r="AD22" i="1"/>
  <c r="AJ22" i="1" s="1"/>
  <c r="AK22" i="1" s="1"/>
  <c r="AE22" i="1"/>
  <c r="AF22" i="1"/>
  <c r="AG22" i="1"/>
  <c r="AH22" i="1"/>
  <c r="AI22" i="1"/>
  <c r="AG21" i="1"/>
  <c r="AD7" i="1"/>
  <c r="AJ7" i="1" s="1"/>
  <c r="AK7" i="1" s="1"/>
  <c r="AF21" i="1"/>
  <c r="AE21" i="1"/>
  <c r="AI17" i="1"/>
  <c r="AI12" i="1"/>
  <c r="AE8" i="1"/>
  <c r="AD21" i="1"/>
  <c r="AJ21" i="1" s="1"/>
  <c r="AK21" i="1" s="1"/>
  <c r="AH17" i="1"/>
  <c r="AH12" i="1"/>
  <c r="AD8" i="1"/>
  <c r="AJ8" i="1" s="1"/>
  <c r="AK8" i="1" s="1"/>
  <c r="AI7" i="1"/>
  <c r="AG17" i="1"/>
  <c r="AG12" i="1"/>
  <c r="AH7" i="1"/>
  <c r="AF17" i="1"/>
  <c r="AF12" i="1"/>
  <c r="AG7" i="1"/>
  <c r="AI21" i="1"/>
  <c r="AE17" i="1"/>
  <c r="AG15" i="1"/>
  <c r="AE12" i="1"/>
  <c r="AI8" i="1"/>
  <c r="AF7" i="1"/>
  <c r="AJ6" i="1" l="1"/>
  <c r="AD24" i="1"/>
  <c r="AJ24" i="1" l="1"/>
  <c r="AK6" i="1"/>
</calcChain>
</file>

<file path=xl/sharedStrings.xml><?xml version="1.0" encoding="utf-8"?>
<sst xmlns="http://schemas.openxmlformats.org/spreadsheetml/2006/main" count="103" uniqueCount="63">
  <si>
    <t>Vietnam Tax Company</t>
  </si>
  <si>
    <t>100% ELC</t>
  </si>
  <si>
    <t>Alice Do Kim Dung</t>
  </si>
  <si>
    <t>ELC</t>
  </si>
  <si>
    <t>Phan Thi Thảo Nguyên</t>
  </si>
  <si>
    <t>Pham Thi  Dieu Loan</t>
  </si>
  <si>
    <t>HBC</t>
  </si>
  <si>
    <t>Tran Thi Que Chi</t>
  </si>
  <si>
    <t>Bui Thi Huong</t>
  </si>
  <si>
    <t>Phan Thi Thao Nguyen</t>
  </si>
  <si>
    <t>Support</t>
  </si>
  <si>
    <t>Huynh My Ngoc</t>
  </si>
  <si>
    <t>Nguyen Thi Thanh Thanh</t>
  </si>
  <si>
    <t>Le Thi Thu Huyen</t>
  </si>
  <si>
    <t>Dang Thanh Canh</t>
  </si>
  <si>
    <t>Truong Thi Hai</t>
  </si>
  <si>
    <t>Nguyen Hong Kim</t>
  </si>
  <si>
    <t>Maggie Huyen Nguyen</t>
  </si>
  <si>
    <t>Thuy Thi Bich Thuy Tran</t>
  </si>
  <si>
    <t>MOET</t>
  </si>
  <si>
    <t>Phan Doan Kim Nhung</t>
  </si>
  <si>
    <t>done</t>
  </si>
  <si>
    <t>Hoang Thi Kieu Oanh</t>
  </si>
  <si>
    <t>100% MOET</t>
  </si>
  <si>
    <t>Sophie Nguyen Thi Bao Nhung</t>
  </si>
  <si>
    <t>Que Chi</t>
  </si>
  <si>
    <t>Hien Thi Hien Vo</t>
  </si>
  <si>
    <t>Total</t>
  </si>
  <si>
    <t>Dự án tập huấn toàn quốc/ National Training</t>
  </si>
  <si>
    <t>ICC Qng</t>
  </si>
  <si>
    <t>ICC HD</t>
  </si>
  <si>
    <t>ICC QN</t>
  </si>
  <si>
    <t>ICC DN</t>
  </si>
  <si>
    <t>ELC training</t>
  </si>
  <si>
    <t>MOET BG</t>
  </si>
  <si>
    <t>MOET BN</t>
  </si>
  <si>
    <t>MOET BD</t>
  </si>
  <si>
    <t>MOET HCM</t>
  </si>
  <si>
    <t>MOET LA</t>
  </si>
  <si>
    <t>QNg ICC</t>
  </si>
  <si>
    <t>HD ICC</t>
  </si>
  <si>
    <t>QN ICC</t>
  </si>
  <si>
    <t>DN ICC</t>
  </si>
  <si>
    <t>General VN</t>
  </si>
  <si>
    <t>In support</t>
  </si>
  <si>
    <t>ELC Operation</t>
  </si>
  <si>
    <t>Month</t>
  </si>
  <si>
    <t>Portion</t>
  </si>
  <si>
    <t>Note</t>
  </si>
  <si>
    <t>Salary Allocation 2024</t>
  </si>
  <si>
    <t>Group</t>
  </si>
  <si>
    <t>STT</t>
  </si>
  <si>
    <t>Allocation</t>
  </si>
  <si>
    <t>Current booking</t>
  </si>
  <si>
    <t>6 Unit</t>
  </si>
  <si>
    <t>VNMOET</t>
  </si>
  <si>
    <t>VNQNg</t>
  </si>
  <si>
    <t>VNHD</t>
  </si>
  <si>
    <t>VNQN</t>
  </si>
  <si>
    <t>VNDN</t>
  </si>
  <si>
    <t>VNELC</t>
  </si>
  <si>
    <t>Salary Allocation Projection - PACCOM report
Period: Sep 2025 - Dec 2025</t>
  </si>
  <si>
    <t>OneSky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</si>
</sst>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1"/>
    <xf numFmtId="0" fontId="2" fillId="0" borderId="0" xfId="1" applyFont="1"/>
    <xf numFmtId="164" fontId="2" fillId="0" borderId="1" xfId="1" applyNumberFormat="1" applyFont="1" applyBorder="1"/>
    <xf numFmtId="164" fontId="2" fillId="0" borderId="1" xfId="2" applyNumberFormat="1" applyFont="1" applyBorder="1"/>
    <xf numFmtId="0" fontId="2" fillId="0" borderId="1" xfId="1" applyFont="1" applyBorder="1"/>
    <xf numFmtId="9" fontId="2" fillId="0" borderId="1" xfId="1" applyNumberFormat="1" applyFont="1" applyBorder="1" applyAlignment="1">
      <alignment horizontal="center"/>
    </xf>
    <xf numFmtId="9" fontId="2" fillId="0" borderId="1" xfId="3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0" fontId="2" fillId="0" borderId="3" xfId="1" applyFont="1" applyBorder="1"/>
    <xf numFmtId="0" fontId="1" fillId="0" borderId="3" xfId="1" applyBorder="1"/>
    <xf numFmtId="164" fontId="2" fillId="0" borderId="3" xfId="1" applyNumberFormat="1" applyFont="1" applyBorder="1"/>
    <xf numFmtId="164" fontId="0" fillId="0" borderId="3" xfId="2" applyNumberFormat="1" applyFont="1" applyBorder="1"/>
    <xf numFmtId="0" fontId="1" fillId="0" borderId="4" xfId="1" applyBorder="1"/>
    <xf numFmtId="9" fontId="1" fillId="0" borderId="4" xfId="1" applyNumberFormat="1" applyBorder="1" applyAlignment="1">
      <alignment horizontal="center"/>
    </xf>
    <xf numFmtId="9" fontId="0" fillId="0" borderId="4" xfId="3" applyFont="1" applyFill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/>
    <xf numFmtId="164" fontId="1" fillId="0" borderId="0" xfId="1" applyNumberFormat="1"/>
    <xf numFmtId="9" fontId="1" fillId="0" borderId="3" xfId="1" applyNumberFormat="1" applyBorder="1" applyAlignment="1">
      <alignment horizontal="center"/>
    </xf>
    <xf numFmtId="9" fontId="0" fillId="0" borderId="3" xfId="3" applyFont="1" applyFill="1" applyBorder="1" applyAlignment="1">
      <alignment horizontal="center"/>
    </xf>
    <xf numFmtId="164" fontId="2" fillId="0" borderId="6" xfId="1" applyNumberFormat="1" applyFont="1" applyBorder="1"/>
    <xf numFmtId="164" fontId="0" fillId="0" borderId="6" xfId="2" applyNumberFormat="1" applyFont="1" applyBorder="1"/>
    <xf numFmtId="0" fontId="1" fillId="0" borderId="0" xfId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1" fillId="0" borderId="11" xfId="1" applyBorder="1" applyAlignment="1">
      <alignment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horizontal="center"/>
    </xf>
  </cellXfs>
  <cellStyles count="4">
    <cellStyle name="Comma 2" xfId="2" xr:uid="{F11AE353-94E1-6143-876E-E7A04713544A}"/>
    <cellStyle name="Normal" xfId="0" builtinId="0"/>
    <cellStyle name="Normal 2" xfId="1" xr:uid="{5A71382F-0FDC-F54A-A3B4-7BFC831514E5}"/>
    <cellStyle name="Percent 2" xfId="3" xr:uid="{4B895244-A478-514A-9E41-EC7CA183D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Relationship Id="rId1" Type="http://schemas.openxmlformats.org/officeDocument/2006/relationships/externalLinkPath" Target="https://halfthesky-my.sharepoint.com/personal/nguyen_phan_onesky_org/Documents/Desktop/1.%20Cash%20&amp;%20General%20Ledger%202025_31%20Dec%202025_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Downloads/Dec%202025_Raw%20data_AI%20working%20%20(1).xlsx" TargetMode="External"/><Relationship Id="rId1" Type="http://schemas.openxmlformats.org/officeDocument/2006/relationships/externalLinkPath" Target="/Users/kyle/Downloads/Dec%202025_Raw%20data_AI%20working%2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otes"/>
      <sheetName val="Summary"/>
      <sheetName val="cost allocation"/>
      <sheetName val="C&amp;G Ledger_allocation"/>
      <sheetName val="Summary_k phan bo"/>
      <sheetName val="Jan 25"/>
      <sheetName val="Advance Ledger 2024"/>
      <sheetName val="PIT+SI payment"/>
      <sheetName val="salary allocation"/>
      <sheetName val="C&amp;G Ledger_k Phan bo"/>
      <sheetName val="salary allocation-v2"/>
      <sheetName val="C&amp;G Oct25"/>
      <sheetName val="C&amp;G Sep25"/>
      <sheetName val="C&amp;G Aug25"/>
      <sheetName val="C&amp;G_Jan25"/>
      <sheetName val="C&amp;G_Feb25"/>
      <sheetName val="C&amp;G_Mar25"/>
      <sheetName val="C&amp;G Apr25"/>
      <sheetName val="C&amp;G May25"/>
      <sheetName val="C&amp;G Jun25"/>
      <sheetName val="Advance Ledger 2025"/>
      <sheetName val="Allocation rate"/>
      <sheetName val="Tổng hợp"/>
      <sheetName val="Lũy kế_ DN"/>
      <sheetName val="Báo cáo PACCOM"/>
      <sheetName val="Fund_sacombank"/>
      <sheetName val="Child #"/>
      <sheetName val="Commitment"/>
      <sheetName val="Sheet3"/>
    </sheetNames>
    <sheetDataSet>
      <sheetData sheetId="0"/>
      <sheetData sheetId="1"/>
      <sheetData sheetId="2"/>
      <sheetData sheetId="3"/>
      <sheetData sheetId="4">
        <row r="4"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</row>
        <row r="5"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</row>
        <row r="7">
          <cell r="AP7" t="str">
            <v>ELC</v>
          </cell>
          <cell r="AQ7" t="str">
            <v>VNELC</v>
          </cell>
          <cell r="AR7" t="str">
            <v>VNOther</v>
          </cell>
          <cell r="AS7" t="str">
            <v>VNHBC</v>
          </cell>
          <cell r="AT7" t="str">
            <v>VNDN</v>
          </cell>
          <cell r="AU7" t="str">
            <v>VNQN</v>
          </cell>
          <cell r="AV7" t="str">
            <v>VNHD</v>
          </cell>
          <cell r="AW7" t="str">
            <v>VNQNg</v>
          </cell>
          <cell r="AX7" t="str">
            <v>VNMOET</v>
          </cell>
          <cell r="AY7" t="str">
            <v>VNLA</v>
          </cell>
          <cell r="AZ7" t="str">
            <v>VNHCM</v>
          </cell>
          <cell r="BA7" t="str">
            <v>VNBD</v>
          </cell>
          <cell r="BB7" t="str">
            <v>VNBN</v>
          </cell>
          <cell r="BC7" t="str">
            <v>VNBG</v>
          </cell>
        </row>
        <row r="8">
          <cell r="AP8" t="str">
            <v>BY PROVINCES</v>
          </cell>
        </row>
        <row r="9">
          <cell r="A9" t="str">
            <v>Period</v>
          </cell>
          <cell r="H9" t="str">
            <v>Name</v>
          </cell>
          <cell r="AP9" t="str">
            <v>ELC Operation</v>
          </cell>
          <cell r="AQ9" t="str">
            <v>ELC training</v>
          </cell>
          <cell r="AR9" t="str">
            <v>In support</v>
          </cell>
          <cell r="AS9" t="str">
            <v>General VN</v>
          </cell>
          <cell r="AT9" t="str">
            <v>DN ICC</v>
          </cell>
          <cell r="AU9" t="str">
            <v>QN ICC</v>
          </cell>
          <cell r="AV9" t="str">
            <v>HD ICC</v>
          </cell>
          <cell r="AW9" t="str">
            <v>QNg ICC</v>
          </cell>
          <cell r="AX9" t="str">
            <v>MOET</v>
          </cell>
          <cell r="AY9" t="str">
            <v>MOET LA</v>
          </cell>
          <cell r="AZ9" t="str">
            <v>MOET HCM</v>
          </cell>
          <cell r="BA9" t="str">
            <v>MOET BD</v>
          </cell>
          <cell r="BB9" t="str">
            <v>MOET BN</v>
          </cell>
          <cell r="BC9" t="str">
            <v>MOET BG</v>
          </cell>
        </row>
        <row r="10"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C10">
            <v>0</v>
          </cell>
        </row>
        <row r="11">
          <cell r="A11" t="str">
            <v>122025</v>
          </cell>
          <cell r="AP11">
            <v>8682821997</v>
          </cell>
          <cell r="AQ11">
            <v>1731328985.1999996</v>
          </cell>
          <cell r="AR11">
            <v>1138155524</v>
          </cell>
          <cell r="AS11">
            <v>122731188</v>
          </cell>
          <cell r="AT11">
            <v>2835319994.98</v>
          </cell>
          <cell r="AU11">
            <v>2545794943.98</v>
          </cell>
          <cell r="AV11">
            <v>1784427338.9799988</v>
          </cell>
          <cell r="AW11">
            <v>683087</v>
          </cell>
          <cell r="AX11">
            <v>6078097932.8600016</v>
          </cell>
          <cell r="AY11">
            <v>231530688</v>
          </cell>
          <cell r="AZ11">
            <v>259494562</v>
          </cell>
          <cell r="BA11">
            <v>0</v>
          </cell>
          <cell r="BB11">
            <v>189104829</v>
          </cell>
          <cell r="BC11">
            <v>475745</v>
          </cell>
        </row>
        <row r="12">
          <cell r="A12" t="str">
            <v>122025</v>
          </cell>
          <cell r="AP12">
            <v>0</v>
          </cell>
          <cell r="AQ12">
            <v>32619432.5</v>
          </cell>
          <cell r="AR12">
            <v>65291555</v>
          </cell>
          <cell r="AS12">
            <v>-1613526</v>
          </cell>
          <cell r="AT12">
            <v>199152287.72000003</v>
          </cell>
          <cell r="AU12">
            <v>188628514.72000003</v>
          </cell>
          <cell r="AV12">
            <v>-24300806.279999986</v>
          </cell>
          <cell r="AW12">
            <v>0</v>
          </cell>
          <cell r="AX12">
            <v>641612943.34000003</v>
          </cell>
          <cell r="AY12">
            <v>18453250</v>
          </cell>
          <cell r="AZ12">
            <v>116709196</v>
          </cell>
          <cell r="BA12">
            <v>0</v>
          </cell>
          <cell r="BB12">
            <v>38036342</v>
          </cell>
          <cell r="BC12">
            <v>0</v>
          </cell>
        </row>
        <row r="13">
          <cell r="A13" t="str">
            <v>122025</v>
          </cell>
          <cell r="AP13">
            <v>8682821997</v>
          </cell>
          <cell r="AQ13">
            <v>1763948417.6999996</v>
          </cell>
          <cell r="AR13">
            <v>1203447079</v>
          </cell>
          <cell r="AS13">
            <v>121117662</v>
          </cell>
          <cell r="AT13">
            <v>3034472282.6999998</v>
          </cell>
          <cell r="AU13">
            <v>2734423458.6999998</v>
          </cell>
          <cell r="AV13">
            <v>1760126532.6999989</v>
          </cell>
          <cell r="AW13">
            <v>683087</v>
          </cell>
          <cell r="AX13">
            <v>6719710876.2000017</v>
          </cell>
          <cell r="AY13">
            <v>249983938</v>
          </cell>
          <cell r="AZ13">
            <v>376203758</v>
          </cell>
          <cell r="BA13">
            <v>0</v>
          </cell>
          <cell r="BB13">
            <v>227141171</v>
          </cell>
          <cell r="BC13">
            <v>475745</v>
          </cell>
        </row>
        <row r="14">
          <cell r="A14" t="str">
            <v>122025</v>
          </cell>
          <cell r="AP14">
            <v>0</v>
          </cell>
          <cell r="AQ14">
            <v>165408868</v>
          </cell>
          <cell r="AR14">
            <v>1148764419</v>
          </cell>
          <cell r="AS14">
            <v>121117662</v>
          </cell>
          <cell r="AT14">
            <v>1250037438</v>
          </cell>
          <cell r="AU14">
            <v>945808563</v>
          </cell>
          <cell r="AV14">
            <v>341727803</v>
          </cell>
          <cell r="AW14">
            <v>0</v>
          </cell>
          <cell r="AX14">
            <v>3230088640.8000002</v>
          </cell>
          <cell r="AY14">
            <v>197543616</v>
          </cell>
          <cell r="AZ14">
            <v>241615450</v>
          </cell>
          <cell r="BA14">
            <v>0</v>
          </cell>
          <cell r="BC14">
            <v>0</v>
          </cell>
        </row>
        <row r="16">
          <cell r="A16">
            <v>12025</v>
          </cell>
          <cell r="H16" t="str">
            <v>Interest earned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</row>
        <row r="17">
          <cell r="A17">
            <v>12025</v>
          </cell>
          <cell r="H17" t="str">
            <v>Nguyen Hong Kim</v>
          </cell>
          <cell r="AP17">
            <v>0</v>
          </cell>
          <cell r="AQ17">
            <v>0</v>
          </cell>
          <cell r="AR17">
            <v>13695000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</row>
        <row r="18">
          <cell r="A18">
            <v>12025</v>
          </cell>
          <cell r="H18" t="str">
            <v>Nguyen Hong Kim</v>
          </cell>
          <cell r="AP18">
            <v>0</v>
          </cell>
          <cell r="AQ18">
            <v>0</v>
          </cell>
          <cell r="AR18">
            <v>7700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</row>
        <row r="19">
          <cell r="A19">
            <v>12025</v>
          </cell>
          <cell r="H19" t="str">
            <v>Men My Company</v>
          </cell>
          <cell r="AP19">
            <v>0</v>
          </cell>
          <cell r="AQ19">
            <v>0</v>
          </cell>
          <cell r="AR19">
            <v>6235920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</row>
        <row r="20">
          <cell r="A20">
            <v>12025</v>
          </cell>
          <cell r="H20" t="str">
            <v>Men My Company</v>
          </cell>
          <cell r="AP20">
            <v>0</v>
          </cell>
          <cell r="AQ20">
            <v>0</v>
          </cell>
          <cell r="AR20">
            <v>22000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</row>
        <row r="21">
          <cell r="A21">
            <v>12025</v>
          </cell>
          <cell r="H21" t="str">
            <v>In Kien Company</v>
          </cell>
          <cell r="AP21">
            <v>0</v>
          </cell>
          <cell r="AQ21">
            <v>0</v>
          </cell>
          <cell r="AR21">
            <v>2616840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</row>
        <row r="22">
          <cell r="A22">
            <v>12025</v>
          </cell>
          <cell r="H22" t="str">
            <v>In Kien Company</v>
          </cell>
          <cell r="AP22">
            <v>0</v>
          </cell>
          <cell r="AQ22">
            <v>0</v>
          </cell>
          <cell r="AR22">
            <v>22000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</row>
        <row r="23">
          <cell r="A23">
            <v>12025</v>
          </cell>
          <cell r="H23" t="str">
            <v>OneSky Head office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</row>
        <row r="24">
          <cell r="A24">
            <v>12025</v>
          </cell>
          <cell r="H24" t="str">
            <v>OneSky Head office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</row>
        <row r="25">
          <cell r="A25">
            <v>12025</v>
          </cell>
          <cell r="H25" t="str">
            <v>OneSky Head office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</row>
        <row r="26">
          <cell r="A26">
            <v>12025</v>
          </cell>
          <cell r="H26" t="str">
            <v>Vietnam Tax Company</v>
          </cell>
          <cell r="AP26">
            <v>0</v>
          </cell>
          <cell r="AQ26">
            <v>52461976.900000006</v>
          </cell>
          <cell r="AR26">
            <v>0</v>
          </cell>
          <cell r="AS26">
            <v>0</v>
          </cell>
          <cell r="AT26">
            <v>20494578.020000003</v>
          </cell>
          <cell r="AU26">
            <v>21306967.020000003</v>
          </cell>
          <cell r="AV26">
            <v>16215438.020000001</v>
          </cell>
          <cell r="AW26">
            <v>683087</v>
          </cell>
          <cell r="AX26">
            <v>61217461.039999999</v>
          </cell>
          <cell r="AY26">
            <v>1729500</v>
          </cell>
          <cell r="AZ26">
            <v>1262495</v>
          </cell>
          <cell r="BA26">
            <v>0</v>
          </cell>
          <cell r="BB26">
            <v>163416</v>
          </cell>
          <cell r="BC26">
            <v>475745</v>
          </cell>
        </row>
        <row r="27">
          <cell r="A27">
            <v>12025</v>
          </cell>
          <cell r="H27" t="str">
            <v>Hai Duong DOET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</row>
        <row r="28">
          <cell r="A28">
            <v>12025</v>
          </cell>
          <cell r="H28" t="str">
            <v>Hai Duong DOET</v>
          </cell>
          <cell r="AP28">
            <v>0</v>
          </cell>
          <cell r="AQ28">
            <v>63925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</row>
        <row r="29">
          <cell r="A29">
            <v>12025</v>
          </cell>
          <cell r="H29" t="str">
            <v>Vietcombank</v>
          </cell>
          <cell r="AP29">
            <v>0</v>
          </cell>
          <cell r="AQ29">
            <v>110000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</row>
        <row r="30">
          <cell r="A30">
            <v>12025</v>
          </cell>
          <cell r="H30" t="str">
            <v>OneSky Head office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</row>
        <row r="31">
          <cell r="A31">
            <v>12025</v>
          </cell>
          <cell r="H31" t="str">
            <v>OneSky Head office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</row>
        <row r="32">
          <cell r="A32">
            <v>12025</v>
          </cell>
          <cell r="H32" t="str">
            <v>Huynh My Ngoc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38549682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</row>
        <row r="33">
          <cell r="A33">
            <v>12025</v>
          </cell>
          <cell r="H33" t="str">
            <v>Huynh My Ngoc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7700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</row>
        <row r="34">
          <cell r="A34">
            <v>12025</v>
          </cell>
          <cell r="H34" t="str">
            <v>Vietcombank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</row>
        <row r="35">
          <cell r="A35">
            <v>12025</v>
          </cell>
          <cell r="H35" t="str">
            <v>Bui Thi Huong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30223064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</row>
        <row r="36">
          <cell r="A36">
            <v>12025</v>
          </cell>
          <cell r="H36" t="str">
            <v>Bui Thi Huong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7700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</row>
        <row r="37">
          <cell r="A37">
            <v>12025</v>
          </cell>
          <cell r="H37" t="str">
            <v>Cong ty TNHH MTV Hop Nhat Thanh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19404000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</row>
        <row r="38">
          <cell r="A38">
            <v>12025</v>
          </cell>
          <cell r="H38" t="str">
            <v>Cong ty TNHH MTV Hop Nhat Thanh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7700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</row>
        <row r="39">
          <cell r="A39">
            <v>12025</v>
          </cell>
          <cell r="H39" t="str">
            <v>Cong ty TNHH MTV Hop Nhat Thanh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15086000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</row>
        <row r="40">
          <cell r="A40">
            <v>12025</v>
          </cell>
          <cell r="H40" t="str">
            <v>Cong ty TNHH MTV Hop Nhat Thanh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7700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</row>
        <row r="41">
          <cell r="A41">
            <v>12025</v>
          </cell>
          <cell r="H41" t="str">
            <v>Tran Thi Ngoc Duyen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5570160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</row>
        <row r="42">
          <cell r="A42">
            <v>12025</v>
          </cell>
          <cell r="H42" t="str">
            <v>Tran Thi Ngoc Duyen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7700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</row>
        <row r="43">
          <cell r="A43">
            <v>12025</v>
          </cell>
          <cell r="H43" t="str">
            <v>Bui Thi Huong</v>
          </cell>
          <cell r="AP43">
            <v>0</v>
          </cell>
          <cell r="AQ43">
            <v>0</v>
          </cell>
          <cell r="AR43">
            <v>283068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</row>
        <row r="44">
          <cell r="A44">
            <v>12025</v>
          </cell>
          <cell r="H44" t="str">
            <v>Bui Thi Huong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195699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</row>
        <row r="45">
          <cell r="A45">
            <v>12025</v>
          </cell>
          <cell r="H45" t="str">
            <v>Bui Thi Huong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7107819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</row>
        <row r="46">
          <cell r="A46">
            <v>12025</v>
          </cell>
          <cell r="H46" t="str">
            <v>Bui Thi Huong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7700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</row>
        <row r="47">
          <cell r="A47">
            <v>12025</v>
          </cell>
          <cell r="H47" t="str">
            <v>Pham Thi Huyen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1244000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</row>
        <row r="48">
          <cell r="A48">
            <v>12025</v>
          </cell>
          <cell r="H48" t="str">
            <v>Pham Thi Huyen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7700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</row>
        <row r="49">
          <cell r="A49">
            <v>12025</v>
          </cell>
          <cell r="H49" t="str">
            <v>Cong ty TNHH MTV Hop Nhat Thanh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8776000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</row>
        <row r="50">
          <cell r="A50">
            <v>12025</v>
          </cell>
          <cell r="H50" t="str">
            <v>Cong ty TNHH MTV Hop Nhat Thanh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7700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</row>
        <row r="51">
          <cell r="A51">
            <v>12025</v>
          </cell>
          <cell r="H51" t="str">
            <v>An Phu Thinh Company</v>
          </cell>
          <cell r="AP51">
            <v>0</v>
          </cell>
          <cell r="AQ51">
            <v>0</v>
          </cell>
          <cell r="AR51">
            <v>2565000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</row>
        <row r="52">
          <cell r="A52">
            <v>12025</v>
          </cell>
          <cell r="H52" t="str">
            <v>An Phu Thinh Company</v>
          </cell>
          <cell r="AP52">
            <v>0</v>
          </cell>
          <cell r="AQ52">
            <v>0</v>
          </cell>
          <cell r="AR52">
            <v>7700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</row>
        <row r="53">
          <cell r="A53">
            <v>12025</v>
          </cell>
          <cell r="H53" t="str">
            <v>Cong ty co phan Vu Gia Dai Loc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3196800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</row>
        <row r="54">
          <cell r="A54">
            <v>12025</v>
          </cell>
          <cell r="H54" t="str">
            <v>Cong ty co phan Vu Gia Dai Loc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22000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</row>
        <row r="55">
          <cell r="A55">
            <v>12025</v>
          </cell>
          <cell r="H55" t="str">
            <v>Chi nhanh Công ty  TNHH Vận tải Duy Anh Ngọc Việt tại Quảng Nam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4520000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</row>
        <row r="56">
          <cell r="A56">
            <v>12025</v>
          </cell>
          <cell r="H56" t="str">
            <v>Chi nhanh Công ty  TNHH Vận tải Duy Anh Ngọc Việt tại Quảng Nam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3533000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</row>
        <row r="57">
          <cell r="A57">
            <v>12025</v>
          </cell>
          <cell r="H57" t="str">
            <v>Chi nhanh Công ty  TNHH Vận tải Duy Anh Ngọc Việt tại Quảng Nam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22000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</row>
        <row r="58">
          <cell r="A58">
            <v>12025</v>
          </cell>
          <cell r="H58" t="str">
            <v>Tong Cong ty CP Buu Chinh Viettel</v>
          </cell>
          <cell r="AP58">
            <v>0</v>
          </cell>
          <cell r="AQ58">
            <v>0</v>
          </cell>
          <cell r="AR58">
            <v>462870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</row>
        <row r="59">
          <cell r="A59">
            <v>12025</v>
          </cell>
          <cell r="H59" t="str">
            <v>Tong Cong ty CP Buu Chinh Viettel</v>
          </cell>
          <cell r="AP59">
            <v>0</v>
          </cell>
          <cell r="AQ59">
            <v>0</v>
          </cell>
          <cell r="AR59">
            <v>22000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</row>
        <row r="60">
          <cell r="A60">
            <v>12025</v>
          </cell>
          <cell r="H60" t="str">
            <v>Le Thi Thu Hanh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161808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</row>
        <row r="61">
          <cell r="A61">
            <v>12025</v>
          </cell>
          <cell r="H61" t="str">
            <v>Le Thi Thu Hanh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7700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</row>
        <row r="62">
          <cell r="A62">
            <v>12025</v>
          </cell>
          <cell r="H62" t="str">
            <v>Cong ty TNHH Mai Linh Da Nang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3878000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</row>
        <row r="63">
          <cell r="A63">
            <v>12025</v>
          </cell>
          <cell r="H63" t="str">
            <v>Cong ty TNHH Mai Linh Da Nang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22000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</row>
        <row r="64">
          <cell r="A64">
            <v>12025</v>
          </cell>
          <cell r="H64" t="str">
            <v>Dang Thi Cam Tu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1800000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</row>
        <row r="65">
          <cell r="A65">
            <v>12025</v>
          </cell>
          <cell r="H65" t="str">
            <v>Dang Thi Cam Tu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22000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</row>
        <row r="66">
          <cell r="A66">
            <v>12025</v>
          </cell>
          <cell r="H66" t="str">
            <v>Le Thi Dieu Thuy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1600000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</row>
        <row r="67">
          <cell r="A67">
            <v>12025</v>
          </cell>
          <cell r="H67" t="str">
            <v>Le Thi Dieu Thuy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22000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</row>
        <row r="68">
          <cell r="A68">
            <v>12025</v>
          </cell>
          <cell r="H68" t="str">
            <v>Tap doan Cong nghiep - Vien thong Quan Doi</v>
          </cell>
          <cell r="AP68">
            <v>0</v>
          </cell>
          <cell r="AQ68">
            <v>0</v>
          </cell>
          <cell r="AR68">
            <v>1009099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</row>
        <row r="69">
          <cell r="A69">
            <v>12025</v>
          </cell>
          <cell r="H69" t="str">
            <v>Tap doan Cong nghiep - Vien thong Quan Doi</v>
          </cell>
          <cell r="AP69">
            <v>0</v>
          </cell>
          <cell r="AQ69">
            <v>0</v>
          </cell>
          <cell r="AR69">
            <v>22000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</row>
        <row r="70">
          <cell r="A70">
            <v>12025</v>
          </cell>
          <cell r="H70" t="str">
            <v>Nguyen Thi Dieu Huyen</v>
          </cell>
          <cell r="AP70">
            <v>0</v>
          </cell>
          <cell r="AQ70">
            <v>0</v>
          </cell>
          <cell r="AR70">
            <v>368251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</row>
        <row r="71">
          <cell r="A71">
            <v>12025</v>
          </cell>
          <cell r="H71" t="str">
            <v>Nguyen Thi Dieu Huyen</v>
          </cell>
          <cell r="AP71">
            <v>0</v>
          </cell>
          <cell r="AQ71">
            <v>0</v>
          </cell>
          <cell r="AR71">
            <v>7700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</row>
        <row r="72">
          <cell r="A72">
            <v>12025</v>
          </cell>
          <cell r="H72" t="str">
            <v>Nguyen Hong Kim</v>
          </cell>
          <cell r="AP72">
            <v>0</v>
          </cell>
          <cell r="AQ72">
            <v>0</v>
          </cell>
          <cell r="AR72">
            <v>508527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</row>
        <row r="73">
          <cell r="A73">
            <v>12025</v>
          </cell>
          <cell r="H73" t="str">
            <v>Nguyen Hong Kim</v>
          </cell>
          <cell r="AP73">
            <v>0</v>
          </cell>
          <cell r="AQ73">
            <v>0</v>
          </cell>
          <cell r="AR73">
            <v>7700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</row>
        <row r="74">
          <cell r="A74">
            <v>12025</v>
          </cell>
          <cell r="H74" t="str">
            <v>Nguyen Thi Thuy Linh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1600000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</row>
        <row r="75">
          <cell r="A75">
            <v>12025</v>
          </cell>
          <cell r="H75" t="str">
            <v>Nguyen Thi Thuy Linh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22000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</row>
        <row r="76">
          <cell r="A76">
            <v>12025</v>
          </cell>
          <cell r="H76" t="str">
            <v>Ha Thi Hoa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1550000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</row>
        <row r="77">
          <cell r="A77">
            <v>12025</v>
          </cell>
          <cell r="H77" t="str">
            <v>Ha Thi Hoa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22000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</row>
        <row r="78">
          <cell r="A78">
            <v>12025</v>
          </cell>
          <cell r="H78" t="str">
            <v>Tran Thi Thu Trang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450000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</row>
        <row r="79">
          <cell r="A79">
            <v>12025</v>
          </cell>
          <cell r="H79" t="str">
            <v>Tran Thi Thu Trang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22000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</row>
        <row r="80">
          <cell r="A80">
            <v>12025</v>
          </cell>
          <cell r="H80" t="str">
            <v>Mai Thi Nga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900000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</row>
        <row r="81">
          <cell r="A81">
            <v>12025</v>
          </cell>
          <cell r="H81" t="str">
            <v>Mai Thi Nga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22000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</row>
        <row r="82">
          <cell r="A82">
            <v>12025</v>
          </cell>
          <cell r="H82" t="str">
            <v>Hien Thi Hien Vo</v>
          </cell>
          <cell r="AP82">
            <v>0</v>
          </cell>
          <cell r="AQ82">
            <v>57565368.5</v>
          </cell>
          <cell r="AR82">
            <v>0</v>
          </cell>
          <cell r="AS82">
            <v>0</v>
          </cell>
          <cell r="AT82">
            <v>11513073.700000001</v>
          </cell>
          <cell r="AU82">
            <v>11513073.700000001</v>
          </cell>
          <cell r="AV82">
            <v>11513073.700000001</v>
          </cell>
          <cell r="AW82">
            <v>0</v>
          </cell>
          <cell r="AX82">
            <v>23026147.400000002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</row>
        <row r="83">
          <cell r="A83">
            <v>12025</v>
          </cell>
          <cell r="H83" t="str">
            <v>Thuy Thi Bich Thuy Tran</v>
          </cell>
          <cell r="AP83">
            <v>0</v>
          </cell>
          <cell r="AQ83">
            <v>25671082</v>
          </cell>
          <cell r="AR83">
            <v>0</v>
          </cell>
          <cell r="AS83">
            <v>0</v>
          </cell>
          <cell r="AT83">
            <v>5134216.4000000004</v>
          </cell>
          <cell r="AU83">
            <v>5134216.4000000004</v>
          </cell>
          <cell r="AV83">
            <v>5134216.4000000004</v>
          </cell>
          <cell r="AW83">
            <v>0</v>
          </cell>
          <cell r="AX83">
            <v>10268432.800000001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</row>
        <row r="84">
          <cell r="A84">
            <v>12025</v>
          </cell>
          <cell r="H84" t="str">
            <v>Tran Thi Que Chi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10941877</v>
          </cell>
          <cell r="AU84">
            <v>10941877</v>
          </cell>
          <cell r="AV84">
            <v>10941877</v>
          </cell>
          <cell r="AW84">
            <v>0</v>
          </cell>
          <cell r="AX84">
            <v>21883754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</row>
        <row r="85">
          <cell r="A85">
            <v>12025</v>
          </cell>
          <cell r="H85" t="str">
            <v>Maggie Huyen Nguyen</v>
          </cell>
          <cell r="AP85">
            <v>0</v>
          </cell>
          <cell r="AQ85">
            <v>6748610.5499999998</v>
          </cell>
          <cell r="AR85">
            <v>0</v>
          </cell>
          <cell r="AS85">
            <v>0</v>
          </cell>
          <cell r="AT85">
            <v>7648425.2899999991</v>
          </cell>
          <cell r="AU85">
            <v>7648425.2899999991</v>
          </cell>
          <cell r="AV85">
            <v>7648425.2899999991</v>
          </cell>
          <cell r="AW85">
            <v>0</v>
          </cell>
          <cell r="AX85">
            <v>15296850.579999998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</row>
        <row r="86">
          <cell r="A86">
            <v>12025</v>
          </cell>
          <cell r="H86" t="str">
            <v>Nguyen Hong Kim</v>
          </cell>
          <cell r="AP86">
            <v>0</v>
          </cell>
          <cell r="AQ86">
            <v>17354858</v>
          </cell>
          <cell r="AR86">
            <v>0</v>
          </cell>
          <cell r="AS86">
            <v>0</v>
          </cell>
          <cell r="AT86">
            <v>3470971.6</v>
          </cell>
          <cell r="AU86">
            <v>3470971.6</v>
          </cell>
          <cell r="AV86">
            <v>3470971.6</v>
          </cell>
          <cell r="AW86">
            <v>0</v>
          </cell>
          <cell r="AX86">
            <v>6941943.2000000002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</row>
        <row r="87">
          <cell r="A87">
            <v>12025</v>
          </cell>
          <cell r="H87" t="str">
            <v>Bui Thi Huong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38931142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</row>
        <row r="88">
          <cell r="A88">
            <v>12025</v>
          </cell>
          <cell r="H88" t="str">
            <v>Pham Thi  Dieu Loan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10168733.800000001</v>
          </cell>
          <cell r="AU88">
            <v>10168733.800000001</v>
          </cell>
          <cell r="AV88">
            <v>10168733.800000001</v>
          </cell>
          <cell r="AW88">
            <v>0</v>
          </cell>
          <cell r="AX88">
            <v>20337467.600000001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</row>
        <row r="89">
          <cell r="A89">
            <v>12025</v>
          </cell>
          <cell r="H89" t="str">
            <v>Phan Doan Kim Nhung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3328881.4000000004</v>
          </cell>
          <cell r="AU89">
            <v>3328881.4000000004</v>
          </cell>
          <cell r="AV89">
            <v>3328881.4000000004</v>
          </cell>
          <cell r="AW89">
            <v>0</v>
          </cell>
          <cell r="AX89">
            <v>6657762.8000000007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</row>
        <row r="90">
          <cell r="A90">
            <v>12025</v>
          </cell>
          <cell r="H90" t="str">
            <v>Hoang Thi Kieu Oanh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4420360</v>
          </cell>
          <cell r="AU90">
            <v>4420360</v>
          </cell>
          <cell r="AV90">
            <v>4420360</v>
          </cell>
          <cell r="AW90">
            <v>0</v>
          </cell>
          <cell r="AX90">
            <v>8840720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</row>
        <row r="91">
          <cell r="A91">
            <v>12025</v>
          </cell>
          <cell r="H91" t="str">
            <v>Huynh My Ngoc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40873519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</row>
        <row r="92">
          <cell r="A92">
            <v>12025</v>
          </cell>
          <cell r="H92" t="str">
            <v>Bui Thi Hong Hanh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14695126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</row>
        <row r="93">
          <cell r="A93">
            <v>12025</v>
          </cell>
          <cell r="H93" t="str">
            <v>Dang Thanh Canh</v>
          </cell>
          <cell r="AP93">
            <v>0</v>
          </cell>
          <cell r="AQ93">
            <v>1015680</v>
          </cell>
          <cell r="AR93">
            <v>0</v>
          </cell>
          <cell r="AS93">
            <v>0</v>
          </cell>
          <cell r="AT93">
            <v>1151104</v>
          </cell>
          <cell r="AU93">
            <v>1151104</v>
          </cell>
          <cell r="AV93">
            <v>1151104</v>
          </cell>
          <cell r="AW93">
            <v>0</v>
          </cell>
          <cell r="AX93">
            <v>2302208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</row>
        <row r="94">
          <cell r="A94">
            <v>12025</v>
          </cell>
          <cell r="H94" t="str">
            <v>Phan Thi Thao Nguyen</v>
          </cell>
          <cell r="AP94">
            <v>0</v>
          </cell>
          <cell r="AQ94">
            <v>8474317.5</v>
          </cell>
          <cell r="AR94">
            <v>0</v>
          </cell>
          <cell r="AS94">
            <v>0</v>
          </cell>
          <cell r="AT94">
            <v>9604226.5</v>
          </cell>
          <cell r="AU94">
            <v>9604226.5</v>
          </cell>
          <cell r="AV94">
            <v>9604226.5</v>
          </cell>
          <cell r="AW94">
            <v>0</v>
          </cell>
          <cell r="AX94">
            <v>19208453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</row>
        <row r="95">
          <cell r="A95">
            <v>12025</v>
          </cell>
          <cell r="H95" t="str">
            <v>Truong Thi Hai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8174703.8000000007</v>
          </cell>
          <cell r="AU95">
            <v>8174703.8000000007</v>
          </cell>
          <cell r="AV95">
            <v>8174703.8000000007</v>
          </cell>
          <cell r="AW95">
            <v>0</v>
          </cell>
          <cell r="AX95">
            <v>16349407.600000001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</row>
        <row r="96">
          <cell r="A96">
            <v>12025</v>
          </cell>
          <cell r="H96" t="str">
            <v>Nguyen Thi Thanh Thanh</v>
          </cell>
          <cell r="AP96">
            <v>0</v>
          </cell>
          <cell r="AQ96">
            <v>5167604.8499999996</v>
          </cell>
          <cell r="AR96">
            <v>0</v>
          </cell>
          <cell r="AS96">
            <v>0</v>
          </cell>
          <cell r="AT96">
            <v>5856618.8299999991</v>
          </cell>
          <cell r="AU96">
            <v>5856618.8299999991</v>
          </cell>
          <cell r="AV96">
            <v>5856618.8299999991</v>
          </cell>
          <cell r="AW96">
            <v>0</v>
          </cell>
          <cell r="AX96">
            <v>11713237.659999998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</row>
        <row r="97">
          <cell r="A97">
            <v>12025</v>
          </cell>
          <cell r="H97" t="str">
            <v>Vo Thi Quynh Thi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22864851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</row>
        <row r="98">
          <cell r="A98">
            <v>12025</v>
          </cell>
          <cell r="H98" t="str">
            <v>Nguyen Thi Nhung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15375326</v>
          </cell>
          <cell r="BA98">
            <v>0</v>
          </cell>
          <cell r="BB98">
            <v>0</v>
          </cell>
          <cell r="BC98">
            <v>0</v>
          </cell>
        </row>
        <row r="99">
          <cell r="A99">
            <v>12025</v>
          </cell>
          <cell r="H99" t="str">
            <v>Mai Anh Thu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16449826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</row>
        <row r="100">
          <cell r="A100">
            <v>12025</v>
          </cell>
          <cell r="H100" t="str">
            <v>Mai Thi Kim Hang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14739023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</row>
        <row r="101">
          <cell r="A101">
            <v>12025</v>
          </cell>
          <cell r="H101" t="str">
            <v>Pham Thi Huyen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18922507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</row>
        <row r="102">
          <cell r="A102">
            <v>12025</v>
          </cell>
          <cell r="H102" t="str">
            <v>Truong Thi Diem Phuong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11415934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</row>
        <row r="103">
          <cell r="A103">
            <v>12025</v>
          </cell>
          <cell r="H103" t="str">
            <v>Ho Thi Mong Thu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18256197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</row>
        <row r="104">
          <cell r="A104">
            <v>12025</v>
          </cell>
          <cell r="H104" t="str">
            <v>Vu Thi Thu Thuy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14180847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</row>
        <row r="105">
          <cell r="A105">
            <v>12025</v>
          </cell>
          <cell r="H105" t="str">
            <v>Le Thi Ut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18070076</v>
          </cell>
          <cell r="BC105">
            <v>0</v>
          </cell>
        </row>
        <row r="106">
          <cell r="A106">
            <v>12025</v>
          </cell>
          <cell r="H106" t="str">
            <v>Tran Thi Ngoc Duyen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15453622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</row>
        <row r="107">
          <cell r="A107">
            <v>12025</v>
          </cell>
          <cell r="H107" t="str">
            <v>Nguyen Thi Tram Anh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15563622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</row>
        <row r="108">
          <cell r="A108">
            <v>12025</v>
          </cell>
          <cell r="H108" t="str">
            <v>Le Thi Thu Hanh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69035480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</row>
        <row r="109">
          <cell r="A109">
            <v>12025</v>
          </cell>
          <cell r="H109" t="str">
            <v>Nguyen Thi Thuy Na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11747700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</row>
        <row r="110">
          <cell r="A110">
            <v>12025</v>
          </cell>
          <cell r="H110" t="str">
            <v>Service Center for Foreign Affairs</v>
          </cell>
          <cell r="AP110">
            <v>0</v>
          </cell>
          <cell r="AQ110">
            <v>20505243.400000002</v>
          </cell>
          <cell r="AR110">
            <v>0</v>
          </cell>
          <cell r="AS110">
            <v>0</v>
          </cell>
          <cell r="AT110">
            <v>45422848.920000002</v>
          </cell>
          <cell r="AU110">
            <v>39691008.920000002</v>
          </cell>
          <cell r="AV110">
            <v>26162752.920000002</v>
          </cell>
          <cell r="AW110">
            <v>0</v>
          </cell>
          <cell r="AX110">
            <v>73999217.839999989</v>
          </cell>
          <cell r="AY110">
            <v>4308352</v>
          </cell>
          <cell r="AZ110">
            <v>4564352</v>
          </cell>
          <cell r="BA110">
            <v>0</v>
          </cell>
          <cell r="BB110">
            <v>4244352</v>
          </cell>
          <cell r="BC110">
            <v>0</v>
          </cell>
        </row>
        <row r="111">
          <cell r="A111">
            <v>12025</v>
          </cell>
          <cell r="H111" t="str">
            <v>Vietcombank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</row>
        <row r="112">
          <cell r="A112">
            <v>12025</v>
          </cell>
          <cell r="H112" t="str">
            <v>Vietcombank</v>
          </cell>
          <cell r="AP112">
            <v>0</v>
          </cell>
          <cell r="AQ112">
            <v>22000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</row>
        <row r="113">
          <cell r="A113">
            <v>12025</v>
          </cell>
          <cell r="H113" t="str">
            <v>Vietcombank</v>
          </cell>
          <cell r="AP113">
            <v>0</v>
          </cell>
          <cell r="AQ113">
            <v>27571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</row>
        <row r="114">
          <cell r="A114">
            <v>12025</v>
          </cell>
          <cell r="H114" t="str">
            <v>Vietnam Tax Company</v>
          </cell>
          <cell r="AP114">
            <v>0</v>
          </cell>
          <cell r="AQ114">
            <v>33313593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</row>
        <row r="115">
          <cell r="A115">
            <v>12025</v>
          </cell>
          <cell r="H115" t="str">
            <v>Vietnam Tax Company</v>
          </cell>
          <cell r="AP115">
            <v>0</v>
          </cell>
          <cell r="AQ115">
            <v>1000000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</row>
        <row r="116">
          <cell r="A116">
            <v>12025</v>
          </cell>
          <cell r="H116" t="str">
            <v>ELC Operation</v>
          </cell>
          <cell r="AP116">
            <v>1061647449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</row>
        <row r="117">
          <cell r="A117">
            <v>22025</v>
          </cell>
          <cell r="H117" t="str">
            <v>Nguyen Thi Thanh Dung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4491500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</row>
        <row r="118">
          <cell r="A118">
            <v>22025</v>
          </cell>
          <cell r="H118" t="str">
            <v>Quang Nam DOET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</row>
        <row r="119">
          <cell r="A119">
            <v>22025</v>
          </cell>
          <cell r="H119" t="str">
            <v>Quang Nam DOET</v>
          </cell>
          <cell r="AP119">
            <v>0</v>
          </cell>
          <cell r="AQ119">
            <v>47703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</row>
        <row r="120">
          <cell r="A120">
            <v>22025</v>
          </cell>
          <cell r="H120" t="str">
            <v>Bui Thi Huong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</row>
        <row r="121">
          <cell r="A121">
            <v>22025</v>
          </cell>
          <cell r="H121" t="str">
            <v>Bui Thi Huong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7700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</row>
        <row r="122">
          <cell r="A122">
            <v>22025</v>
          </cell>
          <cell r="H122" t="str">
            <v>TVPL Company</v>
          </cell>
          <cell r="AP122">
            <v>0</v>
          </cell>
          <cell r="AQ122">
            <v>0</v>
          </cell>
          <cell r="AR122">
            <v>2736000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</row>
        <row r="123">
          <cell r="A123">
            <v>22025</v>
          </cell>
          <cell r="H123" t="str">
            <v>TVPL Company</v>
          </cell>
          <cell r="AP123">
            <v>0</v>
          </cell>
          <cell r="AQ123">
            <v>0</v>
          </cell>
          <cell r="AR123">
            <v>7700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</row>
        <row r="124">
          <cell r="A124">
            <v>22025</v>
          </cell>
          <cell r="H124" t="str">
            <v>Vu Thi Thu Thuy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</row>
        <row r="125">
          <cell r="A125">
            <v>22025</v>
          </cell>
          <cell r="H125" t="str">
            <v>Vu Thi Thu Thuy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7700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</row>
        <row r="126">
          <cell r="A126">
            <v>22025</v>
          </cell>
          <cell r="H126" t="str">
            <v>Nguyen Hong Kim</v>
          </cell>
          <cell r="AP126">
            <v>0</v>
          </cell>
          <cell r="AQ126">
            <v>0</v>
          </cell>
          <cell r="AR126">
            <v>57000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</row>
        <row r="127">
          <cell r="A127">
            <v>22025</v>
          </cell>
          <cell r="H127" t="str">
            <v>Nguyen Hong Kim</v>
          </cell>
          <cell r="AP127">
            <v>0</v>
          </cell>
          <cell r="AQ127">
            <v>0</v>
          </cell>
          <cell r="AR127">
            <v>7700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</row>
        <row r="128">
          <cell r="A128">
            <v>22025</v>
          </cell>
          <cell r="H128" t="str">
            <v>Tap doan Cong nghiep - Vien thong Quan Doi</v>
          </cell>
          <cell r="AP128">
            <v>0</v>
          </cell>
          <cell r="AQ128">
            <v>0</v>
          </cell>
          <cell r="AR128">
            <v>1021100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</row>
        <row r="129">
          <cell r="A129">
            <v>22025</v>
          </cell>
          <cell r="H129" t="str">
            <v>Tap doan Cong nghiep - Vien thong Quan Doi</v>
          </cell>
          <cell r="AP129">
            <v>0</v>
          </cell>
          <cell r="AQ129">
            <v>0</v>
          </cell>
          <cell r="AR129">
            <v>22000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</row>
        <row r="130">
          <cell r="A130">
            <v>22025</v>
          </cell>
          <cell r="H130" t="str">
            <v>Chi nhanh Công ty  TNHH Vận tải Duy Anh Ngọc Việt tại Quảng Nam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3630000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</row>
        <row r="131">
          <cell r="A131">
            <v>22025</v>
          </cell>
          <cell r="H131" t="str">
            <v>Chi nhanh Công ty  TNHH Vận tải Duy Anh Ngọc Việt tại Quảng Nam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22000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</row>
        <row r="132">
          <cell r="A132">
            <v>22025</v>
          </cell>
          <cell r="H132" t="str">
            <v>Le Thi Thu Hanh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141322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</row>
        <row r="133">
          <cell r="A133">
            <v>22025</v>
          </cell>
          <cell r="H133" t="str">
            <v>Le Thi Thu Hanh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7700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</row>
        <row r="134">
          <cell r="A134">
            <v>22025</v>
          </cell>
          <cell r="H134" t="str">
            <v>Vietnam Tax Company</v>
          </cell>
          <cell r="AP134">
            <v>0</v>
          </cell>
          <cell r="AQ134">
            <v>25488176.099999998</v>
          </cell>
          <cell r="AR134">
            <v>749400</v>
          </cell>
          <cell r="AS134">
            <v>0</v>
          </cell>
          <cell r="AT134">
            <v>10787014.980000002</v>
          </cell>
          <cell r="AU134">
            <v>11185285.980000002</v>
          </cell>
          <cell r="AV134">
            <v>10534989.980000002</v>
          </cell>
          <cell r="AW134">
            <v>0</v>
          </cell>
          <cell r="AX134">
            <v>45565843.960000008</v>
          </cell>
          <cell r="AY134">
            <v>152496</v>
          </cell>
          <cell r="AZ134">
            <v>188296</v>
          </cell>
          <cell r="BA134">
            <v>0</v>
          </cell>
          <cell r="BB134">
            <v>98546</v>
          </cell>
          <cell r="BC134">
            <v>0</v>
          </cell>
        </row>
        <row r="135">
          <cell r="A135">
            <v>22025</v>
          </cell>
          <cell r="H135" t="str">
            <v>Vietcombank</v>
          </cell>
          <cell r="AP135">
            <v>0</v>
          </cell>
          <cell r="AQ135">
            <v>0</v>
          </cell>
          <cell r="AR135">
            <v>22000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</row>
        <row r="136">
          <cell r="A136">
            <v>22025</v>
          </cell>
          <cell r="H136" t="str">
            <v>Vietcombank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</row>
        <row r="137">
          <cell r="A137">
            <v>22025</v>
          </cell>
          <cell r="H137" t="str">
            <v>Vietcombank</v>
          </cell>
          <cell r="AP137">
            <v>0</v>
          </cell>
          <cell r="AQ137">
            <v>28073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</row>
        <row r="138">
          <cell r="A138">
            <v>22025</v>
          </cell>
          <cell r="H138" t="str">
            <v>OneSky Head office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</row>
        <row r="139">
          <cell r="A139">
            <v>22025</v>
          </cell>
          <cell r="H139" t="str">
            <v>OneSky Head office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</row>
        <row r="140">
          <cell r="A140">
            <v>22025</v>
          </cell>
          <cell r="H140" t="str">
            <v>Dang Thanh Canh</v>
          </cell>
          <cell r="AP140">
            <v>0</v>
          </cell>
          <cell r="AQ140">
            <v>1095870</v>
          </cell>
          <cell r="AR140">
            <v>0</v>
          </cell>
          <cell r="AS140">
            <v>0</v>
          </cell>
          <cell r="AT140">
            <v>1241986</v>
          </cell>
          <cell r="AU140">
            <v>1241986</v>
          </cell>
          <cell r="AV140">
            <v>1241986</v>
          </cell>
          <cell r="AW140">
            <v>0</v>
          </cell>
          <cell r="AX140">
            <v>2483972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</row>
        <row r="141">
          <cell r="A141">
            <v>22025</v>
          </cell>
          <cell r="H141" t="str">
            <v>Tran Thi Tam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3352500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</row>
        <row r="142">
          <cell r="A142">
            <v>22025</v>
          </cell>
          <cell r="H142" t="str">
            <v>Tran Thi Tam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22000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</row>
        <row r="143">
          <cell r="A143">
            <v>22025</v>
          </cell>
          <cell r="H143" t="str">
            <v>Tong Cong ty CP Buu Chinh Viettel</v>
          </cell>
          <cell r="AP143">
            <v>0</v>
          </cell>
          <cell r="AQ143">
            <v>0</v>
          </cell>
          <cell r="AR143">
            <v>2347801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</row>
        <row r="144">
          <cell r="A144">
            <v>22025</v>
          </cell>
          <cell r="H144" t="str">
            <v>Tong Cong ty CP Buu Chinh Viettel</v>
          </cell>
          <cell r="AP144">
            <v>0</v>
          </cell>
          <cell r="AQ144">
            <v>0</v>
          </cell>
          <cell r="AR144">
            <v>22000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</row>
        <row r="145">
          <cell r="A145">
            <v>22025</v>
          </cell>
          <cell r="H145" t="str">
            <v>OneSky Head office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</row>
        <row r="146">
          <cell r="A146">
            <v>22025</v>
          </cell>
          <cell r="H146" t="str">
            <v>Thanh Khe DOET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</row>
        <row r="147">
          <cell r="A147">
            <v>22025</v>
          </cell>
          <cell r="H147" t="str">
            <v>Thanh Khe DOET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22000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</row>
        <row r="148">
          <cell r="A148">
            <v>22025</v>
          </cell>
          <cell r="H148" t="str">
            <v>Hai Chau DOET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</row>
        <row r="149">
          <cell r="A149">
            <v>22025</v>
          </cell>
          <cell r="H149" t="str">
            <v>Hai Chau DOET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7700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</row>
        <row r="150">
          <cell r="A150">
            <v>22025</v>
          </cell>
          <cell r="H150" t="str">
            <v>Service Center for Foreign Affairs</v>
          </cell>
          <cell r="AP150">
            <v>0</v>
          </cell>
          <cell r="AQ150">
            <v>21029895.200000003</v>
          </cell>
          <cell r="AR150">
            <v>0</v>
          </cell>
          <cell r="AS150">
            <v>0</v>
          </cell>
          <cell r="AT150">
            <v>46234834.560000002</v>
          </cell>
          <cell r="AU150">
            <v>40098642.560000002</v>
          </cell>
          <cell r="AV150">
            <v>26570386.559999999</v>
          </cell>
          <cell r="AW150">
            <v>0</v>
          </cell>
          <cell r="AX150">
            <v>75296501.11999999</v>
          </cell>
          <cell r="AY150">
            <v>4308352</v>
          </cell>
          <cell r="AZ150">
            <v>4564352</v>
          </cell>
          <cell r="BA150">
            <v>0</v>
          </cell>
          <cell r="BB150">
            <v>4244352</v>
          </cell>
          <cell r="BC150">
            <v>0</v>
          </cell>
        </row>
        <row r="151">
          <cell r="A151">
            <v>22025</v>
          </cell>
          <cell r="H151" t="str">
            <v>Service Center for Foreign Affairs</v>
          </cell>
          <cell r="AP151">
            <v>0</v>
          </cell>
          <cell r="AQ151">
            <v>3300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</row>
        <row r="152">
          <cell r="A152">
            <v>22025</v>
          </cell>
          <cell r="H152" t="str">
            <v>ELC account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</row>
        <row r="153">
          <cell r="A153">
            <v>22025</v>
          </cell>
          <cell r="H153" t="str">
            <v>ELC account</v>
          </cell>
          <cell r="AP153">
            <v>0</v>
          </cell>
          <cell r="AQ153">
            <v>3300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</row>
        <row r="154">
          <cell r="A154">
            <v>22025</v>
          </cell>
          <cell r="H154" t="str">
            <v>Hien Thi Hien Vo</v>
          </cell>
          <cell r="AP154">
            <v>0</v>
          </cell>
          <cell r="AQ154">
            <v>71704207.5</v>
          </cell>
          <cell r="AR154">
            <v>0</v>
          </cell>
          <cell r="AS154">
            <v>0</v>
          </cell>
          <cell r="AT154">
            <v>14340841.5</v>
          </cell>
          <cell r="AU154">
            <v>14340841.5</v>
          </cell>
          <cell r="AV154">
            <v>14340841.5</v>
          </cell>
          <cell r="AW154">
            <v>0</v>
          </cell>
          <cell r="AX154">
            <v>28681683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</row>
        <row r="155">
          <cell r="A155">
            <v>22025</v>
          </cell>
          <cell r="H155" t="str">
            <v>Thuy Thi Bich Thuy Tran</v>
          </cell>
          <cell r="AP155">
            <v>0</v>
          </cell>
          <cell r="AQ155">
            <v>26100517.5</v>
          </cell>
          <cell r="AR155">
            <v>0</v>
          </cell>
          <cell r="AS155">
            <v>0</v>
          </cell>
          <cell r="AT155">
            <v>5220103.5</v>
          </cell>
          <cell r="AU155">
            <v>5220103.5</v>
          </cell>
          <cell r="AV155">
            <v>5220103.5</v>
          </cell>
          <cell r="AW155">
            <v>0</v>
          </cell>
          <cell r="AX155">
            <v>10440207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</row>
        <row r="156">
          <cell r="A156">
            <v>22025</v>
          </cell>
          <cell r="H156" t="str">
            <v>Tran Thi Que Chi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11936598</v>
          </cell>
          <cell r="AU156">
            <v>11936598</v>
          </cell>
          <cell r="AV156">
            <v>11936598</v>
          </cell>
          <cell r="AW156">
            <v>0</v>
          </cell>
          <cell r="AX156">
            <v>23873196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</row>
        <row r="157">
          <cell r="A157">
            <v>22025</v>
          </cell>
          <cell r="H157" t="str">
            <v>Maggie Huyen Nguyen</v>
          </cell>
          <cell r="AP157">
            <v>0</v>
          </cell>
          <cell r="AQ157">
            <v>7375592.25</v>
          </cell>
          <cell r="AR157">
            <v>0</v>
          </cell>
          <cell r="AS157">
            <v>0</v>
          </cell>
          <cell r="AT157">
            <v>8359004.5499999989</v>
          </cell>
          <cell r="AU157">
            <v>8359004.5499999989</v>
          </cell>
          <cell r="AV157">
            <v>8359004.5499999989</v>
          </cell>
          <cell r="AW157">
            <v>0</v>
          </cell>
          <cell r="AX157">
            <v>16718009.099999998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</row>
        <row r="158">
          <cell r="A158">
            <v>22025</v>
          </cell>
          <cell r="H158" t="str">
            <v>Nguyen Hong Kim</v>
          </cell>
          <cell r="AP158">
            <v>0</v>
          </cell>
          <cell r="AQ158">
            <v>18871777.5</v>
          </cell>
          <cell r="AR158">
            <v>0</v>
          </cell>
          <cell r="AS158">
            <v>0</v>
          </cell>
          <cell r="AT158">
            <v>3774355.5</v>
          </cell>
          <cell r="AU158">
            <v>3774355.5</v>
          </cell>
          <cell r="AV158">
            <v>3774355.5</v>
          </cell>
          <cell r="AW158">
            <v>0</v>
          </cell>
          <cell r="AX158">
            <v>7548711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</row>
        <row r="159">
          <cell r="A159">
            <v>22025</v>
          </cell>
          <cell r="H159" t="str">
            <v>Hoang Thi Kieu Oanh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4817967</v>
          </cell>
          <cell r="AU159">
            <v>4817967</v>
          </cell>
          <cell r="AV159">
            <v>4817967</v>
          </cell>
          <cell r="AW159">
            <v>0</v>
          </cell>
          <cell r="AX159">
            <v>9635934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</row>
        <row r="160">
          <cell r="A160">
            <v>22025</v>
          </cell>
          <cell r="H160" t="str">
            <v>Pham Thi  Dieu Loan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11109327</v>
          </cell>
          <cell r="AU160">
            <v>11109327</v>
          </cell>
          <cell r="AV160">
            <v>11109327</v>
          </cell>
          <cell r="AW160">
            <v>0</v>
          </cell>
          <cell r="AX160">
            <v>22218654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</row>
        <row r="161">
          <cell r="A161">
            <v>22025</v>
          </cell>
          <cell r="H161" t="str">
            <v>Phan Doan Kim Nhung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3646344</v>
          </cell>
          <cell r="AU161">
            <v>3646344</v>
          </cell>
          <cell r="AV161">
            <v>3646344</v>
          </cell>
          <cell r="AW161">
            <v>0</v>
          </cell>
          <cell r="AX161">
            <v>7292688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</row>
        <row r="162">
          <cell r="A162">
            <v>22025</v>
          </cell>
          <cell r="H162" t="str">
            <v>Truong Thi Hai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8941929</v>
          </cell>
          <cell r="AU162">
            <v>8941929</v>
          </cell>
          <cell r="AV162">
            <v>8941929</v>
          </cell>
          <cell r="AW162">
            <v>0</v>
          </cell>
          <cell r="AX162">
            <v>17883858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</row>
        <row r="163">
          <cell r="A163">
            <v>22025</v>
          </cell>
          <cell r="H163" t="str">
            <v>Bui Thi Huong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42601305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</row>
        <row r="164">
          <cell r="A164">
            <v>22025</v>
          </cell>
          <cell r="H164" t="str">
            <v>Huynh My Ngoc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44709645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</row>
        <row r="165">
          <cell r="A165">
            <v>22025</v>
          </cell>
          <cell r="H165" t="str">
            <v>Nguyen Thi Thanh Thanh</v>
          </cell>
          <cell r="AP165">
            <v>0</v>
          </cell>
          <cell r="AQ165">
            <v>5259028.5</v>
          </cell>
          <cell r="AR165">
            <v>0</v>
          </cell>
          <cell r="AS165">
            <v>0</v>
          </cell>
          <cell r="AT165">
            <v>5960232.2999999998</v>
          </cell>
          <cell r="AU165">
            <v>5960232.2999999998</v>
          </cell>
          <cell r="AV165">
            <v>5960232.2999999998</v>
          </cell>
          <cell r="AW165">
            <v>0</v>
          </cell>
          <cell r="AX165">
            <v>11920464.6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</row>
        <row r="166">
          <cell r="A166">
            <v>22025</v>
          </cell>
          <cell r="H166" t="str">
            <v>Phan Thi Thao Nguyen</v>
          </cell>
          <cell r="AP166">
            <v>0</v>
          </cell>
          <cell r="AQ166">
            <v>9247929.75</v>
          </cell>
          <cell r="AR166">
            <v>0</v>
          </cell>
          <cell r="AS166">
            <v>0</v>
          </cell>
          <cell r="AT166">
            <v>10480987.049999999</v>
          </cell>
          <cell r="AU166">
            <v>10480987.049999999</v>
          </cell>
          <cell r="AV166">
            <v>10480987.049999999</v>
          </cell>
          <cell r="AW166">
            <v>0</v>
          </cell>
          <cell r="AX166">
            <v>20961974.099999998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</row>
        <row r="167">
          <cell r="A167">
            <v>22025</v>
          </cell>
          <cell r="H167" t="str">
            <v>Bui Thi Hong Hanh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14690726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</row>
        <row r="168">
          <cell r="A168">
            <v>22025</v>
          </cell>
          <cell r="H168" t="str">
            <v>Mai Thi Kim Hang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15247623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</row>
        <row r="169">
          <cell r="A169">
            <v>22025</v>
          </cell>
          <cell r="H169" t="str">
            <v>Pham Thi Huyen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17818107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</row>
        <row r="170">
          <cell r="A170">
            <v>22025</v>
          </cell>
          <cell r="H170" t="str">
            <v>Vo Thi Quynh Thi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23059951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</row>
        <row r="171">
          <cell r="A171">
            <v>22025</v>
          </cell>
          <cell r="H171" t="str">
            <v>Nguyen Thi Tram Anh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17229222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</row>
        <row r="172">
          <cell r="A172">
            <v>22025</v>
          </cell>
          <cell r="H172" t="str">
            <v>Ho Thi Mong Thu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17558797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</row>
        <row r="173">
          <cell r="A173">
            <v>22025</v>
          </cell>
          <cell r="H173" t="str">
            <v>Truong Thi Diem Phuong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14466790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</row>
        <row r="174">
          <cell r="A174">
            <v>22025</v>
          </cell>
          <cell r="H174" t="str">
            <v>Vu Thi Thu Thuy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15816447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</row>
        <row r="175">
          <cell r="A175">
            <v>22025</v>
          </cell>
          <cell r="H175" t="str">
            <v>Nguyen Thi Nhung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15370926</v>
          </cell>
          <cell r="BA175">
            <v>0</v>
          </cell>
          <cell r="BB175">
            <v>0</v>
          </cell>
          <cell r="BC175">
            <v>0</v>
          </cell>
        </row>
        <row r="176">
          <cell r="A176">
            <v>22025</v>
          </cell>
          <cell r="H176" t="str">
            <v>Mai Anh Thu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24283144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</row>
        <row r="177">
          <cell r="A177">
            <v>22025</v>
          </cell>
          <cell r="H177" t="str">
            <v>Le Thi Ut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18855176</v>
          </cell>
          <cell r="BC177">
            <v>0</v>
          </cell>
        </row>
        <row r="178">
          <cell r="A178">
            <v>22025</v>
          </cell>
          <cell r="H178" t="str">
            <v>Tran Thi Ngoc Duyen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15559222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</row>
        <row r="179">
          <cell r="A179">
            <v>22025</v>
          </cell>
          <cell r="H179" t="str">
            <v>Le Thi Thu Hanh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70053330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</row>
        <row r="180">
          <cell r="A180">
            <v>22025</v>
          </cell>
          <cell r="H180" t="str">
            <v>Nguyen Thi Thuy Na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12001708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</row>
        <row r="181">
          <cell r="A181">
            <v>22025</v>
          </cell>
          <cell r="H181" t="str">
            <v>ELC Operation</v>
          </cell>
          <cell r="AP181">
            <v>881303758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</row>
        <row r="182">
          <cell r="A182">
            <v>32025</v>
          </cell>
          <cell r="H182" t="str">
            <v>Nguyen Thi Luyen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25454545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</row>
        <row r="183">
          <cell r="A183">
            <v>32025</v>
          </cell>
          <cell r="H183" t="str">
            <v>Nguyen Thi Luyen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22000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</row>
        <row r="184">
          <cell r="A184">
            <v>32025</v>
          </cell>
          <cell r="H184" t="str">
            <v>Tap doan Cong nghiep - Vien thong Quan Doi</v>
          </cell>
          <cell r="AP184">
            <v>0</v>
          </cell>
          <cell r="AQ184">
            <v>0</v>
          </cell>
          <cell r="AR184">
            <v>1021700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</row>
        <row r="185">
          <cell r="A185">
            <v>32025</v>
          </cell>
          <cell r="H185" t="str">
            <v>Tap doan Cong nghiep - Vien thong Quan Doi</v>
          </cell>
          <cell r="AP185">
            <v>0</v>
          </cell>
          <cell r="AQ185">
            <v>0</v>
          </cell>
          <cell r="AR185">
            <v>22000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</row>
        <row r="186">
          <cell r="A186">
            <v>32025</v>
          </cell>
          <cell r="H186" t="str">
            <v>Hoang Thi Kieu Oanh</v>
          </cell>
          <cell r="AP186">
            <v>0</v>
          </cell>
          <cell r="AQ186">
            <v>0</v>
          </cell>
          <cell r="AR186">
            <v>0</v>
          </cell>
          <cell r="AS186">
            <v>600000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</row>
        <row r="187">
          <cell r="A187">
            <v>32025</v>
          </cell>
          <cell r="H187" t="str">
            <v>Hoang Thi Kieu Oanh</v>
          </cell>
          <cell r="AP187">
            <v>0</v>
          </cell>
          <cell r="AQ187">
            <v>0</v>
          </cell>
          <cell r="AR187">
            <v>0</v>
          </cell>
          <cell r="AS187">
            <v>7700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</row>
        <row r="188">
          <cell r="A188">
            <v>32025</v>
          </cell>
          <cell r="H188" t="str">
            <v>Vu Thi Thu Thuy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8819200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</row>
        <row r="189">
          <cell r="A189">
            <v>32025</v>
          </cell>
          <cell r="H189" t="str">
            <v>Vu Thi Thu Thuy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7700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</row>
        <row r="190">
          <cell r="A190">
            <v>32025</v>
          </cell>
          <cell r="H190" t="str">
            <v>Công ty TNHH MTV Hop Nhat Thanh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9346000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</row>
        <row r="191">
          <cell r="A191">
            <v>32025</v>
          </cell>
          <cell r="H191" t="str">
            <v>Công ty TNHH MTV Hop Nhat Thanh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7700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</row>
        <row r="192">
          <cell r="A192">
            <v>32025</v>
          </cell>
          <cell r="H192" t="str">
            <v>Dang Thi Cam Tu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1800000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</row>
        <row r="193">
          <cell r="A193">
            <v>32025</v>
          </cell>
          <cell r="H193" t="str">
            <v>Dang Thi Cam Tu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22000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</row>
        <row r="194">
          <cell r="A194">
            <v>32025</v>
          </cell>
          <cell r="H194" t="str">
            <v>Phan Đoàn Kim Nhung</v>
          </cell>
          <cell r="AP194">
            <v>0</v>
          </cell>
          <cell r="AQ194">
            <v>0</v>
          </cell>
          <cell r="AR194">
            <v>0</v>
          </cell>
          <cell r="AS194">
            <v>990000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</row>
        <row r="195">
          <cell r="A195">
            <v>32025</v>
          </cell>
          <cell r="H195" t="str">
            <v>Phan Đoàn Kim Nhung</v>
          </cell>
          <cell r="AP195">
            <v>0</v>
          </cell>
          <cell r="AQ195">
            <v>0</v>
          </cell>
          <cell r="AR195">
            <v>0</v>
          </cell>
          <cell r="AS195">
            <v>7700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</row>
        <row r="196">
          <cell r="A196">
            <v>32025</v>
          </cell>
          <cell r="H196" t="str">
            <v>Vu Thi Thu Thuy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1178000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</row>
        <row r="197">
          <cell r="A197">
            <v>32025</v>
          </cell>
          <cell r="H197" t="str">
            <v>Vu Thi Thu Thuy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7700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</row>
        <row r="198">
          <cell r="A198">
            <v>32025</v>
          </cell>
          <cell r="H198" t="str">
            <v>Vu Thi Thu Thuy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6920000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</row>
        <row r="199">
          <cell r="A199">
            <v>32025</v>
          </cell>
          <cell r="H199" t="str">
            <v>Vu Thi Thu Thuy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7700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</row>
        <row r="200">
          <cell r="A200">
            <v>32025</v>
          </cell>
          <cell r="H200" t="str">
            <v>Nguyen Thi Thuy Linh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1600000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</row>
        <row r="201">
          <cell r="A201">
            <v>32025</v>
          </cell>
          <cell r="H201" t="str">
            <v>Nguyen Thi Thuy Linh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22000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</row>
        <row r="202">
          <cell r="A202">
            <v>32025</v>
          </cell>
          <cell r="H202" t="str">
            <v>Le Thi Dieu Thuy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1600000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</row>
        <row r="203">
          <cell r="A203">
            <v>32025</v>
          </cell>
          <cell r="H203" t="str">
            <v>Le Thi Dieu Thuy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22000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</row>
        <row r="204">
          <cell r="A204">
            <v>32025</v>
          </cell>
          <cell r="H204" t="str">
            <v>Cong ty TNHH thuong Mai va Dich vu Ngoc An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1928000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</row>
        <row r="205">
          <cell r="A205">
            <v>32025</v>
          </cell>
          <cell r="H205" t="str">
            <v>Cong ty TNHH thuong Mai va Dich vu Ngoc An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22000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</row>
        <row r="206">
          <cell r="A206">
            <v>32025</v>
          </cell>
          <cell r="H206" t="str">
            <v>Truong Thi Hai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</row>
        <row r="207">
          <cell r="A207">
            <v>32025</v>
          </cell>
          <cell r="H207" t="str">
            <v>Truong Thi Hai</v>
          </cell>
          <cell r="AP207">
            <v>0</v>
          </cell>
          <cell r="AQ207">
            <v>0</v>
          </cell>
          <cell r="AR207">
            <v>0</v>
          </cell>
          <cell r="AS207">
            <v>7700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</row>
        <row r="208">
          <cell r="A208">
            <v>32025</v>
          </cell>
          <cell r="H208" t="str">
            <v>Bui Thi Huong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22397000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</row>
        <row r="209">
          <cell r="A209">
            <v>32025</v>
          </cell>
          <cell r="H209" t="str">
            <v>Bui Thi Huong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7700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</row>
        <row r="210">
          <cell r="A210">
            <v>32025</v>
          </cell>
          <cell r="H210" t="str">
            <v>Cong ty TNHH In Trung Khoa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2743000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</row>
        <row r="211">
          <cell r="A211">
            <v>32025</v>
          </cell>
          <cell r="H211" t="str">
            <v>Cong ty TNHH In Trung Khoa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22000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</row>
        <row r="212">
          <cell r="A212">
            <v>32025</v>
          </cell>
          <cell r="H212" t="str">
            <v>Nguyen Hong Kim</v>
          </cell>
          <cell r="AP212">
            <v>0</v>
          </cell>
          <cell r="AQ212">
            <v>0</v>
          </cell>
          <cell r="AR212">
            <v>257770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</row>
        <row r="213">
          <cell r="A213">
            <v>32025</v>
          </cell>
          <cell r="H213" t="str">
            <v>Nguyen Hong Kim</v>
          </cell>
          <cell r="AP213">
            <v>0</v>
          </cell>
          <cell r="AQ213">
            <v>0</v>
          </cell>
          <cell r="AR213">
            <v>7700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</row>
        <row r="214">
          <cell r="A214">
            <v>32025</v>
          </cell>
          <cell r="H214" t="str">
            <v>Maggie Huyen Nguyen</v>
          </cell>
          <cell r="AP214">
            <v>0</v>
          </cell>
          <cell r="AQ214">
            <v>0</v>
          </cell>
          <cell r="AR214">
            <v>170100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</row>
        <row r="215">
          <cell r="A215">
            <v>32025</v>
          </cell>
          <cell r="H215" t="str">
            <v>Maggie Huyen Nguyen</v>
          </cell>
          <cell r="AP215">
            <v>0</v>
          </cell>
          <cell r="AQ215">
            <v>0</v>
          </cell>
          <cell r="AR215">
            <v>7700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</row>
        <row r="216">
          <cell r="A216">
            <v>32025</v>
          </cell>
          <cell r="H216" t="str">
            <v>OneSky Head office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</row>
        <row r="217">
          <cell r="A217">
            <v>32025</v>
          </cell>
          <cell r="H217" t="str">
            <v>OneSky Head office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</row>
        <row r="218">
          <cell r="A218">
            <v>32025</v>
          </cell>
          <cell r="H218" t="str">
            <v>OneSky Head office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</row>
        <row r="219">
          <cell r="A219">
            <v>32025</v>
          </cell>
          <cell r="H219" t="str">
            <v>Ho Lam Hong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11136364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</row>
        <row r="220">
          <cell r="A220">
            <v>32025</v>
          </cell>
          <cell r="H220" t="str">
            <v>Ho Lam Hong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11000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</row>
        <row r="221">
          <cell r="A221">
            <v>32025</v>
          </cell>
          <cell r="H221" t="str">
            <v>Vietnam Tax Company</v>
          </cell>
          <cell r="AP221">
            <v>0</v>
          </cell>
          <cell r="AQ221">
            <v>33865812.900000006</v>
          </cell>
          <cell r="AR221">
            <v>0</v>
          </cell>
          <cell r="AS221">
            <v>0</v>
          </cell>
          <cell r="AT221">
            <v>13850627.82</v>
          </cell>
          <cell r="AU221">
            <v>15303968.82</v>
          </cell>
          <cell r="AV221">
            <v>13550133.82</v>
          </cell>
          <cell r="AW221">
            <v>0</v>
          </cell>
          <cell r="AX221">
            <v>53808669.639999993</v>
          </cell>
          <cell r="AY221">
            <v>152496</v>
          </cell>
          <cell r="AZ221">
            <v>188296</v>
          </cell>
          <cell r="BA221">
            <v>0</v>
          </cell>
          <cell r="BB221">
            <v>129046</v>
          </cell>
          <cell r="BC221">
            <v>0</v>
          </cell>
        </row>
        <row r="222">
          <cell r="A222">
            <v>32025</v>
          </cell>
          <cell r="H222" t="str">
            <v>Duy Anh Ngoc Viet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2470000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</row>
        <row r="223">
          <cell r="A223">
            <v>32025</v>
          </cell>
          <cell r="H223" t="str">
            <v>Duy Anh Ngoc Viet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1590000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</row>
        <row r="224">
          <cell r="A224">
            <v>32025</v>
          </cell>
          <cell r="H224" t="str">
            <v>Duy Anh Ngoc Viet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22000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</row>
        <row r="225">
          <cell r="A225">
            <v>32025</v>
          </cell>
          <cell r="H225" t="str">
            <v>Le Thi Thu Hanh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131556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</row>
        <row r="226">
          <cell r="A226">
            <v>32025</v>
          </cell>
          <cell r="H226" t="str">
            <v>Le Thi Thu Hanh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11000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</row>
        <row r="227">
          <cell r="A227">
            <v>32025</v>
          </cell>
          <cell r="H227" t="str">
            <v>Nguyen Hong Kim</v>
          </cell>
          <cell r="AP227">
            <v>0</v>
          </cell>
          <cell r="AQ227">
            <v>251370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</row>
        <row r="228">
          <cell r="A228">
            <v>32025</v>
          </cell>
          <cell r="H228" t="str">
            <v>Nguyen Hong Kim</v>
          </cell>
          <cell r="AP228">
            <v>0</v>
          </cell>
          <cell r="AQ228">
            <v>11000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</row>
        <row r="229">
          <cell r="A229">
            <v>32025</v>
          </cell>
          <cell r="H229" t="str">
            <v>Vietcombank</v>
          </cell>
          <cell r="AP229">
            <v>0</v>
          </cell>
          <cell r="AQ229">
            <v>22000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</row>
        <row r="230">
          <cell r="A230">
            <v>32025</v>
          </cell>
          <cell r="H230" t="str">
            <v>Interest earned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</row>
        <row r="231">
          <cell r="A231">
            <v>32025</v>
          </cell>
          <cell r="H231" t="str">
            <v>Vietcombank</v>
          </cell>
          <cell r="AP231">
            <v>0</v>
          </cell>
          <cell r="AQ231">
            <v>27297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</row>
        <row r="232">
          <cell r="A232">
            <v>32025</v>
          </cell>
          <cell r="H232" t="str">
            <v>Bui Thi Huong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411298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</row>
        <row r="233">
          <cell r="A233">
            <v>32025</v>
          </cell>
          <cell r="H233" t="str">
            <v>Bui Thi Huong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7700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</row>
        <row r="234">
          <cell r="A234">
            <v>32025</v>
          </cell>
          <cell r="H234" t="str">
            <v>Công ty TNHH MTV Hop Nhat Thanh</v>
          </cell>
          <cell r="AP234">
            <v>0</v>
          </cell>
          <cell r="AQ234">
            <v>0</v>
          </cell>
          <cell r="AR234">
            <v>9250000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</row>
        <row r="235">
          <cell r="A235">
            <v>32025</v>
          </cell>
          <cell r="H235" t="str">
            <v>Công ty TNHH MTV Hop Nhat Thanh</v>
          </cell>
          <cell r="AP235">
            <v>0</v>
          </cell>
          <cell r="AQ235">
            <v>0</v>
          </cell>
          <cell r="AR235">
            <v>7700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</row>
        <row r="236">
          <cell r="A236">
            <v>32025</v>
          </cell>
          <cell r="H236" t="str">
            <v>SKYLUX Company</v>
          </cell>
          <cell r="AP236">
            <v>0</v>
          </cell>
          <cell r="AQ236">
            <v>0</v>
          </cell>
          <cell r="AR236">
            <v>1200000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</row>
        <row r="237">
          <cell r="A237">
            <v>32025</v>
          </cell>
          <cell r="H237" t="str">
            <v>SKYLUX Company</v>
          </cell>
          <cell r="AP237">
            <v>0</v>
          </cell>
          <cell r="AQ237">
            <v>0</v>
          </cell>
          <cell r="AR237">
            <v>22000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</row>
        <row r="238">
          <cell r="A238">
            <v>32025</v>
          </cell>
          <cell r="H238" t="str">
            <v>Hop Tac Xa Kim Long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1400000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</row>
        <row r="239">
          <cell r="A239">
            <v>32025</v>
          </cell>
          <cell r="H239" t="str">
            <v>Hop Tac Xa Kim Long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22000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</row>
        <row r="240">
          <cell r="A240">
            <v>32025</v>
          </cell>
          <cell r="H240" t="str">
            <v>Cong ty TNHH Mai Linh Da Nang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700000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</row>
        <row r="241">
          <cell r="A241">
            <v>32025</v>
          </cell>
          <cell r="H241" t="str">
            <v>Cong ty TNHH Mai Linh Da Nang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22000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</row>
        <row r="242">
          <cell r="A242">
            <v>32025</v>
          </cell>
          <cell r="H242" t="str">
            <v>Tap doan Cong nghiep - Vien thong Quan Doi</v>
          </cell>
          <cell r="AP242">
            <v>0</v>
          </cell>
          <cell r="AQ242">
            <v>0</v>
          </cell>
          <cell r="AR242">
            <v>0</v>
          </cell>
          <cell r="AS242">
            <v>300000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</row>
        <row r="243">
          <cell r="A243">
            <v>32025</v>
          </cell>
          <cell r="H243" t="str">
            <v>Tap doan Cong nghiep - Vien thong Quan Doi</v>
          </cell>
          <cell r="AP243">
            <v>0</v>
          </cell>
          <cell r="AQ243">
            <v>0</v>
          </cell>
          <cell r="AR243">
            <v>0</v>
          </cell>
          <cell r="AS243">
            <v>22000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</row>
        <row r="244">
          <cell r="A244">
            <v>32025</v>
          </cell>
          <cell r="H244" t="str">
            <v>Bui Thi Huong</v>
          </cell>
          <cell r="AP244">
            <v>0</v>
          </cell>
          <cell r="AQ244">
            <v>0</v>
          </cell>
          <cell r="AR244">
            <v>1095120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</row>
        <row r="245">
          <cell r="A245">
            <v>32025</v>
          </cell>
          <cell r="H245" t="str">
            <v>Bui Thi Huong</v>
          </cell>
          <cell r="AP245">
            <v>0</v>
          </cell>
          <cell r="AQ245">
            <v>0</v>
          </cell>
          <cell r="AR245">
            <v>7700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</row>
        <row r="246">
          <cell r="A246">
            <v>32025</v>
          </cell>
          <cell r="H246" t="str">
            <v>Cong ty TNHH Fintecs</v>
          </cell>
          <cell r="AP246">
            <v>0</v>
          </cell>
          <cell r="AQ246">
            <v>0</v>
          </cell>
          <cell r="AR246">
            <v>264000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</row>
        <row r="247">
          <cell r="A247">
            <v>32025</v>
          </cell>
          <cell r="H247" t="str">
            <v>Cong ty TNHH Fintecs</v>
          </cell>
          <cell r="AP247">
            <v>0</v>
          </cell>
          <cell r="AQ247">
            <v>0</v>
          </cell>
          <cell r="AR247">
            <v>22000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</row>
        <row r="248">
          <cell r="A248">
            <v>32025</v>
          </cell>
          <cell r="H248" t="str">
            <v>Truong Thi Hai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10897500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</row>
        <row r="249">
          <cell r="A249">
            <v>32025</v>
          </cell>
          <cell r="H249" t="str">
            <v>Truong Thi Hai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7700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</row>
        <row r="250">
          <cell r="A250">
            <v>32025</v>
          </cell>
          <cell r="H250" t="str">
            <v>Nguyen Hong Kim</v>
          </cell>
          <cell r="AP250">
            <v>0</v>
          </cell>
          <cell r="AQ250">
            <v>0</v>
          </cell>
          <cell r="AR250">
            <v>894000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</row>
        <row r="251">
          <cell r="A251">
            <v>32025</v>
          </cell>
          <cell r="H251" t="str">
            <v>Nguyen Hong Kim</v>
          </cell>
          <cell r="AP251">
            <v>0</v>
          </cell>
          <cell r="AQ251">
            <v>0</v>
          </cell>
          <cell r="AR251">
            <v>7700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</row>
        <row r="252">
          <cell r="A252">
            <v>32025</v>
          </cell>
          <cell r="H252" t="str">
            <v>Hoang Thi Kieu Oanh</v>
          </cell>
          <cell r="AP252">
            <v>0</v>
          </cell>
          <cell r="AQ252">
            <v>0</v>
          </cell>
          <cell r="AR252">
            <v>0</v>
          </cell>
          <cell r="AS252">
            <v>209000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</row>
        <row r="253">
          <cell r="A253">
            <v>32025</v>
          </cell>
          <cell r="H253" t="str">
            <v>Hoang Thi Kieu Oanh</v>
          </cell>
          <cell r="AP253">
            <v>0</v>
          </cell>
          <cell r="AQ253">
            <v>0</v>
          </cell>
          <cell r="AR253">
            <v>0</v>
          </cell>
          <cell r="AS253">
            <v>7700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</row>
        <row r="254">
          <cell r="A254">
            <v>32025</v>
          </cell>
          <cell r="H254" t="str">
            <v>Vietcombank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</row>
        <row r="255">
          <cell r="A255">
            <v>32025</v>
          </cell>
          <cell r="H255" t="str">
            <v>Vietcombank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</row>
        <row r="256">
          <cell r="A256">
            <v>32025</v>
          </cell>
          <cell r="H256" t="str">
            <v>ELC account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</row>
        <row r="257">
          <cell r="A257">
            <v>32025</v>
          </cell>
          <cell r="H257" t="str">
            <v>Vietnam Tax Company</v>
          </cell>
          <cell r="AP257">
            <v>0</v>
          </cell>
          <cell r="AQ257">
            <v>0</v>
          </cell>
          <cell r="AR257">
            <v>438530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</row>
        <row r="258">
          <cell r="A258">
            <v>32025</v>
          </cell>
          <cell r="H258" t="str">
            <v>Vietnam Tax Company</v>
          </cell>
          <cell r="AP258">
            <v>0</v>
          </cell>
          <cell r="AQ258">
            <v>0</v>
          </cell>
          <cell r="AR258">
            <v>18488497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</row>
        <row r="259">
          <cell r="A259">
            <v>32025</v>
          </cell>
          <cell r="H259" t="str">
            <v>Vu Thi Thu Thuy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1867500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</row>
        <row r="260">
          <cell r="A260">
            <v>32025</v>
          </cell>
          <cell r="H260" t="str">
            <v>Vietcombank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</row>
        <row r="261">
          <cell r="A261">
            <v>32025</v>
          </cell>
          <cell r="H261" t="str">
            <v>Vietcombank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</row>
        <row r="262">
          <cell r="A262">
            <v>32025</v>
          </cell>
          <cell r="H262" t="str">
            <v>Nguyen Hong Kim</v>
          </cell>
          <cell r="AP262">
            <v>0</v>
          </cell>
          <cell r="AQ262">
            <v>21256823</v>
          </cell>
          <cell r="AR262">
            <v>0</v>
          </cell>
          <cell r="AS262">
            <v>0</v>
          </cell>
          <cell r="AT262">
            <v>4251364.6000000006</v>
          </cell>
          <cell r="AU262">
            <v>4251364.6000000006</v>
          </cell>
          <cell r="AV262">
            <v>4251364.6000000006</v>
          </cell>
          <cell r="AW262">
            <v>0</v>
          </cell>
          <cell r="AX262">
            <v>8502729.2000000011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</row>
        <row r="263">
          <cell r="A263">
            <v>32025</v>
          </cell>
          <cell r="H263" t="str">
            <v>Maggie Huyen Nguyen</v>
          </cell>
          <cell r="AP263">
            <v>0</v>
          </cell>
          <cell r="AQ263">
            <v>8327733.1499999994</v>
          </cell>
          <cell r="AR263">
            <v>0</v>
          </cell>
          <cell r="AS263">
            <v>0</v>
          </cell>
          <cell r="AT263">
            <v>9438097.5699999984</v>
          </cell>
          <cell r="AU263">
            <v>9438097.5699999984</v>
          </cell>
          <cell r="AV263">
            <v>9438097.5699999984</v>
          </cell>
          <cell r="AW263">
            <v>0</v>
          </cell>
          <cell r="AX263">
            <v>18876195.139999997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</row>
        <row r="264">
          <cell r="A264">
            <v>32025</v>
          </cell>
          <cell r="H264" t="str">
            <v>Thuy Thi Bich Thuy Tran</v>
          </cell>
          <cell r="AP264">
            <v>0</v>
          </cell>
          <cell r="AQ264">
            <v>31017707</v>
          </cell>
          <cell r="AR264">
            <v>0</v>
          </cell>
          <cell r="AS264">
            <v>0</v>
          </cell>
          <cell r="AT264">
            <v>6203541.4000000004</v>
          </cell>
          <cell r="AU264">
            <v>6203541.4000000004</v>
          </cell>
          <cell r="AV264">
            <v>6203541.4000000004</v>
          </cell>
          <cell r="AW264">
            <v>0</v>
          </cell>
          <cell r="AX264">
            <v>12407082.800000001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</row>
        <row r="265">
          <cell r="A265">
            <v>32025</v>
          </cell>
          <cell r="H265" t="str">
            <v>Hien Thi Hien Vo</v>
          </cell>
          <cell r="AP265">
            <v>0</v>
          </cell>
          <cell r="AQ265">
            <v>67577852.5</v>
          </cell>
          <cell r="AR265">
            <v>0</v>
          </cell>
          <cell r="AS265">
            <v>0</v>
          </cell>
          <cell r="AT265">
            <v>13515570.5</v>
          </cell>
          <cell r="AU265">
            <v>13515570.5</v>
          </cell>
          <cell r="AV265">
            <v>13515570.5</v>
          </cell>
          <cell r="AW265">
            <v>0</v>
          </cell>
          <cell r="AX265">
            <v>27031141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</row>
        <row r="266">
          <cell r="A266">
            <v>32025</v>
          </cell>
          <cell r="H266" t="str">
            <v>Tran Thi Que Chi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13441011.200000001</v>
          </cell>
          <cell r="AU266">
            <v>13441011.200000001</v>
          </cell>
          <cell r="AV266">
            <v>13441011.200000001</v>
          </cell>
          <cell r="AW266">
            <v>0</v>
          </cell>
          <cell r="AX266">
            <v>26882022.400000002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</row>
        <row r="267">
          <cell r="A267">
            <v>32025</v>
          </cell>
          <cell r="H267" t="str">
            <v>Pham Thi  Dieu Loan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12749457</v>
          </cell>
          <cell r="AU267">
            <v>12749457</v>
          </cell>
          <cell r="AV267">
            <v>12749457</v>
          </cell>
          <cell r="AW267">
            <v>0</v>
          </cell>
          <cell r="AX267">
            <v>25498914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</row>
        <row r="268">
          <cell r="A268">
            <v>32025</v>
          </cell>
          <cell r="H268" t="str">
            <v>Truong Thi Hai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10128553.600000001</v>
          </cell>
          <cell r="AU268">
            <v>10128553.600000001</v>
          </cell>
          <cell r="AV268">
            <v>10128553.600000001</v>
          </cell>
          <cell r="AW268">
            <v>0</v>
          </cell>
          <cell r="AX268">
            <v>20257107.200000003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</row>
        <row r="269">
          <cell r="A269">
            <v>32025</v>
          </cell>
          <cell r="H269" t="str">
            <v>Bui Thi Huong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53847479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</row>
        <row r="270">
          <cell r="A270">
            <v>32025</v>
          </cell>
          <cell r="H270" t="str">
            <v>Phan Doan Kim Nhung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3853914.6</v>
          </cell>
          <cell r="AU270">
            <v>3853914.6</v>
          </cell>
          <cell r="AV270">
            <v>3853914.6</v>
          </cell>
          <cell r="AW270">
            <v>0</v>
          </cell>
          <cell r="AX270">
            <v>7707829.2000000002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</row>
        <row r="271">
          <cell r="A271">
            <v>32025</v>
          </cell>
          <cell r="H271" t="str">
            <v>Hoang Thi Kieu Oanh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5270034.4000000004</v>
          </cell>
          <cell r="AU271">
            <v>5270034.4000000004</v>
          </cell>
          <cell r="AV271">
            <v>5270034.4000000004</v>
          </cell>
          <cell r="AW271">
            <v>0</v>
          </cell>
          <cell r="AX271">
            <v>10540068.800000001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</row>
        <row r="272">
          <cell r="A272">
            <v>32025</v>
          </cell>
          <cell r="H272" t="str">
            <v>Dang Thanh Canh</v>
          </cell>
          <cell r="AP272">
            <v>0</v>
          </cell>
          <cell r="AQ272">
            <v>1062384.5999999999</v>
          </cell>
          <cell r="AR272">
            <v>0</v>
          </cell>
          <cell r="AS272">
            <v>0</v>
          </cell>
          <cell r="AT272">
            <v>1204035.8799999999</v>
          </cell>
          <cell r="AU272">
            <v>1204035.8799999999</v>
          </cell>
          <cell r="AV272">
            <v>1204035.8799999999</v>
          </cell>
          <cell r="AW272">
            <v>0</v>
          </cell>
          <cell r="AX272">
            <v>2408071.7599999998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</row>
        <row r="273">
          <cell r="A273">
            <v>32025</v>
          </cell>
          <cell r="H273" t="str">
            <v>Phan Thi Thao Nguyen</v>
          </cell>
          <cell r="AP273">
            <v>0</v>
          </cell>
          <cell r="AQ273">
            <v>8908845</v>
          </cell>
          <cell r="AR273">
            <v>0</v>
          </cell>
          <cell r="AS273">
            <v>0</v>
          </cell>
          <cell r="AT273">
            <v>10096691</v>
          </cell>
          <cell r="AU273">
            <v>10096691</v>
          </cell>
          <cell r="AV273">
            <v>10096691</v>
          </cell>
          <cell r="AW273">
            <v>0</v>
          </cell>
          <cell r="AX273">
            <v>20193382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</row>
        <row r="274">
          <cell r="A274">
            <v>32025</v>
          </cell>
          <cell r="H274" t="str">
            <v>Nguyen Thi Thanh Thanh</v>
          </cell>
          <cell r="AP274">
            <v>0</v>
          </cell>
          <cell r="AQ274">
            <v>5247009.3</v>
          </cell>
          <cell r="AR274">
            <v>0</v>
          </cell>
          <cell r="AS274">
            <v>0</v>
          </cell>
          <cell r="AT274">
            <v>5946610.5399999991</v>
          </cell>
          <cell r="AU274">
            <v>5946610.5399999991</v>
          </cell>
          <cell r="AV274">
            <v>5946610.5399999991</v>
          </cell>
          <cell r="AW274">
            <v>0</v>
          </cell>
          <cell r="AX274">
            <v>11893221.079999998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</row>
        <row r="275">
          <cell r="A275">
            <v>32025</v>
          </cell>
          <cell r="H275" t="str">
            <v>Huynh My Ngoc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49931885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</row>
        <row r="276">
          <cell r="A276">
            <v>32025</v>
          </cell>
          <cell r="H276" t="str">
            <v>Bui Thi Hong Hanh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16951576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</row>
        <row r="277">
          <cell r="A277">
            <v>32025</v>
          </cell>
          <cell r="H277" t="str">
            <v>Nguyen Thi Nhung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15375326</v>
          </cell>
          <cell r="BA277">
            <v>0</v>
          </cell>
          <cell r="BB277">
            <v>0</v>
          </cell>
          <cell r="BC277">
            <v>0</v>
          </cell>
        </row>
        <row r="278">
          <cell r="A278">
            <v>32025</v>
          </cell>
          <cell r="H278" t="str">
            <v>Mai Thi Kim Hang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15976801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</row>
        <row r="279">
          <cell r="A279">
            <v>32025</v>
          </cell>
          <cell r="H279" t="str">
            <v>Pham Thi Huyen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19156506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</row>
        <row r="280">
          <cell r="A280">
            <v>32025</v>
          </cell>
          <cell r="H280" t="str">
            <v>Vo Thi Quynh Thi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25195401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</row>
        <row r="281">
          <cell r="A281">
            <v>32025</v>
          </cell>
          <cell r="H281" t="str">
            <v>Mai Anh Thu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24081571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</row>
        <row r="282">
          <cell r="A282">
            <v>32025</v>
          </cell>
          <cell r="H282" t="str">
            <v>Vu Thi Thu Thuy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14367988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</row>
        <row r="283">
          <cell r="A283">
            <v>32025</v>
          </cell>
          <cell r="H283" t="str">
            <v>Truong Thi Diem Phuong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16743165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</row>
        <row r="284">
          <cell r="A284">
            <v>32025</v>
          </cell>
          <cell r="H284" t="str">
            <v>Nguyen Thi Tram Anh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16113622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</row>
        <row r="285">
          <cell r="A285">
            <v>32025</v>
          </cell>
          <cell r="H285" t="str">
            <v>Le Thi Ut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18070076</v>
          </cell>
          <cell r="BC285">
            <v>0</v>
          </cell>
        </row>
        <row r="286">
          <cell r="A286">
            <v>32025</v>
          </cell>
          <cell r="H286" t="str">
            <v>Ho Thi Mong Thu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19589069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</row>
        <row r="287">
          <cell r="A287">
            <v>32025</v>
          </cell>
          <cell r="H287" t="str">
            <v>Tran Thi Ngoc Duyen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14323622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</row>
        <row r="288">
          <cell r="A288">
            <v>32025</v>
          </cell>
          <cell r="H288" t="str">
            <v>Nguyen Thi Thuy Na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12824576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</row>
        <row r="289">
          <cell r="A289">
            <v>32025</v>
          </cell>
          <cell r="H289" t="str">
            <v>Le Thi Thu Hanh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69808682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</row>
        <row r="290">
          <cell r="A290">
            <v>32025</v>
          </cell>
          <cell r="H290" t="str">
            <v>ELC Operation</v>
          </cell>
          <cell r="AP290">
            <v>963264163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</row>
        <row r="291">
          <cell r="A291">
            <v>42025</v>
          </cell>
          <cell r="H291" t="str">
            <v>OneSky Head office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</row>
        <row r="292">
          <cell r="A292">
            <v>42025</v>
          </cell>
          <cell r="H292" t="str">
            <v>OneSky Head office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</row>
        <row r="293">
          <cell r="A293">
            <v>42025</v>
          </cell>
          <cell r="H293" t="str">
            <v>OneSky Head office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</row>
        <row r="294">
          <cell r="A294">
            <v>42025</v>
          </cell>
          <cell r="H294" t="str">
            <v>Service Center for Foreign Affairs</v>
          </cell>
          <cell r="AP294">
            <v>0</v>
          </cell>
          <cell r="AQ294">
            <v>20763719.300000001</v>
          </cell>
          <cell r="AR294">
            <v>0</v>
          </cell>
          <cell r="AS294">
            <v>0</v>
          </cell>
          <cell r="AT294">
            <v>46031017.740000002</v>
          </cell>
          <cell r="AU294">
            <v>39894825.740000002</v>
          </cell>
          <cell r="AV294">
            <v>26366569.740000002</v>
          </cell>
          <cell r="AW294">
            <v>0</v>
          </cell>
          <cell r="AX294">
            <v>74647859.480000004</v>
          </cell>
          <cell r="AY294">
            <v>4308352</v>
          </cell>
          <cell r="AZ294">
            <v>4564352</v>
          </cell>
          <cell r="BA294">
            <v>0</v>
          </cell>
          <cell r="BB294">
            <v>4244352</v>
          </cell>
          <cell r="BC294">
            <v>0</v>
          </cell>
        </row>
        <row r="295">
          <cell r="A295">
            <v>42025</v>
          </cell>
          <cell r="H295" t="str">
            <v>Service Center for Foreign Affairs</v>
          </cell>
          <cell r="AP295">
            <v>0</v>
          </cell>
          <cell r="AQ295">
            <v>0</v>
          </cell>
          <cell r="AR295">
            <v>7700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</row>
        <row r="296">
          <cell r="A296">
            <v>42025</v>
          </cell>
          <cell r="H296" t="str">
            <v>Phan Doan Kim Nhung</v>
          </cell>
          <cell r="AP296">
            <v>0</v>
          </cell>
          <cell r="AQ296">
            <v>0</v>
          </cell>
          <cell r="AR296">
            <v>3760966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</row>
        <row r="297">
          <cell r="A297">
            <v>42025</v>
          </cell>
          <cell r="H297" t="str">
            <v>Phan Doan Kim Nhung</v>
          </cell>
          <cell r="AP297">
            <v>0</v>
          </cell>
          <cell r="AQ297">
            <v>0</v>
          </cell>
          <cell r="AR297">
            <v>7700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</row>
        <row r="298">
          <cell r="A298">
            <v>42025</v>
          </cell>
          <cell r="H298" t="str">
            <v>Dang Thi Cam Tu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1800000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</row>
        <row r="299">
          <cell r="A299">
            <v>42025</v>
          </cell>
          <cell r="H299" t="str">
            <v>Dang Thi Cam Tu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22000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</row>
        <row r="300">
          <cell r="A300">
            <v>42025</v>
          </cell>
          <cell r="H300" t="str">
            <v>Le Thi Dieu Thuy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1600000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</row>
        <row r="301">
          <cell r="A301">
            <v>42025</v>
          </cell>
          <cell r="H301" t="str">
            <v>Le Thi Dieu Thuy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22000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</row>
        <row r="302">
          <cell r="A302">
            <v>42025</v>
          </cell>
          <cell r="H302" t="str">
            <v>Nguyen Thi Thuy Linh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1600000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</row>
        <row r="303">
          <cell r="A303">
            <v>42025</v>
          </cell>
          <cell r="H303" t="str">
            <v>Nguyen Thi Thuy Linh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22000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</row>
        <row r="304">
          <cell r="A304">
            <v>42025</v>
          </cell>
          <cell r="H304" t="str">
            <v>Cong ty co phan Vu Gia Dai Loc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3270000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</row>
        <row r="305">
          <cell r="A305">
            <v>42025</v>
          </cell>
          <cell r="H305" t="str">
            <v>Cong ty co phan Vu Gia Dai Loc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22000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</row>
        <row r="306">
          <cell r="A306">
            <v>42025</v>
          </cell>
          <cell r="H306" t="str">
            <v>Pham Thi Dieu Loan</v>
          </cell>
          <cell r="AP306">
            <v>0</v>
          </cell>
          <cell r="AQ306">
            <v>0</v>
          </cell>
          <cell r="AR306">
            <v>0</v>
          </cell>
          <cell r="AS306">
            <v>614969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</row>
        <row r="307">
          <cell r="A307">
            <v>42025</v>
          </cell>
          <cell r="H307" t="str">
            <v>Pham Thi Dieu Loan</v>
          </cell>
          <cell r="AP307">
            <v>0</v>
          </cell>
          <cell r="AQ307">
            <v>0</v>
          </cell>
          <cell r="AR307">
            <v>0</v>
          </cell>
          <cell r="AS307">
            <v>7700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</row>
        <row r="308">
          <cell r="A308">
            <v>42025</v>
          </cell>
          <cell r="H308" t="str">
            <v>Bui Thi Huong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5062000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</row>
        <row r="309">
          <cell r="A309">
            <v>42025</v>
          </cell>
          <cell r="H309" t="str">
            <v>Bui Thi Huong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7700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</row>
        <row r="310">
          <cell r="A310">
            <v>42025</v>
          </cell>
          <cell r="H310" t="str">
            <v>Phi Long company</v>
          </cell>
          <cell r="AP310">
            <v>0</v>
          </cell>
          <cell r="AQ310">
            <v>0</v>
          </cell>
          <cell r="AR310">
            <v>1060000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</row>
        <row r="311">
          <cell r="A311">
            <v>42025</v>
          </cell>
          <cell r="H311" t="str">
            <v>Phi Long company</v>
          </cell>
          <cell r="AP311">
            <v>0</v>
          </cell>
          <cell r="AQ311">
            <v>0</v>
          </cell>
          <cell r="AR311">
            <v>7700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</row>
        <row r="312">
          <cell r="A312">
            <v>42025</v>
          </cell>
          <cell r="H312" t="str">
            <v>Nguyen Thi Tra My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36828000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</row>
        <row r="313">
          <cell r="A313">
            <v>42025</v>
          </cell>
          <cell r="H313" t="str">
            <v>Nguyen Thi Tra My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22000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</row>
        <row r="314">
          <cell r="A314">
            <v>42025</v>
          </cell>
          <cell r="H314" t="str">
            <v>Dinh Cao Company</v>
          </cell>
          <cell r="AP314">
            <v>0</v>
          </cell>
          <cell r="AQ314">
            <v>0</v>
          </cell>
          <cell r="AR314">
            <v>36980000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</row>
        <row r="315">
          <cell r="A315">
            <v>42025</v>
          </cell>
          <cell r="H315" t="str">
            <v>Dinh Cao Company</v>
          </cell>
          <cell r="AP315">
            <v>0</v>
          </cell>
          <cell r="AQ315">
            <v>0</v>
          </cell>
          <cell r="AR315">
            <v>22000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</row>
        <row r="316">
          <cell r="A316">
            <v>42025</v>
          </cell>
          <cell r="H316" t="str">
            <v>Dinh Cao Company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</row>
        <row r="317">
          <cell r="A317">
            <v>42025</v>
          </cell>
          <cell r="H317" t="str">
            <v>Dinh Cao Company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</row>
        <row r="318">
          <cell r="A318">
            <v>42025</v>
          </cell>
          <cell r="H318" t="str">
            <v>Dinh Cao Company</v>
          </cell>
          <cell r="AP318">
            <v>0</v>
          </cell>
          <cell r="AQ318">
            <v>0</v>
          </cell>
          <cell r="AR318">
            <v>22000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</row>
        <row r="319">
          <cell r="A319">
            <v>42025</v>
          </cell>
          <cell r="H319" t="str">
            <v>Thanh Khe DOET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11539100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</row>
        <row r="320">
          <cell r="A320">
            <v>42025</v>
          </cell>
          <cell r="H320" t="str">
            <v>Thanh Khe DOET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</row>
        <row r="321">
          <cell r="A321">
            <v>42025</v>
          </cell>
          <cell r="H321" t="str">
            <v>Thanh Khe DOET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22000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</row>
        <row r="322">
          <cell r="A322">
            <v>42025</v>
          </cell>
          <cell r="H322" t="str">
            <v>Vietnam Tax Company</v>
          </cell>
          <cell r="AP322">
            <v>194444</v>
          </cell>
          <cell r="AQ322">
            <v>18291683.599999998</v>
          </cell>
          <cell r="AR322">
            <v>3905496</v>
          </cell>
          <cell r="AS322">
            <v>0</v>
          </cell>
          <cell r="AT322">
            <v>-4852653.120000001</v>
          </cell>
          <cell r="AU322">
            <v>-3803126.1200000006</v>
          </cell>
          <cell r="AV322">
            <v>6246164.879999999</v>
          </cell>
          <cell r="AW322">
            <v>0</v>
          </cell>
          <cell r="AX322">
            <v>11119939.759999998</v>
          </cell>
          <cell r="AY322">
            <v>-2103954</v>
          </cell>
          <cell r="AZ322">
            <v>188296</v>
          </cell>
          <cell r="BA322">
            <v>0</v>
          </cell>
          <cell r="BB322">
            <v>98546</v>
          </cell>
          <cell r="BC322">
            <v>0</v>
          </cell>
        </row>
        <row r="323">
          <cell r="A323">
            <v>42025</v>
          </cell>
          <cell r="H323" t="str">
            <v>Vietcombank</v>
          </cell>
          <cell r="AP323">
            <v>0</v>
          </cell>
          <cell r="AQ323">
            <v>0</v>
          </cell>
          <cell r="AR323">
            <v>22000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</row>
        <row r="324">
          <cell r="A324">
            <v>42025</v>
          </cell>
          <cell r="H324" t="str">
            <v>Vietcombank</v>
          </cell>
          <cell r="AP324">
            <v>0</v>
          </cell>
          <cell r="AQ324">
            <v>28629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</row>
        <row r="325">
          <cell r="A325">
            <v>42025</v>
          </cell>
          <cell r="H325" t="str">
            <v>Vietcombank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</row>
        <row r="326">
          <cell r="A326">
            <v>42025</v>
          </cell>
          <cell r="H326" t="str">
            <v>Vietcombank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</row>
        <row r="327">
          <cell r="A327">
            <v>42025</v>
          </cell>
          <cell r="H327" t="str">
            <v>Vietcombank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</row>
        <row r="328">
          <cell r="A328">
            <v>42025</v>
          </cell>
          <cell r="H328" t="str">
            <v>Vietcombank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</row>
        <row r="329">
          <cell r="A329">
            <v>42025</v>
          </cell>
          <cell r="H329" t="str">
            <v>Vietcombank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11000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</row>
        <row r="330">
          <cell r="A330">
            <v>42025</v>
          </cell>
          <cell r="H330" t="str">
            <v>Pham Thi Huyen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197964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</row>
        <row r="331">
          <cell r="A331">
            <v>42025</v>
          </cell>
          <cell r="H331" t="str">
            <v>Pham Thi Huyen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11000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</row>
        <row r="332">
          <cell r="A332">
            <v>42025</v>
          </cell>
          <cell r="H332" t="str">
            <v>Pham Thi Huyen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372000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</row>
        <row r="333">
          <cell r="A333">
            <v>42025</v>
          </cell>
          <cell r="H333" t="str">
            <v>Pham Thi Huyen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11000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</row>
        <row r="334">
          <cell r="A334">
            <v>42025</v>
          </cell>
          <cell r="H334" t="str">
            <v>Cong ty co phan Vu Gia Dai Loc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4284100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</row>
        <row r="335">
          <cell r="A335">
            <v>42025</v>
          </cell>
          <cell r="H335" t="str">
            <v>Cong ty co phan Vu Gia Dai Loc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22000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</row>
        <row r="336">
          <cell r="A336">
            <v>42025</v>
          </cell>
          <cell r="H336" t="str">
            <v>Huynh My Ngoc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15561022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</row>
        <row r="337">
          <cell r="A337">
            <v>42025</v>
          </cell>
          <cell r="H337" t="str">
            <v>Huynh My Ngoc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11000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</row>
        <row r="338">
          <cell r="A338">
            <v>42025</v>
          </cell>
          <cell r="H338" t="str">
            <v>Công ty TNHH MTV Hop Nhat Thanh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19062000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</row>
        <row r="339">
          <cell r="A339">
            <v>42025</v>
          </cell>
          <cell r="H339" t="str">
            <v>Công ty TNHH MTV Hop Nhat Thanh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4009000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</row>
        <row r="340">
          <cell r="A340">
            <v>42025</v>
          </cell>
          <cell r="H340" t="str">
            <v>Công ty TNHH MTV Hop Nhat Thanh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11000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</row>
        <row r="341">
          <cell r="A341">
            <v>42025</v>
          </cell>
          <cell r="H341" t="str">
            <v>Tran Thi Que Chi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6524000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</row>
        <row r="342">
          <cell r="A342">
            <v>42025</v>
          </cell>
          <cell r="H342" t="str">
            <v>Tran Thi Que Chi</v>
          </cell>
          <cell r="AP342">
            <v>0</v>
          </cell>
          <cell r="AQ342">
            <v>0</v>
          </cell>
          <cell r="AR342">
            <v>0</v>
          </cell>
          <cell r="AS342">
            <v>1613526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</row>
        <row r="343">
          <cell r="A343">
            <v>42025</v>
          </cell>
          <cell r="H343" t="str">
            <v>Tran Thi Que Chi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1770000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</row>
        <row r="344">
          <cell r="A344">
            <v>42025</v>
          </cell>
          <cell r="H344" t="str">
            <v>Tran Thi Que Chi</v>
          </cell>
          <cell r="AP344">
            <v>0</v>
          </cell>
          <cell r="AQ344">
            <v>0</v>
          </cell>
          <cell r="AR344">
            <v>0</v>
          </cell>
          <cell r="AS344">
            <v>739072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</row>
        <row r="345">
          <cell r="A345">
            <v>42025</v>
          </cell>
          <cell r="H345" t="str">
            <v>Tran Thi Que Chi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11000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</row>
        <row r="346">
          <cell r="A346">
            <v>42025</v>
          </cell>
          <cell r="H346" t="str">
            <v>Vu Thi Thu Thuy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3517000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</row>
        <row r="347">
          <cell r="A347">
            <v>42025</v>
          </cell>
          <cell r="H347" t="str">
            <v>Vu Thi Thu Thuy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11000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</row>
        <row r="348">
          <cell r="A348">
            <v>42025</v>
          </cell>
          <cell r="H348" t="str">
            <v>Tong Cong ty CP Buu Chinh Viettel</v>
          </cell>
          <cell r="AP348">
            <v>0</v>
          </cell>
          <cell r="AQ348">
            <v>0</v>
          </cell>
          <cell r="AR348">
            <v>1887604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</row>
        <row r="349">
          <cell r="A349">
            <v>42025</v>
          </cell>
          <cell r="H349" t="str">
            <v>Tong Cong ty CP Buu Chinh Viettel</v>
          </cell>
          <cell r="AP349">
            <v>0</v>
          </cell>
          <cell r="AQ349">
            <v>0</v>
          </cell>
          <cell r="AR349">
            <v>22000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</row>
        <row r="350">
          <cell r="A350">
            <v>42025</v>
          </cell>
          <cell r="H350" t="str">
            <v>Cong ty TNHH thuong Mai va Dich vu Ngoc An</v>
          </cell>
          <cell r="AP350">
            <v>0</v>
          </cell>
          <cell r="AQ350">
            <v>0</v>
          </cell>
          <cell r="AR350">
            <v>1832000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</row>
        <row r="351">
          <cell r="A351">
            <v>42025</v>
          </cell>
          <cell r="H351" t="str">
            <v>Cong ty TNHH thuong Mai va Dich vu Ngoc An</v>
          </cell>
          <cell r="AP351">
            <v>0</v>
          </cell>
          <cell r="AQ351">
            <v>0</v>
          </cell>
          <cell r="AR351">
            <v>22000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</row>
        <row r="352">
          <cell r="A352">
            <v>42025</v>
          </cell>
          <cell r="H352" t="str">
            <v>CONG TY CO PHAN MP CAR RENTAL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3100000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</row>
        <row r="353">
          <cell r="A353">
            <v>42025</v>
          </cell>
          <cell r="H353" t="str">
            <v>CONG TY CO PHAN MP CAR RENTAL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22000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</row>
        <row r="354">
          <cell r="A354">
            <v>42025</v>
          </cell>
          <cell r="H354" t="str">
            <v>Tap doan Cong nghiep - Vien thong Quan Doi</v>
          </cell>
          <cell r="AP354">
            <v>0</v>
          </cell>
          <cell r="AQ354">
            <v>0</v>
          </cell>
          <cell r="AR354">
            <v>1011900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</row>
        <row r="355">
          <cell r="A355">
            <v>42025</v>
          </cell>
          <cell r="H355" t="str">
            <v>Tap doan Cong nghiep - Vien thong Quan Doi</v>
          </cell>
          <cell r="AP355">
            <v>0</v>
          </cell>
          <cell r="AQ355">
            <v>0</v>
          </cell>
          <cell r="AR355">
            <v>22000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</row>
        <row r="356">
          <cell r="A356">
            <v>42025</v>
          </cell>
          <cell r="H356" t="str">
            <v>Duy Anh Ngoc Viet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5230000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</row>
        <row r="357">
          <cell r="A357">
            <v>42025</v>
          </cell>
          <cell r="H357" t="str">
            <v>Duy Anh Ngoc Viet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22000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</row>
        <row r="358">
          <cell r="A358">
            <v>42025</v>
          </cell>
          <cell r="H358" t="str">
            <v>Service Center for Foreign Affairs</v>
          </cell>
          <cell r="AP358">
            <v>0</v>
          </cell>
          <cell r="AQ358">
            <v>20763719.300000001</v>
          </cell>
          <cell r="AR358">
            <v>0</v>
          </cell>
          <cell r="AS358">
            <v>0</v>
          </cell>
          <cell r="AT358">
            <v>42426665.740000002</v>
          </cell>
          <cell r="AU358">
            <v>38459625.740000002</v>
          </cell>
          <cell r="AV358">
            <v>26366569.740000002</v>
          </cell>
          <cell r="AW358">
            <v>0</v>
          </cell>
          <cell r="AX358">
            <v>74647859.480000004</v>
          </cell>
          <cell r="AY358">
            <v>4308352</v>
          </cell>
          <cell r="AZ358">
            <v>4564352</v>
          </cell>
          <cell r="BA358">
            <v>0</v>
          </cell>
          <cell r="BB358">
            <v>4244352</v>
          </cell>
          <cell r="BC358">
            <v>0</v>
          </cell>
        </row>
        <row r="359">
          <cell r="A359">
            <v>42025</v>
          </cell>
          <cell r="H359" t="str">
            <v>Service Center for Foreign Affairs</v>
          </cell>
          <cell r="AP359">
            <v>0</v>
          </cell>
          <cell r="AQ359">
            <v>0</v>
          </cell>
          <cell r="AR359">
            <v>11000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</row>
        <row r="360">
          <cell r="A360">
            <v>42025</v>
          </cell>
          <cell r="H360" t="str">
            <v>Hien Thi Hien Vo</v>
          </cell>
          <cell r="AP360">
            <v>0</v>
          </cell>
          <cell r="AQ360">
            <v>65479672</v>
          </cell>
          <cell r="AR360">
            <v>0</v>
          </cell>
          <cell r="AS360">
            <v>0</v>
          </cell>
          <cell r="AT360">
            <v>13095934.4</v>
          </cell>
          <cell r="AU360">
            <v>13095934.4</v>
          </cell>
          <cell r="AV360">
            <v>13095934.4</v>
          </cell>
          <cell r="AW360">
            <v>0</v>
          </cell>
          <cell r="AX360">
            <v>26191868.800000001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</row>
        <row r="361">
          <cell r="A361">
            <v>42025</v>
          </cell>
          <cell r="H361" t="str">
            <v>Thuy Thi Bich Thuy Tran</v>
          </cell>
          <cell r="AP361">
            <v>0</v>
          </cell>
          <cell r="AQ361">
            <v>26297746</v>
          </cell>
          <cell r="AR361">
            <v>0</v>
          </cell>
          <cell r="AS361">
            <v>0</v>
          </cell>
          <cell r="AT361">
            <v>5259549.2</v>
          </cell>
          <cell r="AU361">
            <v>5259549.2</v>
          </cell>
          <cell r="AV361">
            <v>5259549.2</v>
          </cell>
          <cell r="AW361">
            <v>0</v>
          </cell>
          <cell r="AX361">
            <v>10519098.4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</row>
        <row r="362">
          <cell r="A362">
            <v>42025</v>
          </cell>
          <cell r="H362" t="str">
            <v>Tran Thi Que Chi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11620118.800000001</v>
          </cell>
          <cell r="AU362">
            <v>11620118.800000001</v>
          </cell>
          <cell r="AV362">
            <v>11620118.800000001</v>
          </cell>
          <cell r="AW362">
            <v>0</v>
          </cell>
          <cell r="AX362">
            <v>23240237.600000001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</row>
        <row r="363">
          <cell r="A363">
            <v>42025</v>
          </cell>
          <cell r="H363" t="str">
            <v>Maggie Huyen Nguyen</v>
          </cell>
          <cell r="AP363">
            <v>0</v>
          </cell>
          <cell r="AQ363">
            <v>7181115.5999999996</v>
          </cell>
          <cell r="AR363">
            <v>0</v>
          </cell>
          <cell r="AS363">
            <v>0</v>
          </cell>
          <cell r="AT363">
            <v>8138597.6799999997</v>
          </cell>
          <cell r="AU363">
            <v>8138597.6799999997</v>
          </cell>
          <cell r="AV363">
            <v>8138597.6799999997</v>
          </cell>
          <cell r="AW363">
            <v>0</v>
          </cell>
          <cell r="AX363">
            <v>16277195.359999999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</row>
        <row r="364">
          <cell r="A364">
            <v>42025</v>
          </cell>
          <cell r="H364" t="str">
            <v>Nguyen Hong Kim</v>
          </cell>
          <cell r="AP364">
            <v>0</v>
          </cell>
          <cell r="AQ364">
            <v>18424336.5</v>
          </cell>
          <cell r="AR364">
            <v>0</v>
          </cell>
          <cell r="AS364">
            <v>0</v>
          </cell>
          <cell r="AT364">
            <v>3684867.3000000003</v>
          </cell>
          <cell r="AU364">
            <v>3684867.3000000003</v>
          </cell>
          <cell r="AV364">
            <v>3684867.3000000003</v>
          </cell>
          <cell r="AW364">
            <v>0</v>
          </cell>
          <cell r="AX364">
            <v>7369734.6000000006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</row>
        <row r="365">
          <cell r="A365">
            <v>42025</v>
          </cell>
          <cell r="H365" t="str">
            <v>Hoang Thi Kieu Oanh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4699306.4000000004</v>
          </cell>
          <cell r="AU365">
            <v>4699306.4000000004</v>
          </cell>
          <cell r="AV365">
            <v>4699306.4000000004</v>
          </cell>
          <cell r="AW365">
            <v>0</v>
          </cell>
          <cell r="AX365">
            <v>9398612.8000000007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</row>
        <row r="366">
          <cell r="A366">
            <v>42025</v>
          </cell>
          <cell r="H366" t="str">
            <v>Pham Thi  Dieu Loan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10810469.200000001</v>
          </cell>
          <cell r="AU366">
            <v>10810469.200000001</v>
          </cell>
          <cell r="AV366">
            <v>10810469.200000001</v>
          </cell>
          <cell r="AW366">
            <v>0</v>
          </cell>
          <cell r="AX366">
            <v>21620938.400000002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</row>
        <row r="367">
          <cell r="A367">
            <v>42025</v>
          </cell>
          <cell r="H367" t="str">
            <v>Phan Doan Kim Nhung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3553175.6</v>
          </cell>
          <cell r="AU367">
            <v>3553175.6</v>
          </cell>
          <cell r="AV367">
            <v>3553175.6</v>
          </cell>
          <cell r="AW367">
            <v>0</v>
          </cell>
          <cell r="AX367">
            <v>7106351.2000000002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</row>
        <row r="368">
          <cell r="A368">
            <v>42025</v>
          </cell>
          <cell r="H368" t="str">
            <v>Truong Thi Hai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8704912.8000000007</v>
          </cell>
          <cell r="AU368">
            <v>8704912.8000000007</v>
          </cell>
          <cell r="AV368">
            <v>8704912.8000000007</v>
          </cell>
          <cell r="AW368">
            <v>0</v>
          </cell>
          <cell r="AX368">
            <v>17409825.600000001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</row>
        <row r="369">
          <cell r="A369">
            <v>42025</v>
          </cell>
          <cell r="H369" t="str">
            <v>Bui Thi Huong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41462386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</row>
        <row r="370">
          <cell r="A370">
            <v>42025</v>
          </cell>
          <cell r="H370" t="str">
            <v>Huynh My Ngoc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43524564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</row>
        <row r="371">
          <cell r="A371">
            <v>42025</v>
          </cell>
          <cell r="H371" t="str">
            <v>Nguyen Thi Thanh Thanh</v>
          </cell>
          <cell r="AP371">
            <v>0</v>
          </cell>
          <cell r="AQ371">
            <v>5305014.3</v>
          </cell>
          <cell r="AR371">
            <v>0</v>
          </cell>
          <cell r="AS371">
            <v>0</v>
          </cell>
          <cell r="AT371">
            <v>6012349.5399999991</v>
          </cell>
          <cell r="AU371">
            <v>6012349.5399999991</v>
          </cell>
          <cell r="AV371">
            <v>6012349.5399999991</v>
          </cell>
          <cell r="AW371">
            <v>0</v>
          </cell>
          <cell r="AX371">
            <v>12024699.079999998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</row>
        <row r="372">
          <cell r="A372">
            <v>42025</v>
          </cell>
          <cell r="H372" t="str">
            <v>Phan Thi Thao Nguyen</v>
          </cell>
          <cell r="AP372">
            <v>0</v>
          </cell>
          <cell r="AQ372">
            <v>9001813.0499999989</v>
          </cell>
          <cell r="AR372">
            <v>0</v>
          </cell>
          <cell r="AS372">
            <v>0</v>
          </cell>
          <cell r="AT372">
            <v>10202054.789999999</v>
          </cell>
          <cell r="AU372">
            <v>10202054.789999999</v>
          </cell>
          <cell r="AV372">
            <v>10202054.789999999</v>
          </cell>
          <cell r="AW372">
            <v>0</v>
          </cell>
          <cell r="AX372">
            <v>20404109.579999998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</row>
        <row r="373">
          <cell r="A373">
            <v>42025</v>
          </cell>
          <cell r="H373" t="str">
            <v>Bui Thi Hong Hanh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14687426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</row>
        <row r="374">
          <cell r="A374">
            <v>42025</v>
          </cell>
          <cell r="H374" t="str">
            <v>Mai Thi Kim Hang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15073323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</row>
        <row r="375">
          <cell r="A375">
            <v>42025</v>
          </cell>
          <cell r="H375" t="str">
            <v>Pham Thi Huyen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18094807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</row>
        <row r="376">
          <cell r="A376">
            <v>42025</v>
          </cell>
          <cell r="H376" t="str">
            <v>Vo Thi Quynh Thi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22325151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</row>
        <row r="377">
          <cell r="A377">
            <v>42025</v>
          </cell>
          <cell r="H377" t="str">
            <v>Nguyen Thi Tram Anh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17025922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</row>
        <row r="378">
          <cell r="A378">
            <v>42025</v>
          </cell>
          <cell r="H378" t="str">
            <v>Ho Thi Mong Thu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3664105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</row>
        <row r="379">
          <cell r="A379">
            <v>42025</v>
          </cell>
          <cell r="H379" t="str">
            <v>Truong Thi Diem Phuong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16125990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</row>
        <row r="380">
          <cell r="A380">
            <v>42025</v>
          </cell>
          <cell r="H380" t="str">
            <v>Vu Thi Thu Thuy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15473147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</row>
        <row r="381">
          <cell r="A381">
            <v>42025</v>
          </cell>
          <cell r="H381" t="str">
            <v>Nguyen Thi Nhung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15367626</v>
          </cell>
          <cell r="BA381">
            <v>0</v>
          </cell>
          <cell r="BB381">
            <v>0</v>
          </cell>
          <cell r="BC381">
            <v>0</v>
          </cell>
        </row>
        <row r="382">
          <cell r="A382">
            <v>42025</v>
          </cell>
          <cell r="H382" t="str">
            <v>Mai Anh Thu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21004966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</row>
        <row r="383">
          <cell r="A383">
            <v>42025</v>
          </cell>
          <cell r="H383" t="str">
            <v>Dang Thanh Canh</v>
          </cell>
          <cell r="AP383">
            <v>0</v>
          </cell>
          <cell r="AQ383">
            <v>1073326.95</v>
          </cell>
          <cell r="AR383">
            <v>0</v>
          </cell>
          <cell r="AS383">
            <v>0</v>
          </cell>
          <cell r="AT383">
            <v>1216437.21</v>
          </cell>
          <cell r="AU383">
            <v>1216437.21</v>
          </cell>
          <cell r="AV383">
            <v>1216437.21</v>
          </cell>
          <cell r="AW383">
            <v>0</v>
          </cell>
          <cell r="AX383">
            <v>2432874.42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</row>
        <row r="384">
          <cell r="A384">
            <v>42025</v>
          </cell>
          <cell r="H384" t="str">
            <v>Le Thi Ut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18585876</v>
          </cell>
          <cell r="BC384">
            <v>0</v>
          </cell>
        </row>
        <row r="385">
          <cell r="A385">
            <v>42025</v>
          </cell>
          <cell r="H385" t="str">
            <v>Tran Thi Ngoc Duyen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14945922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</row>
        <row r="386">
          <cell r="A386">
            <v>42025</v>
          </cell>
          <cell r="H386" t="str">
            <v>Le Thi Thu Hanh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70409982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</row>
        <row r="387">
          <cell r="A387">
            <v>42025</v>
          </cell>
          <cell r="H387" t="str">
            <v>Nguyen Thi Thuy Na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13549376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</row>
        <row r="388">
          <cell r="A388">
            <v>42025</v>
          </cell>
          <cell r="H388" t="str">
            <v>Vietcombank</v>
          </cell>
          <cell r="AP388">
            <v>0</v>
          </cell>
          <cell r="AQ388">
            <v>0</v>
          </cell>
          <cell r="AR388">
            <v>308000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</row>
        <row r="389">
          <cell r="A389">
            <v>42025</v>
          </cell>
          <cell r="H389" t="str">
            <v>An Phu Thinh Company</v>
          </cell>
          <cell r="AP389">
            <v>0</v>
          </cell>
          <cell r="AQ389">
            <v>0</v>
          </cell>
          <cell r="AR389">
            <v>2550700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</row>
        <row r="390">
          <cell r="A390">
            <v>42025</v>
          </cell>
          <cell r="H390" t="str">
            <v>ELC Operation</v>
          </cell>
          <cell r="AP390">
            <v>1021070995</v>
          </cell>
        </row>
        <row r="391">
          <cell r="A391">
            <v>52025</v>
          </cell>
          <cell r="H391" t="str">
            <v>Tran Thi Tam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2090000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</row>
        <row r="392">
          <cell r="A392">
            <v>52025</v>
          </cell>
          <cell r="H392" t="str">
            <v>Tran Thi Tam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22000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</row>
        <row r="393">
          <cell r="A393">
            <v>52025</v>
          </cell>
          <cell r="H393" t="str">
            <v>Tong Cong ty CP Buu Chinh Viettel</v>
          </cell>
          <cell r="AP393">
            <v>0</v>
          </cell>
          <cell r="AQ393">
            <v>0</v>
          </cell>
          <cell r="AR393">
            <v>1335762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</row>
        <row r="394">
          <cell r="A394">
            <v>52025</v>
          </cell>
          <cell r="H394" t="str">
            <v>Tong Cong ty CP Buu Chinh Viettel</v>
          </cell>
          <cell r="AP394">
            <v>0</v>
          </cell>
          <cell r="AQ394">
            <v>0</v>
          </cell>
          <cell r="AR394">
            <v>22000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</row>
        <row r="395">
          <cell r="A395">
            <v>52025</v>
          </cell>
          <cell r="H395" t="str">
            <v>Tong Cong ty CP Buu Chinh Viettel</v>
          </cell>
          <cell r="AP395">
            <v>0</v>
          </cell>
          <cell r="AQ395">
            <v>0</v>
          </cell>
          <cell r="AR395">
            <v>550802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</row>
        <row r="396">
          <cell r="A396">
            <v>52025</v>
          </cell>
          <cell r="H396" t="str">
            <v>Tong Cong ty CP Buu Chinh Viettel</v>
          </cell>
          <cell r="AP396">
            <v>0</v>
          </cell>
          <cell r="AQ396">
            <v>0</v>
          </cell>
          <cell r="AR396">
            <v>22000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</row>
        <row r="397">
          <cell r="A397">
            <v>52025</v>
          </cell>
          <cell r="H397" t="str">
            <v>Ho Lam Hong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26775000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</row>
        <row r="398">
          <cell r="A398">
            <v>52025</v>
          </cell>
          <cell r="H398" t="str">
            <v>Ho Lam Hong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7700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</row>
        <row r="399">
          <cell r="A399">
            <v>52025</v>
          </cell>
          <cell r="H399" t="str">
            <v>Le Thi Thu Hanh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199838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</row>
        <row r="400">
          <cell r="A400">
            <v>52025</v>
          </cell>
          <cell r="H400" t="str">
            <v>Le Thi Thu Hanh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7700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</row>
        <row r="401">
          <cell r="A401">
            <v>52025</v>
          </cell>
          <cell r="H401" t="str">
            <v>Nguyen Thi Dieu Huyen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1508000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</row>
        <row r="402">
          <cell r="A402">
            <v>52025</v>
          </cell>
          <cell r="H402" t="str">
            <v>Nguyen Thi Dieu Huyen</v>
          </cell>
          <cell r="AP402">
            <v>0</v>
          </cell>
          <cell r="AQ402">
            <v>0</v>
          </cell>
          <cell r="AR402">
            <v>7700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</row>
        <row r="403">
          <cell r="A403">
            <v>52025</v>
          </cell>
          <cell r="H403" t="str">
            <v>Nguyen Thi Dieu Huyen</v>
          </cell>
          <cell r="AP403">
            <v>0</v>
          </cell>
          <cell r="AQ403">
            <v>0</v>
          </cell>
          <cell r="AR403">
            <v>321000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</row>
        <row r="404">
          <cell r="A404">
            <v>52025</v>
          </cell>
          <cell r="H404" t="str">
            <v>Ngu Hanh Son DOET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</row>
        <row r="405">
          <cell r="A405">
            <v>52025</v>
          </cell>
          <cell r="H405" t="str">
            <v>Ngu Hanh Son DOET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22000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</row>
        <row r="406">
          <cell r="A406">
            <v>52025</v>
          </cell>
          <cell r="H406" t="str">
            <v>Ngu Hanh Son DOET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11620000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</row>
        <row r="407">
          <cell r="A407">
            <v>52025</v>
          </cell>
          <cell r="H407" t="str">
            <v>Tap doan Cong nghiep - Vien thong Quan Doi</v>
          </cell>
          <cell r="AP407">
            <v>0</v>
          </cell>
          <cell r="AQ407">
            <v>0</v>
          </cell>
          <cell r="AR407">
            <v>1017500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</row>
        <row r="408">
          <cell r="A408">
            <v>52025</v>
          </cell>
          <cell r="H408" t="str">
            <v>Tap doan Cong nghiep - Vien thong Quan Doi</v>
          </cell>
          <cell r="AP408">
            <v>0</v>
          </cell>
          <cell r="AQ408">
            <v>0</v>
          </cell>
          <cell r="AR408">
            <v>22000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</row>
        <row r="409">
          <cell r="A409">
            <v>52025</v>
          </cell>
          <cell r="H409" t="str">
            <v>Nguyen Hong Kim</v>
          </cell>
          <cell r="AP409">
            <v>0</v>
          </cell>
          <cell r="AQ409">
            <v>0</v>
          </cell>
          <cell r="AR409">
            <v>2139000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</row>
        <row r="410">
          <cell r="A410">
            <v>52025</v>
          </cell>
          <cell r="H410" t="str">
            <v>Nguyen Hong Kim</v>
          </cell>
          <cell r="AP410">
            <v>0</v>
          </cell>
          <cell r="AQ410">
            <v>0</v>
          </cell>
          <cell r="AR410">
            <v>7700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</row>
        <row r="411">
          <cell r="A411">
            <v>52025</v>
          </cell>
          <cell r="H411" t="str">
            <v>Nguyen Hong Kim</v>
          </cell>
          <cell r="AP411">
            <v>0</v>
          </cell>
          <cell r="AQ411">
            <v>0</v>
          </cell>
          <cell r="AR411">
            <v>249160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</row>
        <row r="412">
          <cell r="A412">
            <v>52025</v>
          </cell>
          <cell r="H412" t="str">
            <v>SKYLUX Company</v>
          </cell>
          <cell r="AP412">
            <v>0</v>
          </cell>
          <cell r="AQ412">
            <v>0</v>
          </cell>
          <cell r="AR412">
            <v>648000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</row>
        <row r="413">
          <cell r="A413">
            <v>52025</v>
          </cell>
          <cell r="H413" t="str">
            <v>SKYLUX Company</v>
          </cell>
          <cell r="AP413">
            <v>0</v>
          </cell>
          <cell r="AQ413">
            <v>0</v>
          </cell>
          <cell r="AR413">
            <v>22000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</row>
        <row r="414">
          <cell r="A414">
            <v>52025</v>
          </cell>
          <cell r="H414" t="str">
            <v>Ngoc An Company</v>
          </cell>
          <cell r="AP414">
            <v>0</v>
          </cell>
          <cell r="AQ414">
            <v>0</v>
          </cell>
          <cell r="AR414">
            <v>2275500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</row>
        <row r="415">
          <cell r="A415">
            <v>52025</v>
          </cell>
          <cell r="H415" t="str">
            <v>Ngoc An Company</v>
          </cell>
          <cell r="AP415">
            <v>0</v>
          </cell>
          <cell r="AQ415">
            <v>0</v>
          </cell>
          <cell r="AR415">
            <v>22000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</row>
        <row r="416">
          <cell r="A416">
            <v>52025</v>
          </cell>
          <cell r="H416" t="str">
            <v>Hien Thi Hien Vo</v>
          </cell>
          <cell r="AP416">
            <v>0</v>
          </cell>
          <cell r="AQ416">
            <v>0</v>
          </cell>
          <cell r="AR416">
            <v>4970000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</row>
        <row r="417">
          <cell r="A417">
            <v>52025</v>
          </cell>
          <cell r="H417" t="str">
            <v>Hien Thi Hien Vo</v>
          </cell>
          <cell r="AP417">
            <v>0</v>
          </cell>
          <cell r="AQ417">
            <v>0</v>
          </cell>
          <cell r="AR417">
            <v>7700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</row>
        <row r="418">
          <cell r="A418">
            <v>52025</v>
          </cell>
          <cell r="H418" t="str">
            <v>Nguyen Hong Kim</v>
          </cell>
          <cell r="AP418">
            <v>0</v>
          </cell>
          <cell r="AQ418">
            <v>0</v>
          </cell>
          <cell r="AR418">
            <v>205528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</row>
        <row r="419">
          <cell r="A419">
            <v>52025</v>
          </cell>
          <cell r="H419" t="str">
            <v>Nguyen Hong Kim</v>
          </cell>
          <cell r="AP419">
            <v>0</v>
          </cell>
          <cell r="AQ419">
            <v>0</v>
          </cell>
          <cell r="AR419">
            <v>7700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</row>
        <row r="420">
          <cell r="A420">
            <v>52025</v>
          </cell>
          <cell r="H420" t="str">
            <v>Nguyen Thi Xuan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15000000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</row>
        <row r="421">
          <cell r="A421">
            <v>52025</v>
          </cell>
          <cell r="H421" t="str">
            <v>Nguyen Thi Xuan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22000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</row>
        <row r="422">
          <cell r="A422">
            <v>52025</v>
          </cell>
          <cell r="H422" t="str">
            <v>Ngoc An Company</v>
          </cell>
          <cell r="AP422">
            <v>0</v>
          </cell>
          <cell r="AQ422">
            <v>0</v>
          </cell>
          <cell r="AR422">
            <v>135000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</row>
        <row r="423">
          <cell r="A423">
            <v>52025</v>
          </cell>
          <cell r="H423" t="str">
            <v>Ngoc An Company</v>
          </cell>
          <cell r="AP423">
            <v>0</v>
          </cell>
          <cell r="AQ423">
            <v>0</v>
          </cell>
          <cell r="AR423">
            <v>22000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</row>
        <row r="424">
          <cell r="A424">
            <v>52025</v>
          </cell>
          <cell r="H424" t="str">
            <v>Duy Anh Ngoc Viet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2440000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</row>
        <row r="425">
          <cell r="A425">
            <v>52025</v>
          </cell>
          <cell r="H425" t="str">
            <v>Duy Anh Ngoc Viet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22000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</row>
        <row r="426">
          <cell r="A426">
            <v>52025</v>
          </cell>
          <cell r="H426" t="str">
            <v>Le Thi Thu Hanh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212417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</row>
        <row r="427">
          <cell r="A427">
            <v>52025</v>
          </cell>
          <cell r="H427" t="str">
            <v>Le Thi Thu Hanh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7700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</row>
        <row r="428">
          <cell r="A428">
            <v>52025</v>
          </cell>
          <cell r="H428" t="str">
            <v>Nguyen Tien Dung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5940000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</row>
        <row r="429">
          <cell r="A429">
            <v>52025</v>
          </cell>
          <cell r="H429" t="str">
            <v>Nguyen Tien Dung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22000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</row>
        <row r="430">
          <cell r="A430">
            <v>52025</v>
          </cell>
          <cell r="H430" t="str">
            <v>Ho Lam Hong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9450000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</row>
        <row r="431">
          <cell r="A431">
            <v>52025</v>
          </cell>
          <cell r="H431" t="str">
            <v>Ho Lam Hong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7700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</row>
        <row r="432">
          <cell r="A432">
            <v>52025</v>
          </cell>
          <cell r="H432" t="str">
            <v>Dang Thi Cam Tu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1800000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</row>
        <row r="433">
          <cell r="A433">
            <v>52025</v>
          </cell>
          <cell r="H433" t="str">
            <v>Dang Thi Cam Tu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22000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</row>
        <row r="434">
          <cell r="A434">
            <v>52025</v>
          </cell>
          <cell r="H434" t="str">
            <v>Le Thi Dieu Thuy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1600000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</row>
        <row r="435">
          <cell r="A435">
            <v>52025</v>
          </cell>
          <cell r="H435" t="str">
            <v>Le Thi Dieu Thuy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22000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</row>
        <row r="436">
          <cell r="A436">
            <v>52025</v>
          </cell>
          <cell r="H436" t="str">
            <v>Nguyen Thi Thuy Linh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1600000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</row>
        <row r="437">
          <cell r="A437">
            <v>52025</v>
          </cell>
          <cell r="H437" t="str">
            <v>Nguyen Thi Thuy Linh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22000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</row>
        <row r="438">
          <cell r="A438">
            <v>52025</v>
          </cell>
          <cell r="H438" t="str">
            <v>Bui Thi Huong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20265800</v>
          </cell>
          <cell r="AW438">
            <v>0</v>
          </cell>
          <cell r="AX438">
            <v>20472679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</row>
        <row r="439">
          <cell r="A439">
            <v>52025</v>
          </cell>
          <cell r="H439" t="str">
            <v>Bui Thi Huong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7700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</row>
        <row r="440">
          <cell r="A440">
            <v>52025</v>
          </cell>
          <cell r="H440" t="str">
            <v>Công ty TNHH MTV Hop Nhat Thanh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8898000</v>
          </cell>
          <cell r="AW440">
            <v>0</v>
          </cell>
          <cell r="AX440">
            <v>26032000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</row>
        <row r="441">
          <cell r="A441">
            <v>52025</v>
          </cell>
          <cell r="H441" t="str">
            <v>Công ty TNHH MTV Hop Nhat Thanh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7700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</row>
        <row r="442">
          <cell r="A442">
            <v>52025</v>
          </cell>
          <cell r="H442" t="str">
            <v>OneSky Head office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</row>
        <row r="443">
          <cell r="A443">
            <v>52025</v>
          </cell>
          <cell r="H443" t="str">
            <v>Hai Chau DOET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29345000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</row>
        <row r="444">
          <cell r="A444">
            <v>52025</v>
          </cell>
          <cell r="H444" t="str">
            <v>Hai Chau DOET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</row>
        <row r="445">
          <cell r="A445">
            <v>52025</v>
          </cell>
          <cell r="H445" t="str">
            <v>Vietnam Tax Company</v>
          </cell>
          <cell r="AP445">
            <v>0</v>
          </cell>
          <cell r="AQ445">
            <v>30772237.749999996</v>
          </cell>
          <cell r="AR445">
            <v>1992</v>
          </cell>
          <cell r="AS445">
            <v>0</v>
          </cell>
          <cell r="AT445">
            <v>12889838.450000001</v>
          </cell>
          <cell r="AU445">
            <v>13669290.450000001</v>
          </cell>
          <cell r="AV445">
            <v>12647813.450000001</v>
          </cell>
          <cell r="AW445">
            <v>0</v>
          </cell>
          <cell r="AX445">
            <v>51894522.900000006</v>
          </cell>
          <cell r="AY445">
            <v>152496</v>
          </cell>
          <cell r="AZ445">
            <v>188296</v>
          </cell>
          <cell r="BA445">
            <v>0</v>
          </cell>
          <cell r="BB445">
            <v>115046</v>
          </cell>
          <cell r="BC445">
            <v>0</v>
          </cell>
        </row>
        <row r="446">
          <cell r="A446">
            <v>52025</v>
          </cell>
          <cell r="H446" t="str">
            <v>OneSky Head office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</row>
        <row r="447">
          <cell r="A447">
            <v>52025</v>
          </cell>
          <cell r="H447" t="str">
            <v>OneSky Head office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</row>
        <row r="448">
          <cell r="A448">
            <v>52025</v>
          </cell>
          <cell r="H448" t="str">
            <v>Vo Thi Quynh Thi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1019932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</row>
        <row r="449">
          <cell r="A449">
            <v>52025</v>
          </cell>
          <cell r="H449" t="str">
            <v>Vo Thi Quynh Thi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7700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</row>
        <row r="450">
          <cell r="A450">
            <v>52025</v>
          </cell>
          <cell r="H450" t="str">
            <v>SKYLUX Company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2388960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</row>
        <row r="451">
          <cell r="A451">
            <v>52025</v>
          </cell>
          <cell r="H451" t="str">
            <v>SKYLUX Company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22000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</row>
        <row r="452">
          <cell r="A452">
            <v>52025</v>
          </cell>
          <cell r="H452" t="str">
            <v>Huynh My Ngoc</v>
          </cell>
          <cell r="AP452">
            <v>0</v>
          </cell>
          <cell r="AQ452">
            <v>0</v>
          </cell>
          <cell r="AR452">
            <v>0</v>
          </cell>
          <cell r="AS452">
            <v>2719999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</row>
        <row r="453">
          <cell r="A453">
            <v>52025</v>
          </cell>
          <cell r="H453" t="str">
            <v>Huynh My Ngoc</v>
          </cell>
          <cell r="AP453">
            <v>0</v>
          </cell>
          <cell r="AQ453">
            <v>0</v>
          </cell>
          <cell r="AR453">
            <v>0</v>
          </cell>
          <cell r="AS453">
            <v>7700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</row>
        <row r="454">
          <cell r="A454">
            <v>52025</v>
          </cell>
          <cell r="H454" t="str">
            <v>Mai Anh Thu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445500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</row>
        <row r="455">
          <cell r="A455">
            <v>52025</v>
          </cell>
          <cell r="H455" t="str">
            <v>Mai Anh Thu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7700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</row>
        <row r="456">
          <cell r="A456">
            <v>52025</v>
          </cell>
          <cell r="H456" t="str">
            <v>Le Thi Ut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762000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</row>
        <row r="457">
          <cell r="A457">
            <v>52025</v>
          </cell>
          <cell r="H457" t="str">
            <v>Le Thi Ut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7700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</row>
        <row r="458">
          <cell r="A458">
            <v>52025</v>
          </cell>
          <cell r="H458" t="str">
            <v>Pham Thi Huyen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1836000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</row>
        <row r="459">
          <cell r="A459">
            <v>52025</v>
          </cell>
          <cell r="H459" t="str">
            <v>Pham Thi Huyen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7700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</row>
        <row r="460">
          <cell r="A460">
            <v>52025</v>
          </cell>
          <cell r="H460" t="str">
            <v>Vu Thi Thu Thuy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5293374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</row>
        <row r="461">
          <cell r="A461">
            <v>52025</v>
          </cell>
          <cell r="H461" t="str">
            <v>Vu Thi Thu Thuy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7700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</row>
        <row r="462">
          <cell r="A462">
            <v>52025</v>
          </cell>
          <cell r="H462" t="str">
            <v>Tran Thi Que Chi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3367300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</row>
        <row r="463">
          <cell r="A463">
            <v>52025</v>
          </cell>
          <cell r="H463" t="str">
            <v>Tran Thi Que Chi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7700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</row>
        <row r="464">
          <cell r="A464">
            <v>52025</v>
          </cell>
          <cell r="H464" t="str">
            <v>Vo Thi Quynh Thi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6769000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</row>
        <row r="465">
          <cell r="A465">
            <v>52025</v>
          </cell>
          <cell r="H465" t="str">
            <v>Vo Thi Quynh Thi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7700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</row>
        <row r="466">
          <cell r="A466">
            <v>52025</v>
          </cell>
          <cell r="H466" t="str">
            <v>Cong ty co phan Vu Gia Dai Loc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4334800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</row>
        <row r="467">
          <cell r="A467">
            <v>52025</v>
          </cell>
          <cell r="H467" t="str">
            <v>Cong ty co phan Vu Gia Dai Loc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22000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</row>
        <row r="468">
          <cell r="A468">
            <v>52025</v>
          </cell>
          <cell r="H468" t="str">
            <v>Vu Thi Thu Thuy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</row>
        <row r="469">
          <cell r="A469">
            <v>52025</v>
          </cell>
          <cell r="H469" t="str">
            <v>Sanest Tourist Company</v>
          </cell>
          <cell r="AP469">
            <v>0</v>
          </cell>
          <cell r="AQ469">
            <v>0</v>
          </cell>
          <cell r="AR469">
            <v>38530000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</row>
        <row r="470">
          <cell r="A470">
            <v>52025</v>
          </cell>
          <cell r="H470" t="str">
            <v>Sanest Tourist Company</v>
          </cell>
          <cell r="AP470">
            <v>0</v>
          </cell>
          <cell r="AQ470">
            <v>0</v>
          </cell>
          <cell r="AR470">
            <v>7700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</row>
        <row r="471">
          <cell r="A471">
            <v>52025</v>
          </cell>
          <cell r="H471" t="str">
            <v>Vietcombank</v>
          </cell>
          <cell r="AP471">
            <v>0</v>
          </cell>
          <cell r="AQ471">
            <v>0</v>
          </cell>
          <cell r="AR471">
            <v>22000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</row>
        <row r="472">
          <cell r="A472">
            <v>52025</v>
          </cell>
          <cell r="H472" t="str">
            <v>Vietcombank</v>
          </cell>
          <cell r="AP472">
            <v>0</v>
          </cell>
          <cell r="AQ472">
            <v>28545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</row>
        <row r="473">
          <cell r="A473">
            <v>52025</v>
          </cell>
          <cell r="H473" t="str">
            <v>Vietcombank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</row>
        <row r="474">
          <cell r="A474">
            <v>52025</v>
          </cell>
          <cell r="H474" t="str">
            <v>Sanest Tourist Company</v>
          </cell>
          <cell r="AP474">
            <v>0</v>
          </cell>
          <cell r="AQ474">
            <v>0</v>
          </cell>
          <cell r="AR474">
            <v>15412000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</row>
        <row r="475">
          <cell r="A475">
            <v>52025</v>
          </cell>
          <cell r="H475" t="str">
            <v>Sanest Tourist Company</v>
          </cell>
          <cell r="AP475">
            <v>0</v>
          </cell>
          <cell r="AQ475">
            <v>0</v>
          </cell>
          <cell r="AR475">
            <v>7700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</row>
        <row r="476">
          <cell r="A476">
            <v>52025</v>
          </cell>
          <cell r="H476" t="str">
            <v>Phi Long company</v>
          </cell>
          <cell r="AP476">
            <v>0</v>
          </cell>
          <cell r="AQ476">
            <v>0</v>
          </cell>
          <cell r="AR476">
            <v>1552000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</row>
        <row r="477">
          <cell r="A477">
            <v>52025</v>
          </cell>
          <cell r="H477" t="str">
            <v>Phi Long company</v>
          </cell>
          <cell r="AP477">
            <v>0</v>
          </cell>
          <cell r="AQ477">
            <v>0</v>
          </cell>
          <cell r="AR477">
            <v>7700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</row>
        <row r="478">
          <cell r="A478">
            <v>52025</v>
          </cell>
          <cell r="H478" t="str">
            <v>Tran Thi Que Chi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11711475</v>
          </cell>
          <cell r="AU478">
            <v>11711475</v>
          </cell>
          <cell r="AV478">
            <v>11711475</v>
          </cell>
          <cell r="AW478">
            <v>0</v>
          </cell>
          <cell r="AX478">
            <v>23422950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</row>
        <row r="479">
          <cell r="A479">
            <v>52025</v>
          </cell>
          <cell r="H479" t="str">
            <v>Thuy Thi Bich Thuy Tran</v>
          </cell>
          <cell r="AP479">
            <v>0</v>
          </cell>
          <cell r="AQ479">
            <v>26502917</v>
          </cell>
          <cell r="AR479">
            <v>0</v>
          </cell>
          <cell r="AS479">
            <v>0</v>
          </cell>
          <cell r="AT479">
            <v>5300583.4000000004</v>
          </cell>
          <cell r="AU479">
            <v>5300583.4000000004</v>
          </cell>
          <cell r="AV479">
            <v>5300583.4000000004</v>
          </cell>
          <cell r="AW479">
            <v>0</v>
          </cell>
          <cell r="AX479">
            <v>10601166.800000001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</row>
        <row r="480">
          <cell r="A480">
            <v>52025</v>
          </cell>
          <cell r="H480" t="str">
            <v>Maggie Huyen Nguyen</v>
          </cell>
          <cell r="AP480">
            <v>0</v>
          </cell>
          <cell r="AQ480">
            <v>7236692.3999999994</v>
          </cell>
          <cell r="AR480">
            <v>0</v>
          </cell>
          <cell r="AS480">
            <v>0</v>
          </cell>
          <cell r="AT480">
            <v>8201584.7199999988</v>
          </cell>
          <cell r="AU480">
            <v>8201584.7199999988</v>
          </cell>
          <cell r="AV480">
            <v>8201584.7199999988</v>
          </cell>
          <cell r="AW480">
            <v>0</v>
          </cell>
          <cell r="AX480">
            <v>16403169.439999998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</row>
        <row r="481">
          <cell r="A481">
            <v>52025</v>
          </cell>
          <cell r="H481" t="str">
            <v>Hien Thi Hien Vo</v>
          </cell>
          <cell r="AP481">
            <v>0</v>
          </cell>
          <cell r="AQ481">
            <v>65938548</v>
          </cell>
          <cell r="AR481">
            <v>0</v>
          </cell>
          <cell r="AS481">
            <v>0</v>
          </cell>
          <cell r="AT481">
            <v>13187709.600000001</v>
          </cell>
          <cell r="AU481">
            <v>13187709.600000001</v>
          </cell>
          <cell r="AV481">
            <v>13187709.600000001</v>
          </cell>
          <cell r="AW481">
            <v>0</v>
          </cell>
          <cell r="AX481">
            <v>26375419.200000003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</row>
        <row r="482">
          <cell r="A482">
            <v>52025</v>
          </cell>
          <cell r="H482" t="str">
            <v>Truong Thi Hai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8773532.8000000007</v>
          </cell>
          <cell r="AU482">
            <v>8773532.8000000007</v>
          </cell>
          <cell r="AV482">
            <v>8773532.8000000007</v>
          </cell>
          <cell r="AW482">
            <v>0</v>
          </cell>
          <cell r="AX482">
            <v>17547065.600000001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</row>
        <row r="483">
          <cell r="A483">
            <v>52025</v>
          </cell>
          <cell r="H483" t="str">
            <v>Hoang Thi Kieu Oanh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4739991.6000000006</v>
          </cell>
          <cell r="AU483">
            <v>4739991.6000000006</v>
          </cell>
          <cell r="AV483">
            <v>4739991.6000000006</v>
          </cell>
          <cell r="AW483">
            <v>0</v>
          </cell>
          <cell r="AX483">
            <v>9479983.2000000011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</row>
        <row r="484">
          <cell r="A484">
            <v>52025</v>
          </cell>
          <cell r="H484" t="str">
            <v>Phan Doan Kim Nhung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3586251.8000000003</v>
          </cell>
          <cell r="AU484">
            <v>3586251.8000000003</v>
          </cell>
          <cell r="AV484">
            <v>3586251.8000000003</v>
          </cell>
          <cell r="AW484">
            <v>0</v>
          </cell>
          <cell r="AX484">
            <v>7172503.6000000006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</row>
        <row r="485">
          <cell r="A485">
            <v>52025</v>
          </cell>
          <cell r="H485" t="str">
            <v>Pham Thi  Dieu Loan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10896770.800000001</v>
          </cell>
          <cell r="AU485">
            <v>10896770.800000001</v>
          </cell>
          <cell r="AV485">
            <v>10896770.800000001</v>
          </cell>
          <cell r="AW485">
            <v>0</v>
          </cell>
          <cell r="AX485">
            <v>21793541.600000001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</row>
        <row r="486">
          <cell r="A486">
            <v>52025</v>
          </cell>
          <cell r="H486" t="str">
            <v>Nguyen Hong Kim</v>
          </cell>
          <cell r="AP486">
            <v>0</v>
          </cell>
          <cell r="AQ486">
            <v>18573096.5</v>
          </cell>
          <cell r="AR486">
            <v>0</v>
          </cell>
          <cell r="AS486">
            <v>0</v>
          </cell>
          <cell r="AT486">
            <v>3714619.3000000003</v>
          </cell>
          <cell r="AU486">
            <v>3714619.3000000003</v>
          </cell>
          <cell r="AV486">
            <v>3714619.3000000003</v>
          </cell>
          <cell r="AW486">
            <v>0</v>
          </cell>
          <cell r="AX486">
            <v>7429238.6000000006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</row>
        <row r="487">
          <cell r="A487">
            <v>52025</v>
          </cell>
          <cell r="H487" t="str">
            <v>Phan Thi Thao Nguyen</v>
          </cell>
          <cell r="AP487">
            <v>0</v>
          </cell>
          <cell r="AQ487">
            <v>9072748.9499999993</v>
          </cell>
          <cell r="AR487">
            <v>0</v>
          </cell>
          <cell r="AS487">
            <v>0</v>
          </cell>
          <cell r="AT487">
            <v>10282448.809999999</v>
          </cell>
          <cell r="AU487">
            <v>10282448.809999999</v>
          </cell>
          <cell r="AV487">
            <v>10282448.809999999</v>
          </cell>
          <cell r="AW487">
            <v>0</v>
          </cell>
          <cell r="AX487">
            <v>20564897.619999997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</row>
        <row r="488">
          <cell r="A488">
            <v>52025</v>
          </cell>
          <cell r="H488" t="str">
            <v>Bui Thi Huong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41809958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</row>
        <row r="489">
          <cell r="A489">
            <v>52025</v>
          </cell>
          <cell r="H489" t="str">
            <v>Huynh My Ngoc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43867664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</row>
        <row r="490">
          <cell r="A490">
            <v>52025</v>
          </cell>
          <cell r="H490" t="str">
            <v>Dang Thanh Canh</v>
          </cell>
          <cell r="AP490">
            <v>0</v>
          </cell>
          <cell r="AQ490">
            <v>1083450.5999999999</v>
          </cell>
          <cell r="AR490">
            <v>0</v>
          </cell>
          <cell r="AS490">
            <v>0</v>
          </cell>
          <cell r="AT490">
            <v>1227910.68</v>
          </cell>
          <cell r="AU490">
            <v>1227910.68</v>
          </cell>
          <cell r="AV490">
            <v>1227910.68</v>
          </cell>
          <cell r="AW490">
            <v>0</v>
          </cell>
          <cell r="AX490">
            <v>2455821.36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</row>
        <row r="491">
          <cell r="A491">
            <v>52025</v>
          </cell>
          <cell r="H491" t="str">
            <v>Nguyen Thi Thanh Thanh</v>
          </cell>
          <cell r="AP491">
            <v>0</v>
          </cell>
          <cell r="AQ491">
            <v>5350029.3</v>
          </cell>
          <cell r="AR491">
            <v>0</v>
          </cell>
          <cell r="AS491">
            <v>0</v>
          </cell>
          <cell r="AT491">
            <v>6063366.5399999991</v>
          </cell>
          <cell r="AU491">
            <v>6063366.5399999991</v>
          </cell>
          <cell r="AV491">
            <v>6063366.5399999991</v>
          </cell>
          <cell r="AW491">
            <v>0</v>
          </cell>
          <cell r="AX491">
            <v>12126733.079999998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</row>
        <row r="492">
          <cell r="A492">
            <v>52025</v>
          </cell>
          <cell r="H492" t="str">
            <v>Mai Thi Kim Hang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14872023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</row>
        <row r="493">
          <cell r="A493">
            <v>52025</v>
          </cell>
          <cell r="H493" t="str">
            <v>Nguyen Thi Nhung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15375326</v>
          </cell>
          <cell r="BA493">
            <v>0</v>
          </cell>
          <cell r="BB493">
            <v>0</v>
          </cell>
          <cell r="BC493">
            <v>0</v>
          </cell>
        </row>
        <row r="494">
          <cell r="A494">
            <v>52025</v>
          </cell>
          <cell r="H494" t="str">
            <v>Bui Thi Hong Hanh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14695126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</row>
        <row r="495">
          <cell r="A495">
            <v>52025</v>
          </cell>
          <cell r="H495" t="str">
            <v>Pham Thi Huyen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18892507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</row>
        <row r="496">
          <cell r="A496">
            <v>52025</v>
          </cell>
          <cell r="H496" t="str">
            <v>Mai Anh Thu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21718913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</row>
        <row r="497">
          <cell r="A497">
            <v>52025</v>
          </cell>
          <cell r="H497" t="str">
            <v>Vo Thi Quynh Thi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22959851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</row>
        <row r="498">
          <cell r="A498">
            <v>52025</v>
          </cell>
          <cell r="H498" t="str">
            <v>Vu Thi Thu Thuy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15400847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</row>
        <row r="499">
          <cell r="A499">
            <v>52025</v>
          </cell>
          <cell r="H499" t="str">
            <v>Nguyen Thi Tram Anh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17383622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</row>
        <row r="500">
          <cell r="A500">
            <v>52025</v>
          </cell>
          <cell r="H500" t="str">
            <v>Truong Thi Diem Phuong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15706190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</row>
        <row r="501">
          <cell r="A501">
            <v>52025</v>
          </cell>
          <cell r="H501" t="str">
            <v>Le Thi Ut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18584076</v>
          </cell>
          <cell r="BC501">
            <v>0</v>
          </cell>
        </row>
        <row r="502">
          <cell r="A502">
            <v>52025</v>
          </cell>
          <cell r="H502" t="str">
            <v>Nguyen Thi Thuy Na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14298076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</row>
        <row r="503">
          <cell r="A503">
            <v>52025</v>
          </cell>
          <cell r="H503" t="str">
            <v>Service Center for Foreign Affairs</v>
          </cell>
          <cell r="AP503">
            <v>0</v>
          </cell>
          <cell r="AQ503">
            <v>0</v>
          </cell>
          <cell r="AR503">
            <v>7700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</row>
        <row r="504">
          <cell r="A504">
            <v>52025</v>
          </cell>
          <cell r="H504" t="str">
            <v>Service Center for Foreign Affairs</v>
          </cell>
          <cell r="AP504">
            <v>0</v>
          </cell>
          <cell r="AQ504">
            <v>20763719.300000001</v>
          </cell>
          <cell r="AR504">
            <v>0</v>
          </cell>
          <cell r="AS504">
            <v>0</v>
          </cell>
          <cell r="AT504">
            <v>42426665.740000002</v>
          </cell>
          <cell r="AU504">
            <v>38459625.740000002</v>
          </cell>
          <cell r="AV504">
            <v>26366569.740000002</v>
          </cell>
          <cell r="AW504">
            <v>0</v>
          </cell>
          <cell r="AX504">
            <v>74647859.480000004</v>
          </cell>
          <cell r="AY504">
            <v>4308352</v>
          </cell>
          <cell r="AZ504">
            <v>4564352</v>
          </cell>
          <cell r="BA504">
            <v>0</v>
          </cell>
          <cell r="BB504">
            <v>4244352</v>
          </cell>
          <cell r="BC504">
            <v>0</v>
          </cell>
        </row>
        <row r="505">
          <cell r="A505">
            <v>52025</v>
          </cell>
          <cell r="H505" t="str">
            <v>Tran Thi Ngoc Duyen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15613622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</row>
        <row r="506">
          <cell r="A506">
            <v>52025</v>
          </cell>
          <cell r="H506" t="str">
            <v>Le Thi Thu Hanh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70869182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</row>
        <row r="507">
          <cell r="A507">
            <v>52025</v>
          </cell>
          <cell r="H507" t="str">
            <v>ELC Operation</v>
          </cell>
          <cell r="AP507">
            <v>1082555688</v>
          </cell>
        </row>
        <row r="508">
          <cell r="A508">
            <v>62025</v>
          </cell>
          <cell r="H508" t="str">
            <v>Cong ty TNHH Grab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</row>
        <row r="509">
          <cell r="A509">
            <v>62025</v>
          </cell>
          <cell r="H509" t="str">
            <v>Cong ty TNHH Grab</v>
          </cell>
          <cell r="AP509">
            <v>0</v>
          </cell>
          <cell r="AQ509">
            <v>0</v>
          </cell>
          <cell r="AR509">
            <v>0</v>
          </cell>
          <cell r="AS509">
            <v>22000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</row>
        <row r="510">
          <cell r="A510">
            <v>62025</v>
          </cell>
          <cell r="H510" t="str">
            <v>Cong ty Co phan di chuyen Xanh va thong minh GSM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</row>
        <row r="511">
          <cell r="A511">
            <v>62025</v>
          </cell>
          <cell r="H511" t="str">
            <v>Cong ty Co phan di chuyen Xanh va thong minh GSM</v>
          </cell>
          <cell r="AP511">
            <v>0</v>
          </cell>
          <cell r="AQ511">
            <v>0</v>
          </cell>
          <cell r="AR511">
            <v>0</v>
          </cell>
          <cell r="AS511">
            <v>22000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</row>
        <row r="512">
          <cell r="A512">
            <v>62025</v>
          </cell>
          <cell r="H512" t="str">
            <v>Nguyen Hong Kim</v>
          </cell>
          <cell r="AP512">
            <v>0</v>
          </cell>
          <cell r="AQ512">
            <v>0</v>
          </cell>
          <cell r="AR512">
            <v>256800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</row>
        <row r="513">
          <cell r="A513">
            <v>62025</v>
          </cell>
          <cell r="H513" t="str">
            <v>Nguyen Hong Kim</v>
          </cell>
          <cell r="AP513">
            <v>0</v>
          </cell>
          <cell r="AQ513">
            <v>0</v>
          </cell>
          <cell r="AR513">
            <v>7700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</row>
        <row r="514">
          <cell r="A514">
            <v>62025</v>
          </cell>
          <cell r="H514" t="str">
            <v>Nguyen Thi Dieu Huyen</v>
          </cell>
          <cell r="AP514">
            <v>0</v>
          </cell>
          <cell r="AQ514">
            <v>0</v>
          </cell>
          <cell r="AR514">
            <v>165400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</row>
        <row r="515">
          <cell r="A515">
            <v>62025</v>
          </cell>
          <cell r="H515" t="str">
            <v>Nguyen Thi Dieu Huyen</v>
          </cell>
          <cell r="AP515">
            <v>0</v>
          </cell>
          <cell r="AQ515">
            <v>0</v>
          </cell>
          <cell r="AR515">
            <v>7700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</row>
        <row r="516">
          <cell r="A516">
            <v>62025</v>
          </cell>
          <cell r="H516" t="str">
            <v>Thanh Khe DOET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30028100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</row>
        <row r="517">
          <cell r="A517">
            <v>62025</v>
          </cell>
          <cell r="H517" t="str">
            <v>Thanh Khe DOET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20359000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</row>
        <row r="518">
          <cell r="A518">
            <v>62025</v>
          </cell>
          <cell r="H518" t="str">
            <v>Ngu Hanh Son DOET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44970000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</row>
        <row r="519">
          <cell r="A519">
            <v>62025</v>
          </cell>
          <cell r="H519" t="str">
            <v>Tap doan Cong nghiep - Vien thong Quan Doi</v>
          </cell>
          <cell r="AP519">
            <v>0</v>
          </cell>
          <cell r="AQ519">
            <v>0</v>
          </cell>
          <cell r="AR519">
            <v>1012499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</row>
        <row r="520">
          <cell r="A520">
            <v>62025</v>
          </cell>
          <cell r="H520" t="str">
            <v>Tap doan Cong nghiep - Vien thong Quan Doi</v>
          </cell>
          <cell r="AP520">
            <v>0</v>
          </cell>
          <cell r="AQ520">
            <v>0</v>
          </cell>
          <cell r="AR520">
            <v>22000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</row>
        <row r="521">
          <cell r="A521">
            <v>62025</v>
          </cell>
          <cell r="H521" t="str">
            <v>Ho Lam Hong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7875000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</row>
        <row r="522">
          <cell r="A522">
            <v>62025</v>
          </cell>
          <cell r="H522" t="str">
            <v>Ho Lam Hong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7700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</row>
        <row r="523">
          <cell r="A523">
            <v>62025</v>
          </cell>
          <cell r="H523" t="str">
            <v>Tong Cong ty CP Buu Chinh Viettel</v>
          </cell>
          <cell r="AP523">
            <v>0</v>
          </cell>
          <cell r="AQ523">
            <v>0</v>
          </cell>
          <cell r="AR523">
            <v>1425399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</row>
        <row r="524">
          <cell r="A524">
            <v>62025</v>
          </cell>
          <cell r="H524" t="str">
            <v>Tong Cong ty CP Buu Chinh Viettel</v>
          </cell>
          <cell r="AP524">
            <v>0</v>
          </cell>
          <cell r="AQ524">
            <v>0</v>
          </cell>
          <cell r="AR524">
            <v>22000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</row>
        <row r="525">
          <cell r="A525">
            <v>62025</v>
          </cell>
          <cell r="H525" t="str">
            <v>Công ty TNHH MTV Hop Nhat Thanh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11758000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</row>
        <row r="526">
          <cell r="A526">
            <v>62025</v>
          </cell>
          <cell r="H526" t="str">
            <v>Công ty TNHH MTV Hop Nhat Thanh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7700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</row>
        <row r="527">
          <cell r="A527">
            <v>62025</v>
          </cell>
          <cell r="H527" t="str">
            <v>Dang Thi Cam Tu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1800000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</row>
        <row r="528">
          <cell r="A528">
            <v>62025</v>
          </cell>
          <cell r="H528" t="str">
            <v>Dang Thi Cam Tu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22000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</row>
        <row r="529">
          <cell r="A529">
            <v>62025</v>
          </cell>
          <cell r="H529" t="str">
            <v>Le Thi Dieu Thuy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1600000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</row>
        <row r="530">
          <cell r="A530">
            <v>62025</v>
          </cell>
          <cell r="H530" t="str">
            <v>Le Thi Dieu Thuy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22000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</row>
        <row r="531">
          <cell r="A531">
            <v>62025</v>
          </cell>
          <cell r="H531" t="str">
            <v>Vo Thi Quynh Thi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2217220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</row>
        <row r="532">
          <cell r="A532">
            <v>62025</v>
          </cell>
          <cell r="H532" t="str">
            <v>Vo Thi Quynh Thi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7700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</row>
        <row r="533">
          <cell r="A533">
            <v>62025</v>
          </cell>
          <cell r="H533" t="str">
            <v>Nguyen Hong Kim</v>
          </cell>
          <cell r="AP533">
            <v>0</v>
          </cell>
          <cell r="AQ533">
            <v>0</v>
          </cell>
          <cell r="AR533">
            <v>1159000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</row>
        <row r="534">
          <cell r="A534">
            <v>62025</v>
          </cell>
          <cell r="H534" t="str">
            <v>Nguyen Hong Kim</v>
          </cell>
          <cell r="AP534">
            <v>0</v>
          </cell>
          <cell r="AQ534">
            <v>0</v>
          </cell>
          <cell r="AR534">
            <v>7700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</row>
        <row r="535">
          <cell r="A535">
            <v>62025</v>
          </cell>
          <cell r="H535" t="str">
            <v>Nguyen Thi Thuy Linh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1600000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</row>
        <row r="536">
          <cell r="A536">
            <v>62025</v>
          </cell>
          <cell r="H536" t="str">
            <v>Nguyen Thi Thuy Linh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22000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</row>
        <row r="537">
          <cell r="A537">
            <v>62025</v>
          </cell>
          <cell r="H537" t="str">
            <v>Thanh Khe DOET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</row>
        <row r="538">
          <cell r="A538">
            <v>62025</v>
          </cell>
          <cell r="H538" t="str">
            <v>Thanh Khe DOET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22000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</row>
        <row r="539">
          <cell r="A539">
            <v>62025</v>
          </cell>
          <cell r="H539" t="str">
            <v>Thanh Khe DOET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</row>
        <row r="540">
          <cell r="A540">
            <v>62025</v>
          </cell>
          <cell r="H540" t="str">
            <v>Thanh Khe DOET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22000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</row>
        <row r="541">
          <cell r="A541">
            <v>62025</v>
          </cell>
          <cell r="H541" t="str">
            <v>Bui Thi Huong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3988000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</row>
        <row r="542">
          <cell r="A542">
            <v>62025</v>
          </cell>
          <cell r="H542" t="str">
            <v>Bui Thi Huong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7700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</row>
        <row r="543">
          <cell r="A543">
            <v>62025</v>
          </cell>
          <cell r="H543" t="str">
            <v>Duy Anh Ngoc Viet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2966000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</row>
        <row r="544">
          <cell r="A544">
            <v>62025</v>
          </cell>
          <cell r="H544" t="str">
            <v>Duy Anh Ngoc Viet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22000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</row>
        <row r="545">
          <cell r="A545">
            <v>62025</v>
          </cell>
          <cell r="H545" t="str">
            <v>Vietnam Tax Company</v>
          </cell>
          <cell r="AP545">
            <v>0</v>
          </cell>
          <cell r="AQ545">
            <v>31173948.399999999</v>
          </cell>
          <cell r="AR545">
            <v>0</v>
          </cell>
          <cell r="AS545">
            <v>0</v>
          </cell>
          <cell r="AT545">
            <v>13784042.520000001</v>
          </cell>
          <cell r="AU545">
            <v>14006611.520000001</v>
          </cell>
          <cell r="AV545">
            <v>16885017.520000003</v>
          </cell>
          <cell r="AW545">
            <v>0</v>
          </cell>
          <cell r="AX545">
            <v>52709199.040000007</v>
          </cell>
          <cell r="AY545">
            <v>152496</v>
          </cell>
          <cell r="AZ545">
            <v>188296</v>
          </cell>
          <cell r="BA545">
            <v>0</v>
          </cell>
          <cell r="BB545">
            <v>114546</v>
          </cell>
          <cell r="BC545">
            <v>0</v>
          </cell>
        </row>
        <row r="546">
          <cell r="A546">
            <v>62025</v>
          </cell>
          <cell r="H546" t="str">
            <v>Nguyen Van Luyen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14076000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</row>
        <row r="547">
          <cell r="A547">
            <v>62025</v>
          </cell>
          <cell r="H547" t="str">
            <v>Nguyen Van Luyen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22000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</row>
        <row r="548">
          <cell r="A548">
            <v>62025</v>
          </cell>
          <cell r="H548" t="str">
            <v>Thanh Khe DOET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</row>
        <row r="549">
          <cell r="A549">
            <v>62025</v>
          </cell>
          <cell r="H549" t="str">
            <v>Thanh Khe DOET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22000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</row>
        <row r="550">
          <cell r="A550">
            <v>62025</v>
          </cell>
          <cell r="H550" t="str">
            <v>Quang Nam DOET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221140632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</row>
        <row r="551">
          <cell r="A551">
            <v>62025</v>
          </cell>
          <cell r="H551" t="str">
            <v>Le Thi Thu Huyen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-5703791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</row>
        <row r="552">
          <cell r="A552">
            <v>62025</v>
          </cell>
          <cell r="H552" t="str">
            <v>Nguyen Thi Dieu Huyen</v>
          </cell>
          <cell r="AP552">
            <v>0</v>
          </cell>
          <cell r="AQ552">
            <v>0</v>
          </cell>
          <cell r="AR552">
            <v>302400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</row>
        <row r="553">
          <cell r="A553">
            <v>62025</v>
          </cell>
          <cell r="H553" t="str">
            <v>Nguyen Thi Dieu Huyen</v>
          </cell>
          <cell r="AP553">
            <v>0</v>
          </cell>
          <cell r="AQ553">
            <v>0</v>
          </cell>
          <cell r="AR553">
            <v>7700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</row>
        <row r="554">
          <cell r="A554">
            <v>62025</v>
          </cell>
          <cell r="H554" t="str">
            <v>Trung Khoa company</v>
          </cell>
          <cell r="AP554">
            <v>0</v>
          </cell>
          <cell r="AQ554">
            <v>0</v>
          </cell>
          <cell r="AR554">
            <v>1260400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</row>
        <row r="555">
          <cell r="A555">
            <v>62025</v>
          </cell>
          <cell r="H555" t="str">
            <v>Trung Khoa company</v>
          </cell>
          <cell r="AP555">
            <v>0</v>
          </cell>
          <cell r="AQ555">
            <v>0</v>
          </cell>
          <cell r="AR555">
            <v>22000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</row>
        <row r="556">
          <cell r="A556">
            <v>62025</v>
          </cell>
          <cell r="H556" t="str">
            <v>Bui Thi Huong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5695000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</row>
        <row r="557">
          <cell r="A557">
            <v>62025</v>
          </cell>
          <cell r="H557" t="str">
            <v>Bui Thi Huong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7700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</row>
        <row r="558">
          <cell r="A558">
            <v>62025</v>
          </cell>
          <cell r="H558" t="str">
            <v>Pham Thi Huyen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626300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</row>
        <row r="559">
          <cell r="A559">
            <v>62025</v>
          </cell>
          <cell r="H559" t="str">
            <v>Pham Thi Huyen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7700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</row>
        <row r="560">
          <cell r="A560">
            <v>62025</v>
          </cell>
          <cell r="H560" t="str">
            <v>Sanest Tourist Company</v>
          </cell>
          <cell r="AP560">
            <v>0</v>
          </cell>
          <cell r="AQ560">
            <v>0</v>
          </cell>
          <cell r="AR560">
            <v>11373000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</row>
        <row r="561">
          <cell r="A561">
            <v>62025</v>
          </cell>
          <cell r="H561" t="str">
            <v>Sanest Tourist Company</v>
          </cell>
          <cell r="AP561">
            <v>0</v>
          </cell>
          <cell r="AQ561">
            <v>0</v>
          </cell>
          <cell r="AR561">
            <v>7700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</row>
        <row r="562">
          <cell r="A562">
            <v>62025</v>
          </cell>
          <cell r="H562" t="str">
            <v>Nguyen Thi Dieu Huyen</v>
          </cell>
          <cell r="AP562">
            <v>0</v>
          </cell>
          <cell r="AQ562">
            <v>0</v>
          </cell>
          <cell r="AR562">
            <v>3807280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</row>
        <row r="563">
          <cell r="A563">
            <v>62025</v>
          </cell>
          <cell r="H563" t="str">
            <v>Nguyen Thi Dieu Huyen</v>
          </cell>
          <cell r="AP563">
            <v>0</v>
          </cell>
          <cell r="AQ563">
            <v>0</v>
          </cell>
          <cell r="AR563">
            <v>7700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</row>
        <row r="564">
          <cell r="A564">
            <v>62025</v>
          </cell>
          <cell r="H564" t="str">
            <v>Vietcombank</v>
          </cell>
          <cell r="AP564">
            <v>0</v>
          </cell>
          <cell r="AQ564">
            <v>22000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</row>
        <row r="565">
          <cell r="A565">
            <v>62025</v>
          </cell>
          <cell r="H565" t="str">
            <v>Vietcombank</v>
          </cell>
          <cell r="AP565">
            <v>0</v>
          </cell>
          <cell r="AQ565">
            <v>28763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</row>
        <row r="566">
          <cell r="A566">
            <v>62025</v>
          </cell>
          <cell r="H566" t="str">
            <v>Vietcombank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</row>
        <row r="567">
          <cell r="A567">
            <v>62025</v>
          </cell>
          <cell r="H567" t="str">
            <v>OneSky Head office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</row>
        <row r="568">
          <cell r="A568">
            <v>62025</v>
          </cell>
          <cell r="H568" t="str">
            <v>Vietcombank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</row>
        <row r="569">
          <cell r="A569">
            <v>62025</v>
          </cell>
          <cell r="H569" t="str">
            <v>Vietcombank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</row>
        <row r="570">
          <cell r="A570">
            <v>62025</v>
          </cell>
          <cell r="H570" t="str">
            <v>Service Center for Foreign Affairs</v>
          </cell>
          <cell r="AP570">
            <v>0</v>
          </cell>
          <cell r="AQ570">
            <v>20763719.300000001</v>
          </cell>
          <cell r="AR570">
            <v>0</v>
          </cell>
          <cell r="AS570">
            <v>0</v>
          </cell>
          <cell r="AT570">
            <v>42426665.740000002</v>
          </cell>
          <cell r="AU570">
            <v>42435625.740000002</v>
          </cell>
          <cell r="AV570">
            <v>26366569.740000002</v>
          </cell>
          <cell r="AW570">
            <v>0</v>
          </cell>
          <cell r="AX570">
            <v>74647859.480000004</v>
          </cell>
          <cell r="AY570">
            <v>4308352</v>
          </cell>
          <cell r="AZ570">
            <v>4564352</v>
          </cell>
          <cell r="BA570">
            <v>0</v>
          </cell>
          <cell r="BB570">
            <v>4244352</v>
          </cell>
          <cell r="BC570">
            <v>0</v>
          </cell>
        </row>
        <row r="571">
          <cell r="A571">
            <v>62025</v>
          </cell>
          <cell r="H571" t="str">
            <v>Service Center for Foreign Affairs</v>
          </cell>
          <cell r="AP571">
            <v>0</v>
          </cell>
          <cell r="AQ571">
            <v>0</v>
          </cell>
          <cell r="AR571">
            <v>7700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</row>
        <row r="572">
          <cell r="A572">
            <v>62025</v>
          </cell>
          <cell r="H572" t="str">
            <v>Hien Thi Hien Vo</v>
          </cell>
          <cell r="AP572">
            <v>0</v>
          </cell>
          <cell r="AQ572">
            <v>66186167</v>
          </cell>
          <cell r="AR572">
            <v>0</v>
          </cell>
          <cell r="AS572">
            <v>0</v>
          </cell>
          <cell r="AT572">
            <v>13237233.4</v>
          </cell>
          <cell r="AU572">
            <v>13237233.4</v>
          </cell>
          <cell r="AV572">
            <v>13237233.4</v>
          </cell>
          <cell r="AW572">
            <v>0</v>
          </cell>
          <cell r="AX572">
            <v>26474466.800000001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</row>
        <row r="573">
          <cell r="A573">
            <v>62025</v>
          </cell>
          <cell r="H573" t="str">
            <v>Thuy Thi Bich Thuy Tran</v>
          </cell>
          <cell r="AP573">
            <v>0</v>
          </cell>
          <cell r="AQ573">
            <v>26612472.5</v>
          </cell>
          <cell r="AR573">
            <v>0</v>
          </cell>
          <cell r="AS573">
            <v>0</v>
          </cell>
          <cell r="AT573">
            <v>5322494.5</v>
          </cell>
          <cell r="AU573">
            <v>5322494.5</v>
          </cell>
          <cell r="AV573">
            <v>5322494.5</v>
          </cell>
          <cell r="AW573">
            <v>0</v>
          </cell>
          <cell r="AX573">
            <v>10644989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</row>
        <row r="574">
          <cell r="A574">
            <v>62025</v>
          </cell>
          <cell r="H574" t="str">
            <v>Maggie Huyen Nguyen</v>
          </cell>
          <cell r="AP574">
            <v>0</v>
          </cell>
          <cell r="AQ574">
            <v>7266308.0999999996</v>
          </cell>
          <cell r="AR574">
            <v>0</v>
          </cell>
          <cell r="AS574">
            <v>0</v>
          </cell>
          <cell r="AT574">
            <v>8235149.1799999997</v>
          </cell>
          <cell r="AU574">
            <v>8235149.1799999997</v>
          </cell>
          <cell r="AV574">
            <v>8235149.1799999997</v>
          </cell>
          <cell r="AW574">
            <v>0</v>
          </cell>
          <cell r="AX574">
            <v>16470298.359999999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</row>
        <row r="575">
          <cell r="A575">
            <v>62025</v>
          </cell>
          <cell r="H575" t="str">
            <v>Hoang Thi Kieu Oanh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4761293.8</v>
          </cell>
          <cell r="AU575">
            <v>4761293.8</v>
          </cell>
          <cell r="AV575">
            <v>4761293.8</v>
          </cell>
          <cell r="AW575">
            <v>0</v>
          </cell>
          <cell r="AX575">
            <v>9522587.5999999996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</row>
        <row r="576">
          <cell r="A576">
            <v>62025</v>
          </cell>
          <cell r="H576" t="str">
            <v>Pham Thi  Dieu Loan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10942897</v>
          </cell>
          <cell r="AU576">
            <v>10942897</v>
          </cell>
          <cell r="AV576">
            <v>10942897</v>
          </cell>
          <cell r="AW576">
            <v>0</v>
          </cell>
          <cell r="AX576">
            <v>21885794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</row>
        <row r="577">
          <cell r="A577">
            <v>62025</v>
          </cell>
          <cell r="H577" t="str">
            <v>Tran Thi Que Chi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11760351.800000001</v>
          </cell>
          <cell r="AU577">
            <v>11760351.800000001</v>
          </cell>
          <cell r="AV577">
            <v>11760351.800000001</v>
          </cell>
          <cell r="AW577">
            <v>0</v>
          </cell>
          <cell r="AX577">
            <v>23520703.600000001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</row>
        <row r="578">
          <cell r="A578">
            <v>62025</v>
          </cell>
          <cell r="H578" t="str">
            <v>Nguyen Hong Kim</v>
          </cell>
          <cell r="AP578">
            <v>0</v>
          </cell>
          <cell r="AQ578">
            <v>18651954.5</v>
          </cell>
          <cell r="AR578">
            <v>0</v>
          </cell>
          <cell r="AS578">
            <v>0</v>
          </cell>
          <cell r="AT578">
            <v>3730390.9000000004</v>
          </cell>
          <cell r="AU578">
            <v>3730390.9000000004</v>
          </cell>
          <cell r="AV578">
            <v>3730390.9000000004</v>
          </cell>
          <cell r="AW578">
            <v>0</v>
          </cell>
          <cell r="AX578">
            <v>7460781.8000000007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</row>
        <row r="579">
          <cell r="A579">
            <v>62025</v>
          </cell>
          <cell r="H579" t="str">
            <v>Huynh My Ngoc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44050184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</row>
        <row r="580">
          <cell r="A580">
            <v>62025</v>
          </cell>
          <cell r="H580" t="str">
            <v>Truong Thi Hai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8810036.8000000007</v>
          </cell>
          <cell r="AU580">
            <v>8810036.8000000007</v>
          </cell>
          <cell r="AV580">
            <v>8810036.8000000007</v>
          </cell>
          <cell r="AW580">
            <v>0</v>
          </cell>
          <cell r="AX580">
            <v>17620073.600000001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</row>
        <row r="581">
          <cell r="A581">
            <v>62025</v>
          </cell>
          <cell r="H581" t="str">
            <v>Bui Thi Huong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41994911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</row>
        <row r="582">
          <cell r="A582">
            <v>62025</v>
          </cell>
          <cell r="H582" t="str">
            <v>Nguyen Thi Thanh Thanh</v>
          </cell>
          <cell r="AP582">
            <v>0</v>
          </cell>
          <cell r="AQ582">
            <v>5373897.2999999998</v>
          </cell>
          <cell r="AR582">
            <v>0</v>
          </cell>
          <cell r="AS582">
            <v>0</v>
          </cell>
          <cell r="AT582">
            <v>6090416.9399999995</v>
          </cell>
          <cell r="AU582">
            <v>6090416.9399999995</v>
          </cell>
          <cell r="AV582">
            <v>6090416.9399999995</v>
          </cell>
          <cell r="AW582">
            <v>0</v>
          </cell>
          <cell r="AX582">
            <v>12180833.879999999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</row>
        <row r="583">
          <cell r="A583">
            <v>62025</v>
          </cell>
          <cell r="H583" t="str">
            <v>Phan Doan Kim Nhung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3603413.4000000004</v>
          </cell>
          <cell r="AU583">
            <v>3603413.4000000004</v>
          </cell>
          <cell r="AV583">
            <v>3603413.4000000004</v>
          </cell>
          <cell r="AW583">
            <v>0</v>
          </cell>
          <cell r="AX583">
            <v>7206826.8000000007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</row>
        <row r="584">
          <cell r="A584">
            <v>62025</v>
          </cell>
          <cell r="H584" t="str">
            <v>Nguyen Thi Nhung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15375326</v>
          </cell>
          <cell r="BA584">
            <v>0</v>
          </cell>
          <cell r="BB584">
            <v>0</v>
          </cell>
          <cell r="BC584">
            <v>0</v>
          </cell>
        </row>
        <row r="585">
          <cell r="A585">
            <v>62025</v>
          </cell>
          <cell r="H585" t="str">
            <v>Dang Thanh Canh</v>
          </cell>
          <cell r="AP585">
            <v>0</v>
          </cell>
          <cell r="AQ585">
            <v>1088331.3</v>
          </cell>
          <cell r="AR585">
            <v>0</v>
          </cell>
          <cell r="AS585">
            <v>0</v>
          </cell>
          <cell r="AT585">
            <v>1233442.1399999999</v>
          </cell>
          <cell r="AU585">
            <v>1233442.1399999999</v>
          </cell>
          <cell r="AV585">
            <v>1233442.1399999999</v>
          </cell>
          <cell r="AW585">
            <v>0</v>
          </cell>
          <cell r="AX585">
            <v>2466884.2799999998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</row>
        <row r="586">
          <cell r="A586">
            <v>62025</v>
          </cell>
          <cell r="H586" t="str">
            <v>Mai Anh Thu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16164826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</row>
        <row r="587">
          <cell r="A587">
            <v>62025</v>
          </cell>
          <cell r="H587" t="str">
            <v>Phan Thi Thao Nguyen</v>
          </cell>
          <cell r="AP587">
            <v>0</v>
          </cell>
          <cell r="AQ587">
            <v>9110722.7999999989</v>
          </cell>
          <cell r="AR587">
            <v>0</v>
          </cell>
          <cell r="AS587">
            <v>0</v>
          </cell>
          <cell r="AT587">
            <v>10325485.84</v>
          </cell>
          <cell r="AU587">
            <v>10325485.84</v>
          </cell>
          <cell r="AV587">
            <v>10325485.84</v>
          </cell>
          <cell r="AW587">
            <v>0</v>
          </cell>
          <cell r="AX587">
            <v>20650971.68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</row>
        <row r="588">
          <cell r="A588">
            <v>62025</v>
          </cell>
          <cell r="H588" t="str">
            <v>Bui Thi Hong Hanh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14695126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</row>
        <row r="589">
          <cell r="A589">
            <v>62025</v>
          </cell>
          <cell r="H589" t="str">
            <v>Pham Thi Huyen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18252507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</row>
        <row r="590">
          <cell r="A590">
            <v>62025</v>
          </cell>
          <cell r="H590" t="str">
            <v>Vo Thi Quynh Thi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22228351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</row>
        <row r="591">
          <cell r="A591">
            <v>62025</v>
          </cell>
          <cell r="H591" t="str">
            <v>Truong Thi Diem Phuong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15212190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</row>
        <row r="592">
          <cell r="A592">
            <v>62025</v>
          </cell>
          <cell r="H592" t="str">
            <v>Nguyen Thi Tram Anh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16863622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</row>
        <row r="593">
          <cell r="A593">
            <v>62025</v>
          </cell>
          <cell r="H593" t="str">
            <v>Mai Thi Kim Hang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14777023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</row>
        <row r="594">
          <cell r="A594">
            <v>62025</v>
          </cell>
          <cell r="H594" t="str">
            <v>Nguyen Thi Thuy Na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12824576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</row>
        <row r="595">
          <cell r="A595">
            <v>62025</v>
          </cell>
          <cell r="H595" t="str">
            <v>Le Thi Ut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18565076</v>
          </cell>
          <cell r="BC595">
            <v>0</v>
          </cell>
        </row>
        <row r="596">
          <cell r="A596">
            <v>62025</v>
          </cell>
          <cell r="H596" t="str">
            <v>Tran Thi Ngoc Duyen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19950697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</row>
        <row r="597">
          <cell r="A597">
            <v>62025</v>
          </cell>
          <cell r="H597" t="str">
            <v>Vu Thi Thu Thuy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15350847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</row>
        <row r="598">
          <cell r="A598">
            <v>62025</v>
          </cell>
          <cell r="H598" t="str">
            <v>Le Thi Thu Hanh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71114882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</row>
        <row r="599">
          <cell r="A599">
            <v>62025</v>
          </cell>
          <cell r="H599" t="str">
            <v>Pham Thi Nhi Ca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10946879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</row>
        <row r="600">
          <cell r="A600">
            <v>62025</v>
          </cell>
          <cell r="H600" t="str">
            <v>ELC account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</row>
        <row r="601">
          <cell r="A601">
            <v>62025</v>
          </cell>
          <cell r="H601" t="str">
            <v>ELC Operation</v>
          </cell>
          <cell r="AP601">
            <v>982625995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</row>
        <row r="602">
          <cell r="A602">
            <v>72025</v>
          </cell>
          <cell r="H602" t="str">
            <v>OneSky Head office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</row>
        <row r="603">
          <cell r="A603">
            <v>72025</v>
          </cell>
          <cell r="H603" t="str">
            <v>Truong Thi Diem Phuong</v>
          </cell>
          <cell r="AP603">
            <v>0</v>
          </cell>
          <cell r="AQ603">
            <v>0</v>
          </cell>
          <cell r="AR603">
            <v>0</v>
          </cell>
          <cell r="AS603">
            <v>7443727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</row>
        <row r="604">
          <cell r="A604">
            <v>72025</v>
          </cell>
          <cell r="H604" t="str">
            <v>Truong Thi Diem Phuong</v>
          </cell>
          <cell r="AP604">
            <v>0</v>
          </cell>
          <cell r="AQ604">
            <v>0</v>
          </cell>
          <cell r="AR604">
            <v>0</v>
          </cell>
          <cell r="AS604">
            <v>11000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</row>
        <row r="605">
          <cell r="A605">
            <v>72025</v>
          </cell>
          <cell r="H605" t="str">
            <v>Vo Thi Quynh Thi</v>
          </cell>
          <cell r="AP605">
            <v>0</v>
          </cell>
          <cell r="AQ605">
            <v>0</v>
          </cell>
          <cell r="AR605">
            <v>2668636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</row>
        <row r="606">
          <cell r="A606">
            <v>72025</v>
          </cell>
          <cell r="H606" t="str">
            <v>Vo Thi Quynh Thi</v>
          </cell>
          <cell r="AP606">
            <v>0</v>
          </cell>
          <cell r="AQ606">
            <v>0</v>
          </cell>
          <cell r="AR606">
            <v>11000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</row>
        <row r="607">
          <cell r="A607">
            <v>72025</v>
          </cell>
          <cell r="H607" t="str">
            <v>Le Thi Ut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622000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</row>
        <row r="608">
          <cell r="A608">
            <v>72025</v>
          </cell>
          <cell r="H608" t="str">
            <v>Le Thi Ut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11000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</row>
        <row r="609">
          <cell r="A609">
            <v>72025</v>
          </cell>
          <cell r="H609" t="str">
            <v>Công ty TNHH MTV Hop Nhat Thanh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2648000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</row>
        <row r="610">
          <cell r="A610">
            <v>72025</v>
          </cell>
          <cell r="H610" t="str">
            <v>Công ty TNHH MTV Hop Nhat Thanh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11000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</row>
        <row r="611">
          <cell r="A611">
            <v>72025</v>
          </cell>
          <cell r="H611" t="str">
            <v>Tran Thi Que Chi</v>
          </cell>
          <cell r="AP611">
            <v>0</v>
          </cell>
          <cell r="AQ611">
            <v>0</v>
          </cell>
          <cell r="AR611">
            <v>0</v>
          </cell>
          <cell r="AS611">
            <v>792741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</row>
        <row r="612">
          <cell r="A612">
            <v>72025</v>
          </cell>
          <cell r="H612" t="str">
            <v>Tran Thi Que Chi</v>
          </cell>
          <cell r="AP612">
            <v>0</v>
          </cell>
          <cell r="AQ612">
            <v>0</v>
          </cell>
          <cell r="AR612">
            <v>0</v>
          </cell>
          <cell r="AS612">
            <v>11000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</row>
        <row r="613">
          <cell r="A613">
            <v>72025</v>
          </cell>
          <cell r="H613" t="str">
            <v>Ho Lam Hong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7875000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</row>
        <row r="614">
          <cell r="A614">
            <v>72025</v>
          </cell>
          <cell r="H614" t="str">
            <v>Ho Lam Hong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11000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</row>
        <row r="615">
          <cell r="A615">
            <v>72025</v>
          </cell>
          <cell r="H615" t="str">
            <v>Vu Thi Thu Thuy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3755000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</row>
        <row r="616">
          <cell r="A616">
            <v>72025</v>
          </cell>
          <cell r="H616" t="str">
            <v>Vu Thi Thu Thuy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11000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</row>
        <row r="617">
          <cell r="A617">
            <v>72025</v>
          </cell>
          <cell r="H617" t="str">
            <v>Bui Thi Huong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1507000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</row>
        <row r="618">
          <cell r="A618">
            <v>72025</v>
          </cell>
          <cell r="H618" t="str">
            <v>Bui Thi Huong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11000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</row>
        <row r="619">
          <cell r="A619">
            <v>72025</v>
          </cell>
          <cell r="H619" t="str">
            <v>Bui Thi Huong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11000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</row>
        <row r="620">
          <cell r="A620">
            <v>72025</v>
          </cell>
          <cell r="H620" t="str">
            <v>Cong ty TNHH Huu Nghi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756000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</row>
        <row r="621">
          <cell r="A621">
            <v>72025</v>
          </cell>
          <cell r="H621" t="str">
            <v>Cong ty TNHH Huu Nghi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11000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</row>
        <row r="622">
          <cell r="A622">
            <v>72025</v>
          </cell>
          <cell r="H622" t="str">
            <v>Nguyen Hong Kim</v>
          </cell>
          <cell r="AP622">
            <v>0</v>
          </cell>
          <cell r="AQ622">
            <v>0</v>
          </cell>
          <cell r="AR622">
            <v>1249500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</row>
        <row r="623">
          <cell r="A623">
            <v>72025</v>
          </cell>
          <cell r="H623" t="str">
            <v>Nguyen Hong Kim</v>
          </cell>
          <cell r="AP623">
            <v>0</v>
          </cell>
          <cell r="AQ623">
            <v>0</v>
          </cell>
          <cell r="AR623">
            <v>11000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</row>
        <row r="624">
          <cell r="A624">
            <v>72025</v>
          </cell>
          <cell r="H624" t="str">
            <v>Phan Thi Thao Nguyen</v>
          </cell>
          <cell r="AP624">
            <v>0</v>
          </cell>
          <cell r="AQ624">
            <v>0</v>
          </cell>
          <cell r="AR624">
            <v>404032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</row>
        <row r="625">
          <cell r="A625">
            <v>72025</v>
          </cell>
          <cell r="H625" t="str">
            <v>Phan Thi Thao Nguyen</v>
          </cell>
          <cell r="AP625">
            <v>0</v>
          </cell>
          <cell r="AQ625">
            <v>0</v>
          </cell>
          <cell r="AR625">
            <v>11000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</row>
        <row r="626">
          <cell r="A626">
            <v>72025</v>
          </cell>
          <cell r="H626" t="str">
            <v>Le Thi Thu Hanh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622500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</row>
        <row r="627">
          <cell r="A627">
            <v>72025</v>
          </cell>
          <cell r="H627" t="str">
            <v>Le Thi Thu Hanh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11000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</row>
        <row r="628">
          <cell r="A628">
            <v>72025</v>
          </cell>
          <cell r="H628" t="str">
            <v>Nguyen Thi Thanh Thanh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</row>
        <row r="629">
          <cell r="A629">
            <v>72025</v>
          </cell>
          <cell r="H629" t="str">
            <v>Nguyen Thi Thanh Thanh</v>
          </cell>
          <cell r="AP629">
            <v>0</v>
          </cell>
          <cell r="AQ629">
            <v>0</v>
          </cell>
          <cell r="AR629">
            <v>11000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</row>
        <row r="630">
          <cell r="A630">
            <v>72025</v>
          </cell>
          <cell r="H630" t="str">
            <v>Tran Thi Que Chi</v>
          </cell>
          <cell r="AP630">
            <v>0</v>
          </cell>
          <cell r="AQ630">
            <v>0</v>
          </cell>
          <cell r="AR630">
            <v>0</v>
          </cell>
          <cell r="AS630">
            <v>1408000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</row>
        <row r="631">
          <cell r="A631">
            <v>72025</v>
          </cell>
          <cell r="H631" t="str">
            <v>Tran Thi Que Chi</v>
          </cell>
          <cell r="AP631">
            <v>0</v>
          </cell>
          <cell r="AQ631">
            <v>0</v>
          </cell>
          <cell r="AR631">
            <v>0</v>
          </cell>
          <cell r="AS631">
            <v>11000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</row>
        <row r="632">
          <cell r="A632">
            <v>72025</v>
          </cell>
          <cell r="H632" t="str">
            <v>Vo Thi Quynh Thi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2917900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</row>
        <row r="633">
          <cell r="A633">
            <v>72025</v>
          </cell>
          <cell r="H633" t="str">
            <v>Vo Thi Quynh Thi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11000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</row>
        <row r="634">
          <cell r="A634">
            <v>72025</v>
          </cell>
          <cell r="H634" t="str">
            <v>Phan Doan Kim Nhung</v>
          </cell>
          <cell r="AP634">
            <v>0</v>
          </cell>
          <cell r="AQ634">
            <v>0</v>
          </cell>
          <cell r="AR634">
            <v>0</v>
          </cell>
          <cell r="AS634">
            <v>12897464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</row>
        <row r="635">
          <cell r="A635">
            <v>72025</v>
          </cell>
          <cell r="H635" t="str">
            <v>Phan Doan Kim Nhung</v>
          </cell>
          <cell r="AP635">
            <v>0</v>
          </cell>
          <cell r="AQ635">
            <v>0</v>
          </cell>
          <cell r="AR635">
            <v>0</v>
          </cell>
          <cell r="AS635">
            <v>11000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</row>
        <row r="636">
          <cell r="A636">
            <v>72025</v>
          </cell>
          <cell r="H636" t="str">
            <v>Phan Doan Kim Nhung</v>
          </cell>
          <cell r="AP636">
            <v>0</v>
          </cell>
          <cell r="AQ636">
            <v>0</v>
          </cell>
          <cell r="AR636">
            <v>0</v>
          </cell>
          <cell r="AS636">
            <v>3660300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</row>
        <row r="637">
          <cell r="A637">
            <v>72025</v>
          </cell>
          <cell r="H637" t="str">
            <v>Phan Doan Kim Nhung</v>
          </cell>
          <cell r="AP637">
            <v>0</v>
          </cell>
          <cell r="AQ637">
            <v>0</v>
          </cell>
          <cell r="AR637">
            <v>0</v>
          </cell>
          <cell r="AS637">
            <v>11000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</row>
        <row r="638">
          <cell r="A638">
            <v>72025</v>
          </cell>
          <cell r="H638" t="str">
            <v>Hoang Thi Kieu Oanh</v>
          </cell>
          <cell r="AP638">
            <v>0</v>
          </cell>
          <cell r="AQ638">
            <v>0</v>
          </cell>
          <cell r="AR638">
            <v>0</v>
          </cell>
          <cell r="AS638">
            <v>900000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</row>
        <row r="639">
          <cell r="A639">
            <v>72025</v>
          </cell>
          <cell r="H639" t="str">
            <v>Hoang Thi Kieu Oanh</v>
          </cell>
          <cell r="AP639">
            <v>0</v>
          </cell>
          <cell r="AQ639">
            <v>0</v>
          </cell>
          <cell r="AR639">
            <v>0</v>
          </cell>
          <cell r="AS639">
            <v>11000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</row>
        <row r="640">
          <cell r="A640">
            <v>72025</v>
          </cell>
          <cell r="H640" t="str">
            <v>Mai Anh Thu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1161292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</row>
        <row r="641">
          <cell r="A641">
            <v>72025</v>
          </cell>
          <cell r="H641" t="str">
            <v>Mai Anh Thu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11000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</row>
        <row r="642">
          <cell r="A642">
            <v>72025</v>
          </cell>
          <cell r="H642" t="str">
            <v>Nguyen Thi My Dung</v>
          </cell>
          <cell r="AP642">
            <v>0</v>
          </cell>
          <cell r="AQ642">
            <v>500000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</row>
        <row r="643">
          <cell r="A643">
            <v>72025</v>
          </cell>
          <cell r="H643" t="str">
            <v>Nguyen Thi My Dung</v>
          </cell>
          <cell r="AP643">
            <v>0</v>
          </cell>
          <cell r="AQ643">
            <v>22000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</row>
        <row r="644">
          <cell r="A644">
            <v>72025</v>
          </cell>
          <cell r="H644" t="str">
            <v>Bui Thi Huong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1783000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</row>
        <row r="645">
          <cell r="A645">
            <v>72025</v>
          </cell>
          <cell r="H645" t="str">
            <v>Cong ty co phan Vu Gia Dai Loc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3254000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</row>
        <row r="646">
          <cell r="A646">
            <v>72025</v>
          </cell>
          <cell r="H646" t="str">
            <v>Cong ty co phan Vu Gia Dai Loc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22000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</row>
        <row r="647">
          <cell r="A647">
            <v>72025</v>
          </cell>
          <cell r="H647" t="str">
            <v>Cong ty TNHH Thuong Mai va Du lich Noi Bai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2376000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</row>
        <row r="648">
          <cell r="A648">
            <v>72025</v>
          </cell>
          <cell r="H648" t="str">
            <v>Cong ty TNHH Thuong Mai va Du lich Noi Bai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22000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</row>
        <row r="649">
          <cell r="A649">
            <v>72025</v>
          </cell>
          <cell r="H649" t="str">
            <v>Tran Thi Ngoc Duyen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350460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</row>
        <row r="650">
          <cell r="A650">
            <v>72025</v>
          </cell>
          <cell r="H650" t="str">
            <v>Tran Thi Ngoc Duyen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22000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</row>
        <row r="651">
          <cell r="A651">
            <v>72025</v>
          </cell>
          <cell r="H651" t="str">
            <v>Cong ty TNHH thuong Mai va Dich vu Ngoc An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5547000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</row>
        <row r="652">
          <cell r="A652">
            <v>72025</v>
          </cell>
          <cell r="H652" t="str">
            <v>Cong ty TNHH thuong Mai va Dich vu Ngoc An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22000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</row>
        <row r="653">
          <cell r="A653">
            <v>72025</v>
          </cell>
          <cell r="H653" t="str">
            <v>Tap doan Cong nghiep - Vien thong Quan Doi</v>
          </cell>
          <cell r="AP653">
            <v>0</v>
          </cell>
          <cell r="AQ653">
            <v>0</v>
          </cell>
          <cell r="AR653">
            <v>1026000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</row>
        <row r="654">
          <cell r="A654">
            <v>72025</v>
          </cell>
          <cell r="H654" t="str">
            <v>Tap doan Cong nghiep - Vien thong Quan Doi</v>
          </cell>
          <cell r="AP654">
            <v>0</v>
          </cell>
          <cell r="AQ654">
            <v>0</v>
          </cell>
          <cell r="AR654">
            <v>22000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</row>
        <row r="655">
          <cell r="A655">
            <v>72025</v>
          </cell>
          <cell r="H655" t="str">
            <v>Công ty TNHH Du Lịch và Dịch Vụ SKYLUX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2500000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</row>
        <row r="656">
          <cell r="A656">
            <v>72025</v>
          </cell>
          <cell r="H656" t="str">
            <v>Công ty TNHH Du Lịch và Dịch Vụ SKYLUX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22000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</row>
        <row r="657">
          <cell r="A657">
            <v>72025</v>
          </cell>
          <cell r="H657" t="str">
            <v>Le Bich Hong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</row>
        <row r="658">
          <cell r="A658">
            <v>72025</v>
          </cell>
          <cell r="H658" t="str">
            <v>Le Bich Hong</v>
          </cell>
          <cell r="AP658">
            <v>0</v>
          </cell>
          <cell r="AQ658">
            <v>0</v>
          </cell>
          <cell r="AR658">
            <v>22000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</row>
        <row r="659">
          <cell r="A659">
            <v>72025</v>
          </cell>
          <cell r="H659" t="str">
            <v>Cong ty TNHH MTV Benh vien Da Khoa Tam Tri Da Nang</v>
          </cell>
          <cell r="AP659">
            <v>0</v>
          </cell>
          <cell r="AQ659">
            <v>0</v>
          </cell>
          <cell r="AR659">
            <v>16790000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</row>
        <row r="660">
          <cell r="A660">
            <v>72025</v>
          </cell>
          <cell r="H660" t="str">
            <v>Cong ty TNHH MTV Benh vien Da Khoa Tam Tri Da Nang</v>
          </cell>
          <cell r="AP660">
            <v>0</v>
          </cell>
          <cell r="AQ660">
            <v>0</v>
          </cell>
          <cell r="AR660">
            <v>11000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</row>
        <row r="661">
          <cell r="A661">
            <v>72025</v>
          </cell>
          <cell r="H661" t="str">
            <v>Pham Thi Huyen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2760000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</row>
        <row r="662">
          <cell r="A662">
            <v>72025</v>
          </cell>
          <cell r="H662" t="str">
            <v>Pham Thi Huyen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11000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</row>
        <row r="663">
          <cell r="A663">
            <v>72025</v>
          </cell>
          <cell r="H663" t="str">
            <v>Nguyen Thi Nhung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1000000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</row>
        <row r="664">
          <cell r="A664">
            <v>72025</v>
          </cell>
          <cell r="H664" t="str">
            <v>Nguyen Thi Nhung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11000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</row>
        <row r="665">
          <cell r="A665">
            <v>72025</v>
          </cell>
          <cell r="H665" t="str">
            <v>Mai Anh Thu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1000000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</row>
        <row r="666">
          <cell r="A666">
            <v>72025</v>
          </cell>
          <cell r="H666" t="str">
            <v>Mai Anh Thu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11000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</row>
        <row r="667">
          <cell r="A667">
            <v>72025</v>
          </cell>
          <cell r="H667" t="str">
            <v>Huynh My Ngoc</v>
          </cell>
          <cell r="AP667">
            <v>0</v>
          </cell>
          <cell r="AQ667">
            <v>0</v>
          </cell>
          <cell r="AR667">
            <v>1000000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</row>
        <row r="668">
          <cell r="A668">
            <v>72025</v>
          </cell>
          <cell r="H668" t="str">
            <v>Huynh My Ngoc</v>
          </cell>
          <cell r="AP668">
            <v>0</v>
          </cell>
          <cell r="AQ668">
            <v>0</v>
          </cell>
          <cell r="AR668">
            <v>11000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</row>
        <row r="669">
          <cell r="A669">
            <v>72025</v>
          </cell>
          <cell r="H669" t="str">
            <v>Bui Thi Huong</v>
          </cell>
          <cell r="AP669">
            <v>0</v>
          </cell>
          <cell r="AQ669">
            <v>0</v>
          </cell>
          <cell r="AR669">
            <v>1000000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</row>
        <row r="670">
          <cell r="A670">
            <v>72025</v>
          </cell>
          <cell r="H670" t="str">
            <v>Bui Thi Huong</v>
          </cell>
          <cell r="AP670">
            <v>0</v>
          </cell>
          <cell r="AQ670">
            <v>0</v>
          </cell>
          <cell r="AR670">
            <v>11000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</row>
        <row r="671">
          <cell r="A671">
            <v>72025</v>
          </cell>
          <cell r="H671" t="str">
            <v>Bui Thi Hong Hanh</v>
          </cell>
          <cell r="AP671">
            <v>0</v>
          </cell>
          <cell r="AQ671">
            <v>0</v>
          </cell>
          <cell r="AR671">
            <v>0</v>
          </cell>
          <cell r="AS671">
            <v>1000000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</row>
        <row r="672">
          <cell r="A672">
            <v>72025</v>
          </cell>
          <cell r="H672" t="str">
            <v>Bui Thi Hong Hanh</v>
          </cell>
          <cell r="AP672">
            <v>0</v>
          </cell>
          <cell r="AQ672">
            <v>0</v>
          </cell>
          <cell r="AR672">
            <v>0</v>
          </cell>
          <cell r="AS672">
            <v>11000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</row>
        <row r="673">
          <cell r="A673">
            <v>72025</v>
          </cell>
          <cell r="H673" t="str">
            <v>Vu Thi Thu Thuy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806300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</row>
        <row r="674">
          <cell r="A674">
            <v>72025</v>
          </cell>
          <cell r="H674" t="str">
            <v>Vu Thi Thu Thuy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11000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</row>
        <row r="675">
          <cell r="A675">
            <v>72025</v>
          </cell>
          <cell r="H675" t="str">
            <v>Le Thi Ut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940000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</row>
        <row r="676">
          <cell r="A676">
            <v>72025</v>
          </cell>
          <cell r="H676" t="str">
            <v>Le Thi Ut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11000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</row>
        <row r="677">
          <cell r="A677">
            <v>72025</v>
          </cell>
          <cell r="H677" t="str">
            <v>Truong Thi Diem Phuong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965000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</row>
        <row r="678">
          <cell r="A678">
            <v>72025</v>
          </cell>
          <cell r="H678" t="str">
            <v>Truong Thi Diem Phuong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11000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</row>
        <row r="679">
          <cell r="A679">
            <v>72025</v>
          </cell>
          <cell r="H679" t="str">
            <v>Vietnam Tax Company</v>
          </cell>
          <cell r="AP679">
            <v>0</v>
          </cell>
          <cell r="AQ679">
            <v>31392553.849999994</v>
          </cell>
          <cell r="AR679">
            <v>0</v>
          </cell>
          <cell r="AS679">
            <v>0</v>
          </cell>
          <cell r="AT679">
            <v>13196020.630000001</v>
          </cell>
          <cell r="AU679">
            <v>13384671.630000001</v>
          </cell>
          <cell r="AV679">
            <v>15414495.630000001</v>
          </cell>
          <cell r="AW679">
            <v>0</v>
          </cell>
          <cell r="AX679">
            <v>53152534.259999998</v>
          </cell>
          <cell r="AY679">
            <v>152496</v>
          </cell>
          <cell r="AZ679">
            <v>407092</v>
          </cell>
          <cell r="BA679">
            <v>0</v>
          </cell>
          <cell r="BB679">
            <v>113546</v>
          </cell>
          <cell r="BC679">
            <v>0</v>
          </cell>
        </row>
        <row r="680">
          <cell r="A680">
            <v>72025</v>
          </cell>
          <cell r="H680" t="str">
            <v>Truong Mam non Ngoc Lan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</row>
        <row r="681">
          <cell r="A681">
            <v>72025</v>
          </cell>
          <cell r="H681" t="str">
            <v>Truong Mam non Ngoc Lan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22000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</row>
        <row r="682">
          <cell r="A682">
            <v>72025</v>
          </cell>
          <cell r="H682" t="str">
            <v>Truong Mam non Sen Hong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</row>
        <row r="683">
          <cell r="A683">
            <v>72025</v>
          </cell>
          <cell r="H683" t="str">
            <v>Truong Mam non Sen Hong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22000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</row>
        <row r="684">
          <cell r="A684">
            <v>72025</v>
          </cell>
          <cell r="H684" t="str">
            <v>Vietcombank</v>
          </cell>
          <cell r="AP684">
            <v>0</v>
          </cell>
          <cell r="AQ684">
            <v>0</v>
          </cell>
          <cell r="AR684">
            <v>22000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</row>
        <row r="685">
          <cell r="A685">
            <v>72025</v>
          </cell>
          <cell r="H685" t="str">
            <v>Vietcombank</v>
          </cell>
          <cell r="AP685">
            <v>0</v>
          </cell>
          <cell r="AQ685">
            <v>0</v>
          </cell>
          <cell r="AR685">
            <v>28656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</row>
        <row r="686">
          <cell r="A686">
            <v>72025</v>
          </cell>
          <cell r="H686" t="str">
            <v>Hien Thi Hien Vo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</row>
        <row r="687">
          <cell r="A687">
            <v>72025</v>
          </cell>
          <cell r="H687" t="str">
            <v>Hien Thi Hien Vo</v>
          </cell>
          <cell r="AP687">
            <v>0</v>
          </cell>
          <cell r="AQ687">
            <v>0</v>
          </cell>
          <cell r="AR687">
            <v>143280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</row>
        <row r="688">
          <cell r="A688">
            <v>72025</v>
          </cell>
          <cell r="H688" t="str">
            <v>Vietcombank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</row>
        <row r="689">
          <cell r="A689">
            <v>72025</v>
          </cell>
          <cell r="H689" t="str">
            <v>Truong Mam non Hoang Anh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</row>
        <row r="690">
          <cell r="A690">
            <v>72025</v>
          </cell>
          <cell r="H690" t="str">
            <v>Truong Mam non Hoang Anh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22000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</row>
        <row r="691">
          <cell r="A691">
            <v>72025</v>
          </cell>
          <cell r="H691" t="str">
            <v>Truong Mam non 20-10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</row>
        <row r="692">
          <cell r="A692">
            <v>72025</v>
          </cell>
          <cell r="H692" t="str">
            <v>Truong Mam non 20-10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22000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</row>
        <row r="693">
          <cell r="A693">
            <v>72025</v>
          </cell>
          <cell r="H693" t="str">
            <v>Cong ty TNHH In Trung Khoa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19666150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</row>
        <row r="694">
          <cell r="A694">
            <v>72025</v>
          </cell>
          <cell r="H694" t="str">
            <v>Cong ty TNHH In Trung Khoa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22000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</row>
        <row r="695">
          <cell r="A695">
            <v>72025</v>
          </cell>
          <cell r="H695" t="str">
            <v>Dang Thi Cam Tu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1800000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</row>
        <row r="696">
          <cell r="A696">
            <v>72025</v>
          </cell>
          <cell r="H696" t="str">
            <v>Dang Thi Cam Tu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22000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</row>
        <row r="697">
          <cell r="A697">
            <v>72025</v>
          </cell>
          <cell r="H697" t="str">
            <v>Le Thi Dieu Thuy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1600000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</row>
        <row r="698">
          <cell r="A698">
            <v>72025</v>
          </cell>
          <cell r="H698" t="str">
            <v>Le Thi Dieu Thuy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22000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</row>
        <row r="699">
          <cell r="A699">
            <v>72025</v>
          </cell>
          <cell r="H699" t="str">
            <v>Nguyen Thi Thuy Linh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1600000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</row>
        <row r="700">
          <cell r="A700">
            <v>72025</v>
          </cell>
          <cell r="H700" t="str">
            <v>Nguyen Thi Thuy Linh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22000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</row>
        <row r="701">
          <cell r="A701">
            <v>72025</v>
          </cell>
          <cell r="H701" t="str">
            <v>Cong ty TNHH MTV Danh Thinh Phong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</row>
        <row r="702">
          <cell r="A702">
            <v>72025</v>
          </cell>
          <cell r="H702" t="str">
            <v>Cong ty TNHH MTV Danh Thinh Phong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22000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</row>
        <row r="703">
          <cell r="A703">
            <v>72025</v>
          </cell>
          <cell r="H703" t="str">
            <v>Cong ty TNHH MTV A-X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</row>
        <row r="704">
          <cell r="A704">
            <v>72025</v>
          </cell>
          <cell r="H704" t="str">
            <v>Cong ty TNHH MTV A-X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22000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</row>
        <row r="705">
          <cell r="A705">
            <v>72025</v>
          </cell>
          <cell r="H705" t="str">
            <v>OneSky Head office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</row>
        <row r="706">
          <cell r="A706">
            <v>72025</v>
          </cell>
          <cell r="H706" t="str">
            <v>Le Bich Hong</v>
          </cell>
          <cell r="AP706">
            <v>0</v>
          </cell>
          <cell r="AQ706">
            <v>0</v>
          </cell>
          <cell r="AR706">
            <v>219900000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</row>
        <row r="707">
          <cell r="A707">
            <v>72025</v>
          </cell>
          <cell r="H707" t="str">
            <v>Le Bich Hong</v>
          </cell>
          <cell r="AP707">
            <v>0</v>
          </cell>
          <cell r="AQ707">
            <v>0</v>
          </cell>
          <cell r="AR707">
            <v>72567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</row>
        <row r="708">
          <cell r="A708">
            <v>72025</v>
          </cell>
          <cell r="H708" t="str">
            <v>Cong ty TNHH thuong Mai va Dich vu Ngoc An</v>
          </cell>
          <cell r="AP708">
            <v>0</v>
          </cell>
          <cell r="AQ708">
            <v>0</v>
          </cell>
          <cell r="AR708">
            <v>8320000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</row>
        <row r="709">
          <cell r="A709">
            <v>72025</v>
          </cell>
          <cell r="H709" t="str">
            <v>Cong ty TNHH thuong Mai va Dich vu Ngoc An</v>
          </cell>
          <cell r="AP709">
            <v>0</v>
          </cell>
          <cell r="AQ709">
            <v>0</v>
          </cell>
          <cell r="AR709">
            <v>22000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</row>
        <row r="710">
          <cell r="A710">
            <v>72025</v>
          </cell>
          <cell r="H710" t="str">
            <v>Cong ty TNHH My Thuat Hoang Gia Thang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</row>
        <row r="711">
          <cell r="A711">
            <v>72025</v>
          </cell>
          <cell r="H711" t="str">
            <v>Cong ty TNHH My Thuat Hoang Gia Thang</v>
          </cell>
          <cell r="AP711">
            <v>0</v>
          </cell>
          <cell r="AQ711">
            <v>0</v>
          </cell>
          <cell r="AR711">
            <v>22000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</row>
        <row r="712">
          <cell r="A712">
            <v>72025</v>
          </cell>
          <cell r="H712" t="str">
            <v>Cong ty TNHH Dau Tu và Phat Trien Thuong Mai Hai Nam Trung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</row>
        <row r="713">
          <cell r="A713">
            <v>72025</v>
          </cell>
          <cell r="H713" t="str">
            <v>Cong ty TNHH Dau Tu và Phat Trien Thuong Mai Hai Nam Trung</v>
          </cell>
          <cell r="AP713">
            <v>0</v>
          </cell>
          <cell r="AQ713">
            <v>0</v>
          </cell>
          <cell r="AR713">
            <v>22000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</row>
        <row r="714">
          <cell r="A714">
            <v>72025</v>
          </cell>
          <cell r="H714" t="str">
            <v>ELC account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</row>
        <row r="715">
          <cell r="A715">
            <v>72025</v>
          </cell>
          <cell r="H715" t="str">
            <v>Vietcombank</v>
          </cell>
          <cell r="AP715">
            <v>0</v>
          </cell>
          <cell r="AQ715">
            <v>0</v>
          </cell>
          <cell r="AR715">
            <v>11000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</row>
        <row r="716">
          <cell r="A716">
            <v>72025</v>
          </cell>
          <cell r="H716" t="str">
            <v>Service Center for Foreign Affairs</v>
          </cell>
          <cell r="AP716">
            <v>0</v>
          </cell>
          <cell r="AQ716">
            <v>21044085.699999999</v>
          </cell>
          <cell r="AR716">
            <v>0</v>
          </cell>
          <cell r="AS716">
            <v>0</v>
          </cell>
          <cell r="AT716">
            <v>42653007.659999996</v>
          </cell>
          <cell r="AU716">
            <v>34173263.659999996</v>
          </cell>
          <cell r="AV716">
            <v>26592911.66</v>
          </cell>
          <cell r="AW716">
            <v>0</v>
          </cell>
          <cell r="AX716">
            <v>75158623.320000008</v>
          </cell>
          <cell r="AY716">
            <v>4308352</v>
          </cell>
          <cell r="AZ716">
            <v>9128704</v>
          </cell>
          <cell r="BA716">
            <v>0</v>
          </cell>
          <cell r="BB716">
            <v>0</v>
          </cell>
          <cell r="BC716">
            <v>0</v>
          </cell>
        </row>
        <row r="717">
          <cell r="A717">
            <v>72025</v>
          </cell>
          <cell r="H717" t="str">
            <v>Service Center for Foreign Affairs</v>
          </cell>
          <cell r="AP717">
            <v>0</v>
          </cell>
          <cell r="AQ717">
            <v>0</v>
          </cell>
          <cell r="AR717">
            <v>11000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</row>
        <row r="718">
          <cell r="A718">
            <v>72025</v>
          </cell>
          <cell r="H718" t="str">
            <v>Vietcombank</v>
          </cell>
          <cell r="AP718">
            <v>0</v>
          </cell>
          <cell r="AQ718">
            <v>0</v>
          </cell>
          <cell r="AR718">
            <v>110000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</row>
        <row r="719">
          <cell r="A719">
            <v>72025</v>
          </cell>
          <cell r="H719" t="str">
            <v>Hien Thi Hien Vo</v>
          </cell>
          <cell r="AP719">
            <v>0</v>
          </cell>
          <cell r="AQ719">
            <v>66262740</v>
          </cell>
          <cell r="AR719">
            <v>0</v>
          </cell>
          <cell r="AS719">
            <v>0</v>
          </cell>
          <cell r="AT719">
            <v>13252548</v>
          </cell>
          <cell r="AU719">
            <v>13252548</v>
          </cell>
          <cell r="AV719">
            <v>13252548</v>
          </cell>
          <cell r="AW719">
            <v>0</v>
          </cell>
          <cell r="AX719">
            <v>26505096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</row>
        <row r="720">
          <cell r="A720">
            <v>72025</v>
          </cell>
          <cell r="H720" t="str">
            <v>Thuy Thi Bich Thuy Tran</v>
          </cell>
          <cell r="AP720">
            <v>0</v>
          </cell>
          <cell r="AQ720">
            <v>7565605.5</v>
          </cell>
          <cell r="AR720">
            <v>0</v>
          </cell>
          <cell r="AS720">
            <v>0</v>
          </cell>
          <cell r="AT720">
            <v>1513121.1</v>
          </cell>
          <cell r="AU720">
            <v>1513121.1</v>
          </cell>
          <cell r="AV720">
            <v>1513121.1</v>
          </cell>
          <cell r="AW720">
            <v>0</v>
          </cell>
          <cell r="AX720">
            <v>3026242.2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</row>
        <row r="721">
          <cell r="A721">
            <v>72025</v>
          </cell>
          <cell r="H721" t="str">
            <v>Tran Thi Que Chi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11771695.200000001</v>
          </cell>
          <cell r="AU721">
            <v>11771695.200000001</v>
          </cell>
          <cell r="AV721">
            <v>11771695.200000001</v>
          </cell>
          <cell r="AW721">
            <v>0</v>
          </cell>
          <cell r="AX721">
            <v>23543390.400000002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</row>
        <row r="722">
          <cell r="A722">
            <v>72025</v>
          </cell>
          <cell r="H722" t="str">
            <v>Maggie Huyen Nguyen</v>
          </cell>
          <cell r="AP722">
            <v>0</v>
          </cell>
          <cell r="AQ722">
            <v>7272959.3999999994</v>
          </cell>
          <cell r="AR722">
            <v>0</v>
          </cell>
          <cell r="AS722">
            <v>0</v>
          </cell>
          <cell r="AT722">
            <v>8242687.3199999994</v>
          </cell>
          <cell r="AU722">
            <v>8242687.3199999994</v>
          </cell>
          <cell r="AV722">
            <v>8242687.3199999994</v>
          </cell>
          <cell r="AW722">
            <v>0</v>
          </cell>
          <cell r="AX722">
            <v>16485374.639999999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</row>
        <row r="723">
          <cell r="A723">
            <v>72025</v>
          </cell>
          <cell r="H723" t="str">
            <v>Nguyen Hong Kim</v>
          </cell>
          <cell r="AP723">
            <v>0</v>
          </cell>
          <cell r="AQ723">
            <v>18623045.5</v>
          </cell>
          <cell r="AR723">
            <v>0</v>
          </cell>
          <cell r="AS723">
            <v>0</v>
          </cell>
          <cell r="AT723">
            <v>3724609.1</v>
          </cell>
          <cell r="AU723">
            <v>3724609.1</v>
          </cell>
          <cell r="AV723">
            <v>3724609.1</v>
          </cell>
          <cell r="AW723">
            <v>0</v>
          </cell>
          <cell r="AX723">
            <v>7449218.2000000002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</row>
        <row r="724">
          <cell r="A724">
            <v>72025</v>
          </cell>
          <cell r="H724" t="str">
            <v>Hoang Thi Kieu Oanh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4752984.6000000006</v>
          </cell>
          <cell r="AU724">
            <v>4752984.6000000006</v>
          </cell>
          <cell r="AV724">
            <v>4752984.6000000006</v>
          </cell>
          <cell r="AW724">
            <v>0</v>
          </cell>
          <cell r="AX724">
            <v>9505969.2000000011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</row>
        <row r="725">
          <cell r="A725">
            <v>72025</v>
          </cell>
          <cell r="H725" t="str">
            <v>Pham Thi  Dieu Loan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10953515.4</v>
          </cell>
          <cell r="AU725">
            <v>10953515.4</v>
          </cell>
          <cell r="AV725">
            <v>10953515.4</v>
          </cell>
          <cell r="AW725">
            <v>0</v>
          </cell>
          <cell r="AX725">
            <v>21907030.800000001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</row>
        <row r="726">
          <cell r="A726">
            <v>72025</v>
          </cell>
          <cell r="H726" t="str">
            <v>Phan Doan Kim Nhung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3596419.6</v>
          </cell>
          <cell r="AU726">
            <v>3596419.6</v>
          </cell>
          <cell r="AV726">
            <v>3596419.6</v>
          </cell>
          <cell r="AW726">
            <v>0</v>
          </cell>
          <cell r="AX726">
            <v>7192839.2000000002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</row>
        <row r="727">
          <cell r="A727">
            <v>72025</v>
          </cell>
          <cell r="H727" t="str">
            <v>Truong Thi Hai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8818119</v>
          </cell>
          <cell r="AU727">
            <v>8818119</v>
          </cell>
          <cell r="AV727">
            <v>8818119</v>
          </cell>
          <cell r="AW727">
            <v>0</v>
          </cell>
          <cell r="AX727">
            <v>17636238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</row>
        <row r="728">
          <cell r="A728">
            <v>72025</v>
          </cell>
          <cell r="H728" t="str">
            <v>Bui Thi Huong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42035963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</row>
        <row r="729">
          <cell r="A729">
            <v>72025</v>
          </cell>
          <cell r="H729" t="str">
            <v>Huynh My Ngoc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44090595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</row>
        <row r="730">
          <cell r="A730">
            <v>72025</v>
          </cell>
          <cell r="H730" t="str">
            <v>Bui Thi Hong Hanh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14687426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</row>
        <row r="731">
          <cell r="A731">
            <v>72025</v>
          </cell>
          <cell r="H731" t="str">
            <v>Mai Thi Kim Hang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14626823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</row>
        <row r="732">
          <cell r="A732">
            <v>72025</v>
          </cell>
          <cell r="H732" t="str">
            <v>Pham Thi Huyen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17814807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</row>
        <row r="733">
          <cell r="A733">
            <v>72025</v>
          </cell>
          <cell r="H733" t="str">
            <v>Vo Thi Quynh Thi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22021151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</row>
        <row r="734">
          <cell r="A734">
            <v>72025</v>
          </cell>
          <cell r="H734" t="str">
            <v>Nguyen Thi Tram Anh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17045922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</row>
        <row r="735">
          <cell r="A735">
            <v>72025</v>
          </cell>
          <cell r="H735" t="str">
            <v>Truong Thi Diem Phuong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14957490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</row>
        <row r="736">
          <cell r="A736">
            <v>72025</v>
          </cell>
          <cell r="H736" t="str">
            <v>Vu Thi Thu Thuy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15253147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</row>
        <row r="737">
          <cell r="A737">
            <v>72025</v>
          </cell>
          <cell r="H737" t="str">
            <v>Nguyen Thi Nhung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15367626</v>
          </cell>
          <cell r="BA737">
            <v>0</v>
          </cell>
          <cell r="BB737">
            <v>0</v>
          </cell>
          <cell r="BC737">
            <v>0</v>
          </cell>
        </row>
        <row r="738">
          <cell r="A738">
            <v>72025</v>
          </cell>
          <cell r="H738" t="str">
            <v>Dang Thanh Canh</v>
          </cell>
          <cell r="AP738">
            <v>0</v>
          </cell>
          <cell r="AQ738">
            <v>1088761.5</v>
          </cell>
          <cell r="AR738">
            <v>0</v>
          </cell>
          <cell r="AS738">
            <v>0</v>
          </cell>
          <cell r="AT738">
            <v>1233929.7</v>
          </cell>
          <cell r="AU738">
            <v>1233929.7</v>
          </cell>
          <cell r="AV738">
            <v>1233929.7</v>
          </cell>
          <cell r="AW738">
            <v>0</v>
          </cell>
          <cell r="AX738">
            <v>2467859.4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</row>
        <row r="739">
          <cell r="A739">
            <v>72025</v>
          </cell>
          <cell r="H739" t="str">
            <v>Le Thi Ut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18501595</v>
          </cell>
          <cell r="BC739">
            <v>0</v>
          </cell>
        </row>
        <row r="740">
          <cell r="A740">
            <v>72025</v>
          </cell>
          <cell r="H740" t="str">
            <v>Le Thi Thu Hanh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71202018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</row>
        <row r="741">
          <cell r="A741">
            <v>72025</v>
          </cell>
          <cell r="H741" t="str">
            <v>Nguyen Thi Thuy Na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13549376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</row>
        <row r="742">
          <cell r="A742">
            <v>72025</v>
          </cell>
          <cell r="H742" t="str">
            <v>Pham Thi Nhi Ca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14555856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</row>
        <row r="743">
          <cell r="A743">
            <v>72025</v>
          </cell>
          <cell r="H743" t="str">
            <v>Mai Anh Thu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20499030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</row>
        <row r="744">
          <cell r="A744">
            <v>72025</v>
          </cell>
          <cell r="H744" t="str">
            <v>OneSky Head office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</row>
        <row r="745">
          <cell r="A745">
            <v>72025</v>
          </cell>
          <cell r="H745" t="str">
            <v>OneSky Head office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</row>
        <row r="746">
          <cell r="A746">
            <v>72025</v>
          </cell>
          <cell r="H746" t="str">
            <v>ELC Operation</v>
          </cell>
          <cell r="AP746">
            <v>968424613</v>
          </cell>
        </row>
        <row r="747">
          <cell r="A747">
            <v>82025</v>
          </cell>
          <cell r="H747" t="str">
            <v>Vietnam Tax Company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</row>
        <row r="748">
          <cell r="A748">
            <v>82025</v>
          </cell>
          <cell r="H748" t="str">
            <v>Phan Thi Thao Nguyen</v>
          </cell>
          <cell r="AP748">
            <v>0</v>
          </cell>
          <cell r="AQ748">
            <v>0</v>
          </cell>
          <cell r="AR748">
            <v>4400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</row>
        <row r="749">
          <cell r="A749">
            <v>82025</v>
          </cell>
          <cell r="H749" t="str">
            <v>Nguyen Thi Thanh Thanh</v>
          </cell>
          <cell r="AP749">
            <v>0</v>
          </cell>
          <cell r="AQ749">
            <v>0</v>
          </cell>
          <cell r="AR749">
            <v>4400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</row>
        <row r="750">
          <cell r="A750">
            <v>82025</v>
          </cell>
          <cell r="H750" t="str">
            <v>Thuy Thi Bich Thuy Tran</v>
          </cell>
          <cell r="AP750">
            <v>0</v>
          </cell>
          <cell r="AQ750">
            <v>0</v>
          </cell>
          <cell r="AR750">
            <v>4400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</row>
        <row r="751">
          <cell r="A751">
            <v>82025</v>
          </cell>
          <cell r="H751" t="str">
            <v>Phan Thi Thao Nguyen</v>
          </cell>
          <cell r="AP751">
            <v>0</v>
          </cell>
          <cell r="AQ751">
            <v>9119577.4499999993</v>
          </cell>
          <cell r="AR751">
            <v>0</v>
          </cell>
          <cell r="AS751">
            <v>0</v>
          </cell>
          <cell r="AT751">
            <v>10335521.109999999</v>
          </cell>
          <cell r="AU751">
            <v>10335521.109999999</v>
          </cell>
          <cell r="AV751">
            <v>10335521.109999999</v>
          </cell>
          <cell r="AW751">
            <v>0</v>
          </cell>
          <cell r="AX751">
            <v>20671042.219999999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</row>
        <row r="752">
          <cell r="A752">
            <v>82025</v>
          </cell>
          <cell r="H752" t="str">
            <v>Nguyen Thi Thanh Thanh</v>
          </cell>
          <cell r="AP752">
            <v>0</v>
          </cell>
          <cell r="AQ752">
            <v>5365157.7</v>
          </cell>
          <cell r="AR752">
            <v>0</v>
          </cell>
          <cell r="AS752">
            <v>0</v>
          </cell>
          <cell r="AT752">
            <v>6080512.0599999996</v>
          </cell>
          <cell r="AU752">
            <v>6080512.0599999996</v>
          </cell>
          <cell r="AV752">
            <v>6080512.0599999996</v>
          </cell>
          <cell r="AW752">
            <v>0</v>
          </cell>
          <cell r="AX752">
            <v>12161024.119999999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</row>
        <row r="753">
          <cell r="A753">
            <v>82025</v>
          </cell>
          <cell r="H753" t="str">
            <v>Thuy Thi Bich Thuy Tran</v>
          </cell>
          <cell r="AP753">
            <v>0</v>
          </cell>
          <cell r="AQ753">
            <v>19071895</v>
          </cell>
          <cell r="AR753">
            <v>0</v>
          </cell>
          <cell r="AS753">
            <v>0</v>
          </cell>
          <cell r="AT753">
            <v>3814379</v>
          </cell>
          <cell r="AU753">
            <v>3814379</v>
          </cell>
          <cell r="AV753">
            <v>3814379</v>
          </cell>
          <cell r="AW753">
            <v>0</v>
          </cell>
          <cell r="AX753">
            <v>7628758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</row>
        <row r="754">
          <cell r="A754">
            <v>82025</v>
          </cell>
          <cell r="H754" t="str">
            <v>Pham Phuong Thao</v>
          </cell>
          <cell r="AP754">
            <v>0</v>
          </cell>
          <cell r="AQ754">
            <v>0</v>
          </cell>
          <cell r="AR754">
            <v>15000000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</row>
        <row r="755">
          <cell r="A755">
            <v>82025</v>
          </cell>
          <cell r="H755" t="str">
            <v>Pham Phuong Thao</v>
          </cell>
          <cell r="AP755">
            <v>0</v>
          </cell>
          <cell r="AQ755">
            <v>0</v>
          </cell>
          <cell r="AR755">
            <v>22000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</row>
        <row r="756">
          <cell r="A756">
            <v>82025</v>
          </cell>
          <cell r="H756" t="str">
            <v>Vietnam Tax Company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</row>
        <row r="757">
          <cell r="A757">
            <v>82025</v>
          </cell>
          <cell r="H757" t="str">
            <v>CONG TY CO PHAN SEA EVENT</v>
          </cell>
          <cell r="AP757">
            <v>0</v>
          </cell>
          <cell r="AQ757">
            <v>17239500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</row>
        <row r="758">
          <cell r="A758">
            <v>82025</v>
          </cell>
          <cell r="H758" t="str">
            <v>CONG TY CO PHAN SEA EVENT</v>
          </cell>
          <cell r="AP758">
            <v>0</v>
          </cell>
          <cell r="AQ758">
            <v>22000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</row>
        <row r="759">
          <cell r="A759">
            <v>82025</v>
          </cell>
          <cell r="H759" t="str">
            <v>Vietcombank</v>
          </cell>
          <cell r="AP759">
            <v>0</v>
          </cell>
          <cell r="AQ759">
            <v>0</v>
          </cell>
          <cell r="AR759">
            <v>11000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</row>
        <row r="760">
          <cell r="A760">
            <v>82025</v>
          </cell>
          <cell r="H760" t="str">
            <v>Dang Thi Cam Tu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1800000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</row>
        <row r="761">
          <cell r="A761">
            <v>82025</v>
          </cell>
          <cell r="H761" t="str">
            <v>Dang Thi Cam Tu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22000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</row>
        <row r="762">
          <cell r="A762">
            <v>82025</v>
          </cell>
          <cell r="H762" t="str">
            <v>Le Thi Dieu Thuy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1600000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</row>
        <row r="763">
          <cell r="A763">
            <v>82025</v>
          </cell>
          <cell r="H763" t="str">
            <v>Le Thi Dieu Thuy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22000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</row>
        <row r="764">
          <cell r="A764">
            <v>82025</v>
          </cell>
          <cell r="H764" t="str">
            <v>Nguyen Thi Thuy Linh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1600000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</row>
        <row r="765">
          <cell r="A765">
            <v>82025</v>
          </cell>
          <cell r="H765" t="str">
            <v>Nguyen Thi Thuy Linh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22000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</row>
        <row r="766">
          <cell r="A766">
            <v>82025</v>
          </cell>
          <cell r="H766" t="str">
            <v>Cong ty TNHH In Trung Khoa</v>
          </cell>
          <cell r="AP766">
            <v>0</v>
          </cell>
          <cell r="AQ766">
            <v>690000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</row>
        <row r="767">
          <cell r="A767">
            <v>82025</v>
          </cell>
          <cell r="H767" t="str">
            <v>Cong ty TNHH In Trung Khoa</v>
          </cell>
          <cell r="AP767">
            <v>0</v>
          </cell>
          <cell r="AQ767">
            <v>22000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</row>
        <row r="768">
          <cell r="A768">
            <v>82025</v>
          </cell>
          <cell r="H768" t="str">
            <v>Cong ty TNHH Grab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882000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</row>
        <row r="769">
          <cell r="A769">
            <v>82025</v>
          </cell>
          <cell r="H769" t="str">
            <v>Cong ty TNHH Grab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22000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</row>
        <row r="770">
          <cell r="A770">
            <v>82025</v>
          </cell>
          <cell r="H770" t="str">
            <v>Bui Thi Huong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2202000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</row>
        <row r="771">
          <cell r="A771">
            <v>82025</v>
          </cell>
          <cell r="H771" t="str">
            <v>Bui Thi Huong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11000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</row>
        <row r="772">
          <cell r="A772">
            <v>82025</v>
          </cell>
          <cell r="H772" t="str">
            <v>OneSky Head office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</row>
        <row r="773">
          <cell r="A773">
            <v>82025</v>
          </cell>
          <cell r="H773" t="str">
            <v>Bui Thi Huong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1817521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</row>
        <row r="774">
          <cell r="A774">
            <v>82025</v>
          </cell>
          <cell r="H774" t="str">
            <v>Bui Thi Huong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11000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</row>
        <row r="775">
          <cell r="A775">
            <v>82025</v>
          </cell>
          <cell r="H775" t="str">
            <v>Cong ty TNHH Huu Nghi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756000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</row>
        <row r="776">
          <cell r="A776">
            <v>82025</v>
          </cell>
          <cell r="H776" t="str">
            <v>Cong ty TNHH Huu Nghi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11000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</row>
        <row r="777">
          <cell r="A777">
            <v>82025</v>
          </cell>
          <cell r="H777" t="str">
            <v>Cong ty TNHH Thương Mai Dich Vu Phat Quan</v>
          </cell>
          <cell r="AP777">
            <v>0</v>
          </cell>
          <cell r="AQ777">
            <v>0</v>
          </cell>
          <cell r="AR777">
            <v>2000000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</row>
        <row r="778">
          <cell r="A778">
            <v>82025</v>
          </cell>
          <cell r="H778" t="str">
            <v>Cong ty TNHH Thương Mai Dich Vu Phat Quan</v>
          </cell>
          <cell r="AP778">
            <v>0</v>
          </cell>
          <cell r="AQ778">
            <v>0</v>
          </cell>
          <cell r="AR778">
            <v>11000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</row>
        <row r="779">
          <cell r="A779">
            <v>82025</v>
          </cell>
          <cell r="H779" t="str">
            <v>Vietnam Tax Company</v>
          </cell>
          <cell r="AP779">
            <v>0</v>
          </cell>
          <cell r="AQ779">
            <v>22916801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</row>
        <row r="780">
          <cell r="A780">
            <v>82025</v>
          </cell>
          <cell r="H780" t="str">
            <v>OneSky Head office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</row>
        <row r="781">
          <cell r="A781">
            <v>82025</v>
          </cell>
          <cell r="H781" t="str">
            <v>Cong ty TNHH Thuong Mai &amp; Dich Vu Du Lich Dat Phuc Han</v>
          </cell>
          <cell r="AP781">
            <v>0</v>
          </cell>
          <cell r="AQ781">
            <v>740000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</row>
        <row r="782">
          <cell r="A782">
            <v>82025</v>
          </cell>
          <cell r="H782" t="str">
            <v>Cong ty TNHH Thuong Mai &amp; Dich Vu Du Lich Dat Phuc Han</v>
          </cell>
          <cell r="AP782">
            <v>0</v>
          </cell>
          <cell r="AQ782">
            <v>22000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</row>
        <row r="783">
          <cell r="A783">
            <v>82025</v>
          </cell>
          <cell r="H783" t="str">
            <v>Cong ty TNHH Thiet Bi Van Phong Thu Ngan</v>
          </cell>
          <cell r="AP783">
            <v>0</v>
          </cell>
          <cell r="AQ783">
            <v>34892640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</row>
        <row r="784">
          <cell r="A784">
            <v>82025</v>
          </cell>
          <cell r="H784" t="str">
            <v>Cong ty TNHH Thiet Bi Van Phong Thu Ngan</v>
          </cell>
          <cell r="AP784">
            <v>0</v>
          </cell>
          <cell r="AQ784">
            <v>22000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</row>
        <row r="785">
          <cell r="A785">
            <v>82025</v>
          </cell>
          <cell r="H785" t="str">
            <v>CONG TY CO PHAN SEA EVENT</v>
          </cell>
          <cell r="AP785">
            <v>0</v>
          </cell>
          <cell r="AQ785">
            <v>17239500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</row>
        <row r="786">
          <cell r="A786">
            <v>82025</v>
          </cell>
          <cell r="H786" t="str">
            <v>CONG TY CO PHAN SEA EVENT</v>
          </cell>
          <cell r="AP786">
            <v>0</v>
          </cell>
          <cell r="AQ786">
            <v>22000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</row>
        <row r="787">
          <cell r="A787">
            <v>82025</v>
          </cell>
          <cell r="H787" t="str">
            <v>Cong ty TNHH Trang phuc bieu dien Kim Thoa</v>
          </cell>
          <cell r="AP787">
            <v>0</v>
          </cell>
          <cell r="AQ787">
            <v>4233000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</row>
        <row r="788">
          <cell r="A788">
            <v>82025</v>
          </cell>
          <cell r="H788" t="str">
            <v>Cong ty TNHH Trang phuc bieu dien Kim Thoa</v>
          </cell>
          <cell r="AP788">
            <v>0</v>
          </cell>
          <cell r="AQ788">
            <v>22000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</row>
        <row r="789">
          <cell r="A789">
            <v>82025</v>
          </cell>
          <cell r="H789" t="str">
            <v>Phan Đoàn Kim Nhung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2488000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</row>
        <row r="790">
          <cell r="A790">
            <v>82025</v>
          </cell>
          <cell r="H790" t="str">
            <v>Phan Đoàn Kim Nhung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11000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</row>
        <row r="791">
          <cell r="A791">
            <v>82025</v>
          </cell>
          <cell r="H791" t="str">
            <v>Nguyen Thi Dieu Huyen</v>
          </cell>
          <cell r="AP791">
            <v>0</v>
          </cell>
          <cell r="AQ791">
            <v>0</v>
          </cell>
          <cell r="AR791">
            <v>2695007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</row>
        <row r="792">
          <cell r="A792">
            <v>82025</v>
          </cell>
          <cell r="H792" t="str">
            <v>Nguyen Thi Dieu Huyen</v>
          </cell>
          <cell r="AP792">
            <v>0</v>
          </cell>
          <cell r="AQ792">
            <v>0</v>
          </cell>
          <cell r="AR792">
            <v>11000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</row>
        <row r="793">
          <cell r="A793">
            <v>82025</v>
          </cell>
          <cell r="H793" t="str">
            <v>Cong ty TNHH In Trung Khoa</v>
          </cell>
          <cell r="AP793">
            <v>0</v>
          </cell>
          <cell r="AQ793">
            <v>2427200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</row>
        <row r="794">
          <cell r="A794">
            <v>82025</v>
          </cell>
          <cell r="H794" t="str">
            <v>Cong ty TNHH In Trung Khoa</v>
          </cell>
          <cell r="AP794">
            <v>0</v>
          </cell>
          <cell r="AQ794">
            <v>22000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</row>
        <row r="795">
          <cell r="A795">
            <v>82025</v>
          </cell>
          <cell r="H795" t="str">
            <v>Cong ty TNHH thuong Mai va Dich vu Ngoc An</v>
          </cell>
          <cell r="AP795">
            <v>0</v>
          </cell>
          <cell r="AQ795">
            <v>368000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</row>
        <row r="796">
          <cell r="A796">
            <v>82025</v>
          </cell>
          <cell r="H796" t="str">
            <v>Cong ty TNHH thuong Mai va Dich vu Ngoc An</v>
          </cell>
          <cell r="AP796">
            <v>0</v>
          </cell>
          <cell r="AQ796">
            <v>22000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</row>
        <row r="797">
          <cell r="A797">
            <v>82025</v>
          </cell>
          <cell r="H797" t="str">
            <v>OneSky Head office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</row>
        <row r="798">
          <cell r="A798">
            <v>82025</v>
          </cell>
          <cell r="H798" t="str">
            <v>OneSky Head office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</row>
        <row r="799">
          <cell r="A799">
            <v>82025</v>
          </cell>
          <cell r="H799" t="str">
            <v>Vietnam Tax Company</v>
          </cell>
          <cell r="AP799">
            <v>0</v>
          </cell>
          <cell r="AQ799">
            <v>26011664.850000001</v>
          </cell>
          <cell r="AR799">
            <v>0</v>
          </cell>
          <cell r="AS799">
            <v>0</v>
          </cell>
          <cell r="AT799">
            <v>10230184.830000002</v>
          </cell>
          <cell r="AU799">
            <v>11089273.830000002</v>
          </cell>
          <cell r="AV799">
            <v>10902659.830000002</v>
          </cell>
          <cell r="AW799">
            <v>0</v>
          </cell>
          <cell r="AX799">
            <v>47325731.660000004</v>
          </cell>
          <cell r="AY799">
            <v>152496</v>
          </cell>
          <cell r="AZ799">
            <v>188296</v>
          </cell>
          <cell r="BA799">
            <v>0</v>
          </cell>
          <cell r="BB799">
            <v>118361</v>
          </cell>
          <cell r="BC799">
            <v>0</v>
          </cell>
        </row>
        <row r="800">
          <cell r="A800">
            <v>82025</v>
          </cell>
          <cell r="H800" t="str">
            <v>Ho Lam Hong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7875000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</row>
        <row r="801">
          <cell r="A801">
            <v>82025</v>
          </cell>
          <cell r="H801" t="str">
            <v>Ho Lam Hong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11000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</row>
        <row r="802">
          <cell r="A802">
            <v>82025</v>
          </cell>
          <cell r="H802" t="str">
            <v>Bui Thi Huong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</row>
        <row r="803">
          <cell r="A803">
            <v>82025</v>
          </cell>
          <cell r="H803" t="str">
            <v>Bui Thi Huong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11000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</row>
        <row r="804">
          <cell r="A804">
            <v>82025</v>
          </cell>
          <cell r="H804" t="str">
            <v>Nguyen Minh Huyen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</row>
        <row r="805">
          <cell r="A805">
            <v>82025</v>
          </cell>
          <cell r="H805" t="str">
            <v>Nguyen Minh Huyen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11000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</row>
        <row r="806">
          <cell r="A806">
            <v>82025</v>
          </cell>
          <cell r="H806" t="str">
            <v>Truong Mam non Hoang Lan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24730000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</row>
        <row r="807">
          <cell r="A807">
            <v>82025</v>
          </cell>
          <cell r="H807" t="str">
            <v>Truong Mam non Hoang Lan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22000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</row>
        <row r="808">
          <cell r="A808">
            <v>82025</v>
          </cell>
          <cell r="H808" t="str">
            <v>CONG TY CP DAU TU VA SAN XUAT CANAVI</v>
          </cell>
          <cell r="AP808">
            <v>0</v>
          </cell>
          <cell r="AQ808">
            <v>0</v>
          </cell>
          <cell r="AR808">
            <v>6682500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</row>
        <row r="809">
          <cell r="A809">
            <v>82025</v>
          </cell>
          <cell r="H809" t="str">
            <v>CONG TY CP DAU TU VA SAN XUAT CANAVI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22000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</row>
        <row r="810">
          <cell r="A810">
            <v>82025</v>
          </cell>
          <cell r="H810" t="str">
            <v>Cong ty TNHH Grab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2461000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</row>
        <row r="811">
          <cell r="A811">
            <v>82025</v>
          </cell>
          <cell r="H811" t="str">
            <v>Cong ty TNHH Grab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22000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</row>
        <row r="812">
          <cell r="A812">
            <v>82025</v>
          </cell>
          <cell r="H812" t="str">
            <v>Vietcombank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</row>
        <row r="813">
          <cell r="A813">
            <v>82025</v>
          </cell>
          <cell r="H813" t="str">
            <v>Vietcombank</v>
          </cell>
          <cell r="AP813">
            <v>0</v>
          </cell>
          <cell r="AQ813">
            <v>0</v>
          </cell>
          <cell r="AR813">
            <v>22000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</row>
        <row r="814">
          <cell r="A814">
            <v>82025</v>
          </cell>
          <cell r="H814" t="str">
            <v>Vietcombank</v>
          </cell>
          <cell r="AP814">
            <v>0</v>
          </cell>
          <cell r="AQ814">
            <v>0</v>
          </cell>
          <cell r="AR814">
            <v>28839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</row>
        <row r="815">
          <cell r="A815">
            <v>82025</v>
          </cell>
          <cell r="H815" t="str">
            <v>Tong Cong ty CP Buu Chinh Viettel</v>
          </cell>
          <cell r="AP815">
            <v>0</v>
          </cell>
          <cell r="AQ815">
            <v>0</v>
          </cell>
          <cell r="AR815">
            <v>1458600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</row>
        <row r="816">
          <cell r="A816">
            <v>82025</v>
          </cell>
          <cell r="H816" t="str">
            <v>Tong Cong ty CP Buu Chinh Viettel</v>
          </cell>
          <cell r="AP816">
            <v>0</v>
          </cell>
          <cell r="AQ816">
            <v>0</v>
          </cell>
          <cell r="AR816">
            <v>22000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</row>
        <row r="817">
          <cell r="A817">
            <v>82025</v>
          </cell>
          <cell r="H817" t="str">
            <v>Cong ty TNHH San Xuat Qua tang Thanh Long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5724000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</row>
        <row r="818">
          <cell r="A818">
            <v>82025</v>
          </cell>
          <cell r="H818" t="str">
            <v>Cong ty TNHH San Xuat Qua tang Thanh Long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22000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</row>
        <row r="819">
          <cell r="A819">
            <v>82025</v>
          </cell>
          <cell r="H819" t="str">
            <v>Tran Thi Bich Thuy</v>
          </cell>
          <cell r="AP819">
            <v>0</v>
          </cell>
          <cell r="AQ819">
            <v>0</v>
          </cell>
          <cell r="AR819">
            <v>2380461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</row>
        <row r="820">
          <cell r="A820">
            <v>82025</v>
          </cell>
          <cell r="H820" t="str">
            <v>Tran Thi Bich Thuy</v>
          </cell>
          <cell r="AP820">
            <v>0</v>
          </cell>
          <cell r="AQ820">
            <v>0</v>
          </cell>
          <cell r="AR820">
            <v>11000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</row>
        <row r="821">
          <cell r="A821">
            <v>82025</v>
          </cell>
          <cell r="H821" t="str">
            <v>Tap doan Cong nghiep - Vien thong Quan Doi</v>
          </cell>
          <cell r="AP821">
            <v>0</v>
          </cell>
          <cell r="AQ821">
            <v>0</v>
          </cell>
          <cell r="AR821">
            <v>349999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</row>
        <row r="822">
          <cell r="A822">
            <v>82025</v>
          </cell>
          <cell r="H822" t="str">
            <v>Tap doan Cong nghiep - Vien thong Quan Doi</v>
          </cell>
          <cell r="AP822">
            <v>0</v>
          </cell>
          <cell r="AQ822">
            <v>0</v>
          </cell>
          <cell r="AR822">
            <v>22000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</row>
        <row r="823">
          <cell r="A823">
            <v>82025</v>
          </cell>
          <cell r="H823" t="str">
            <v>Service Center for Foreign Affairs</v>
          </cell>
          <cell r="AP823">
            <v>0</v>
          </cell>
          <cell r="AQ823">
            <v>21710549.200000003</v>
          </cell>
          <cell r="AR823">
            <v>0</v>
          </cell>
          <cell r="AS823">
            <v>0</v>
          </cell>
          <cell r="AT823">
            <v>43191046.560000002</v>
          </cell>
          <cell r="AU823">
            <v>39275654.560000002</v>
          </cell>
          <cell r="AV823">
            <v>27130950.560000002</v>
          </cell>
          <cell r="AW823">
            <v>0</v>
          </cell>
          <cell r="AX823">
            <v>76372769.120000005</v>
          </cell>
          <cell r="AY823">
            <v>4308352</v>
          </cell>
          <cell r="AZ823">
            <v>4564352</v>
          </cell>
          <cell r="BA823">
            <v>0</v>
          </cell>
          <cell r="BB823">
            <v>0</v>
          </cell>
          <cell r="BC823">
            <v>0</v>
          </cell>
        </row>
        <row r="824">
          <cell r="A824">
            <v>82025</v>
          </cell>
          <cell r="H824" t="str">
            <v>Service Center for Foreign Affairs</v>
          </cell>
          <cell r="AP824">
            <v>0</v>
          </cell>
          <cell r="AQ824">
            <v>0</v>
          </cell>
          <cell r="AR824">
            <v>11000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</row>
        <row r="825">
          <cell r="A825">
            <v>82025</v>
          </cell>
          <cell r="H825" t="str">
            <v>Vietcombank</v>
          </cell>
          <cell r="AP825">
            <v>0</v>
          </cell>
          <cell r="AQ825">
            <v>0</v>
          </cell>
          <cell r="AR825">
            <v>114400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</row>
        <row r="826">
          <cell r="A826">
            <v>82025</v>
          </cell>
          <cell r="H826" t="str">
            <v>Hien Thi Hien Vo</v>
          </cell>
          <cell r="AP826">
            <v>0</v>
          </cell>
          <cell r="AQ826">
            <v>66432052</v>
          </cell>
          <cell r="AR826">
            <v>0</v>
          </cell>
          <cell r="AS826">
            <v>0</v>
          </cell>
          <cell r="AT826">
            <v>13286410.4</v>
          </cell>
          <cell r="AU826">
            <v>13286410.4</v>
          </cell>
          <cell r="AV826">
            <v>13286410.4</v>
          </cell>
          <cell r="AW826">
            <v>0</v>
          </cell>
          <cell r="AX826">
            <v>26572820.800000001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</row>
        <row r="827">
          <cell r="A827">
            <v>82025</v>
          </cell>
          <cell r="H827" t="str">
            <v>Thuy Thi Bich Thuy Tran</v>
          </cell>
          <cell r="AP827">
            <v>0</v>
          </cell>
          <cell r="AQ827">
            <v>20104071.5</v>
          </cell>
          <cell r="AR827">
            <v>0</v>
          </cell>
          <cell r="AS827">
            <v>0</v>
          </cell>
          <cell r="AT827">
            <v>4020814.3000000003</v>
          </cell>
          <cell r="AU827">
            <v>4020814.3000000003</v>
          </cell>
          <cell r="AV827">
            <v>4020814.3000000003</v>
          </cell>
          <cell r="AW827">
            <v>0</v>
          </cell>
          <cell r="AX827">
            <v>8041628.6000000006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</row>
        <row r="828">
          <cell r="A828">
            <v>82025</v>
          </cell>
          <cell r="H828" t="str">
            <v>Tran Thi Que Chi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11798005</v>
          </cell>
          <cell r="AU828">
            <v>11798005</v>
          </cell>
          <cell r="AV828">
            <v>11798005</v>
          </cell>
          <cell r="AW828">
            <v>0</v>
          </cell>
          <cell r="AX828">
            <v>23596010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</row>
        <row r="829">
          <cell r="A829">
            <v>82025</v>
          </cell>
          <cell r="H829" t="str">
            <v>Maggie Huyen Nguyen</v>
          </cell>
          <cell r="AP829">
            <v>0</v>
          </cell>
          <cell r="AQ829">
            <v>7288901.0999999996</v>
          </cell>
          <cell r="AR829">
            <v>0</v>
          </cell>
          <cell r="AS829">
            <v>0</v>
          </cell>
          <cell r="AT829">
            <v>8260754.5799999991</v>
          </cell>
          <cell r="AU829">
            <v>8260754.5799999991</v>
          </cell>
          <cell r="AV829">
            <v>8260754.5799999991</v>
          </cell>
          <cell r="AW829">
            <v>0</v>
          </cell>
          <cell r="AX829">
            <v>16521509.159999998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</row>
        <row r="830">
          <cell r="A830">
            <v>82025</v>
          </cell>
          <cell r="H830" t="str">
            <v>Nguyen Hong Kim</v>
          </cell>
          <cell r="AP830">
            <v>0</v>
          </cell>
          <cell r="AQ830">
            <v>18556514.5</v>
          </cell>
          <cell r="AR830">
            <v>0</v>
          </cell>
          <cell r="AS830">
            <v>0</v>
          </cell>
          <cell r="AT830">
            <v>3711302.9000000004</v>
          </cell>
          <cell r="AU830">
            <v>3711302.9000000004</v>
          </cell>
          <cell r="AV830">
            <v>3711302.9000000004</v>
          </cell>
          <cell r="AW830">
            <v>0</v>
          </cell>
          <cell r="AX830">
            <v>7422605.8000000007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</row>
        <row r="831">
          <cell r="A831">
            <v>82025</v>
          </cell>
          <cell r="H831" t="str">
            <v>Hoang Thi Kieu Oanh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4735012.4000000004</v>
          </cell>
          <cell r="AU831">
            <v>4735012.4000000004</v>
          </cell>
          <cell r="AV831">
            <v>4735012.4000000004</v>
          </cell>
          <cell r="AW831">
            <v>0</v>
          </cell>
          <cell r="AX831">
            <v>9470024.8000000007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</row>
        <row r="832">
          <cell r="A832">
            <v>82025</v>
          </cell>
          <cell r="H832" t="str">
            <v>Pham Thi  Dieu Loan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10978344.4</v>
          </cell>
          <cell r="AU832">
            <v>10978344.4</v>
          </cell>
          <cell r="AV832">
            <v>10978344.4</v>
          </cell>
          <cell r="AW832">
            <v>0</v>
          </cell>
          <cell r="AX832">
            <v>21956688.800000001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</row>
        <row r="833">
          <cell r="A833">
            <v>82025</v>
          </cell>
          <cell r="H833" t="str">
            <v>Phan Doan Kim Nhung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3581941.2</v>
          </cell>
          <cell r="AU833">
            <v>3581941.2</v>
          </cell>
          <cell r="AV833">
            <v>3581941.2</v>
          </cell>
          <cell r="AW833">
            <v>0</v>
          </cell>
          <cell r="AX833">
            <v>7163882.4000000004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</row>
        <row r="834">
          <cell r="A834">
            <v>82025</v>
          </cell>
          <cell r="H834" t="str">
            <v>Truong Thi Hai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8837768.8000000007</v>
          </cell>
          <cell r="AU834">
            <v>8837768.8000000007</v>
          </cell>
          <cell r="AV834">
            <v>8837768.8000000007</v>
          </cell>
          <cell r="AW834">
            <v>0</v>
          </cell>
          <cell r="AX834">
            <v>17675537.600000001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</row>
        <row r="835">
          <cell r="A835">
            <v>82025</v>
          </cell>
          <cell r="H835" t="str">
            <v>Bui Thi Huong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42135522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</row>
        <row r="836">
          <cell r="A836">
            <v>82025</v>
          </cell>
          <cell r="H836" t="str">
            <v>Huynh My Ngoc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44188844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</row>
        <row r="837">
          <cell r="A837">
            <v>82025</v>
          </cell>
          <cell r="H837" t="str">
            <v>Nguyen Thi Thanh Thanh</v>
          </cell>
          <cell r="AP837">
            <v>0</v>
          </cell>
          <cell r="AQ837">
            <v>3748708.9499999997</v>
          </cell>
          <cell r="AR837">
            <v>0</v>
          </cell>
          <cell r="AS837">
            <v>0</v>
          </cell>
          <cell r="AT837">
            <v>4248536.8099999996</v>
          </cell>
          <cell r="AU837">
            <v>4248536.8099999996</v>
          </cell>
          <cell r="AV837">
            <v>4248536.8099999996</v>
          </cell>
          <cell r="AW837">
            <v>0</v>
          </cell>
          <cell r="AX837">
            <v>8497073.6199999992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</row>
        <row r="838">
          <cell r="A838">
            <v>82025</v>
          </cell>
          <cell r="H838" t="str">
            <v>Phan Thi Thao Nguyen</v>
          </cell>
          <cell r="AP838">
            <v>0</v>
          </cell>
          <cell r="AQ838">
            <v>5690546.25</v>
          </cell>
          <cell r="AR838">
            <v>0</v>
          </cell>
          <cell r="AS838">
            <v>0</v>
          </cell>
          <cell r="AT838">
            <v>6449285.7499999991</v>
          </cell>
          <cell r="AU838">
            <v>6449285.7499999991</v>
          </cell>
          <cell r="AV838">
            <v>6449285.7499999991</v>
          </cell>
          <cell r="AW838">
            <v>0</v>
          </cell>
          <cell r="AX838">
            <v>12898571.499999998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</row>
        <row r="839">
          <cell r="A839">
            <v>82025</v>
          </cell>
          <cell r="H839" t="str">
            <v>Bui Thi Hong Hanh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14687426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</row>
        <row r="840">
          <cell r="A840">
            <v>82025</v>
          </cell>
          <cell r="H840" t="str">
            <v>Mai Thi Kim Hang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15225323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</row>
        <row r="841">
          <cell r="A841">
            <v>82025</v>
          </cell>
          <cell r="H841" t="str">
            <v>Pham Thi Huyen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18534807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</row>
        <row r="842">
          <cell r="A842">
            <v>82025</v>
          </cell>
          <cell r="H842" t="str">
            <v>Vo Thi Quynh Thi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22695651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</row>
        <row r="843">
          <cell r="A843">
            <v>82025</v>
          </cell>
          <cell r="H843" t="str">
            <v>Nguyen Thi Tram Anh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17595922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</row>
        <row r="844">
          <cell r="A844">
            <v>82025</v>
          </cell>
          <cell r="H844" t="str">
            <v>Truong Thi Diem Phuong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14173147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</row>
        <row r="845">
          <cell r="A845">
            <v>82025</v>
          </cell>
          <cell r="H845" t="str">
            <v>Vu Thi Thu Thuy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14843147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</row>
        <row r="846">
          <cell r="A846">
            <v>82025</v>
          </cell>
          <cell r="H846" t="str">
            <v>Nguyen Thi Nhung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15367626</v>
          </cell>
          <cell r="BA846">
            <v>0</v>
          </cell>
          <cell r="BB846">
            <v>0</v>
          </cell>
          <cell r="BC846">
            <v>0</v>
          </cell>
        </row>
        <row r="847">
          <cell r="A847">
            <v>82025</v>
          </cell>
          <cell r="H847" t="str">
            <v>Mai Anh Thu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15367626</v>
          </cell>
          <cell r="BA847">
            <v>0</v>
          </cell>
          <cell r="BB847">
            <v>0</v>
          </cell>
          <cell r="BC847">
            <v>0</v>
          </cell>
        </row>
        <row r="848">
          <cell r="A848">
            <v>82025</v>
          </cell>
          <cell r="H848" t="str">
            <v>Dang Thanh Canh</v>
          </cell>
          <cell r="AP848">
            <v>0</v>
          </cell>
          <cell r="AQ848">
            <v>1092098.7</v>
          </cell>
          <cell r="AR848">
            <v>0</v>
          </cell>
          <cell r="AS848">
            <v>0</v>
          </cell>
          <cell r="AT848">
            <v>1237711.8599999999</v>
          </cell>
          <cell r="AU848">
            <v>1237711.8599999999</v>
          </cell>
          <cell r="AV848">
            <v>1237711.8599999999</v>
          </cell>
          <cell r="AW848">
            <v>0</v>
          </cell>
          <cell r="AX848">
            <v>2475423.7199999997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</row>
        <row r="849">
          <cell r="A849">
            <v>82025</v>
          </cell>
          <cell r="H849" t="str">
            <v>Le Thi Thu Hanh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71387889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</row>
        <row r="850">
          <cell r="A850">
            <v>82025</v>
          </cell>
          <cell r="H850" t="str">
            <v>Nguyen Thi Thuy Na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13910376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</row>
        <row r="851">
          <cell r="A851">
            <v>82025</v>
          </cell>
          <cell r="H851" t="str">
            <v>Pham Thi Nhi Ca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14090356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</row>
        <row r="852">
          <cell r="A852">
            <v>82025</v>
          </cell>
          <cell r="H852" t="str">
            <v>Vietcombank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</row>
        <row r="853">
          <cell r="A853">
            <v>82025</v>
          </cell>
          <cell r="H853" t="str">
            <v>Vietcombank</v>
          </cell>
          <cell r="AP853">
            <v>0</v>
          </cell>
          <cell r="AQ853">
            <v>22000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</row>
        <row r="854">
          <cell r="A854">
            <v>82025</v>
          </cell>
          <cell r="H854" t="str">
            <v>ELC Operation</v>
          </cell>
          <cell r="AP854">
            <v>1721734892</v>
          </cell>
        </row>
        <row r="855">
          <cell r="A855">
            <v>92025</v>
          </cell>
          <cell r="H855" t="str">
            <v>Cong ty TNHH Huu Nghi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756000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</row>
        <row r="856">
          <cell r="A856">
            <v>92025</v>
          </cell>
          <cell r="H856" t="str">
            <v>Cong ty TNHH Huu Nghi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11000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</row>
        <row r="857">
          <cell r="A857">
            <v>92025</v>
          </cell>
          <cell r="H857" t="str">
            <v>Công ty TNHH MTV Hop Nhat Thanh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3509000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</row>
        <row r="858">
          <cell r="A858">
            <v>92025</v>
          </cell>
          <cell r="H858" t="str">
            <v>Công ty TNHH MTV Hop Nhat Thanh</v>
          </cell>
          <cell r="AP858">
            <v>0</v>
          </cell>
          <cell r="AQ858">
            <v>11000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</row>
        <row r="859">
          <cell r="A859">
            <v>92025</v>
          </cell>
          <cell r="H859" t="str">
            <v>Vu Thi Thu Thuy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2607000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</row>
        <row r="860">
          <cell r="A860">
            <v>92025</v>
          </cell>
          <cell r="H860" t="str">
            <v>Vu Thi Thu Thuy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11000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</row>
        <row r="861">
          <cell r="A861">
            <v>92025</v>
          </cell>
          <cell r="H861" t="str">
            <v>Công ty TNHH MTV Hop Nhat Thanh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13948000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</row>
        <row r="862">
          <cell r="A862">
            <v>92025</v>
          </cell>
          <cell r="H862" t="str">
            <v>Công ty TNHH MTV Hop Nhat Thanh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11000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</row>
        <row r="863">
          <cell r="A863">
            <v>92025</v>
          </cell>
          <cell r="H863" t="str">
            <v>Nguyen Thi Thanh Thanh</v>
          </cell>
          <cell r="AP863">
            <v>0</v>
          </cell>
          <cell r="AQ863">
            <v>1200000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</row>
        <row r="864">
          <cell r="A864">
            <v>92025</v>
          </cell>
          <cell r="H864" t="str">
            <v>Nguyen Thi Thanh Thanh</v>
          </cell>
          <cell r="AP864">
            <v>0</v>
          </cell>
          <cell r="AQ864">
            <v>11000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</row>
        <row r="865">
          <cell r="A865">
            <v>92025</v>
          </cell>
          <cell r="H865" t="str">
            <v>Công ty TNHH MTV Hop Nhat Thanh</v>
          </cell>
          <cell r="AP865">
            <v>0</v>
          </cell>
          <cell r="AQ865">
            <v>5414000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</row>
        <row r="866">
          <cell r="A866">
            <v>92025</v>
          </cell>
          <cell r="H866" t="str">
            <v>Công ty TNHH MTV Hop Nhat Thanh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11000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</row>
        <row r="867">
          <cell r="A867">
            <v>92025</v>
          </cell>
          <cell r="H867" t="str">
            <v>Pham Thi Huyen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1481760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</row>
        <row r="868">
          <cell r="A868">
            <v>92025</v>
          </cell>
          <cell r="H868" t="str">
            <v>Pham Thi Huyen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11000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</row>
        <row r="869">
          <cell r="A869">
            <v>92025</v>
          </cell>
          <cell r="H869" t="str">
            <v>Vo Thi Quynh Thi</v>
          </cell>
          <cell r="AP869">
            <v>0</v>
          </cell>
          <cell r="AQ869">
            <v>2121658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</row>
        <row r="870">
          <cell r="A870">
            <v>92025</v>
          </cell>
          <cell r="H870" t="str">
            <v>Vo Thi Quynh Thi</v>
          </cell>
          <cell r="AP870">
            <v>0</v>
          </cell>
          <cell r="AQ870">
            <v>11000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</row>
        <row r="871">
          <cell r="A871">
            <v>92025</v>
          </cell>
          <cell r="H871" t="str">
            <v>Tran Thi Que Chi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3486000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</row>
        <row r="872">
          <cell r="A872">
            <v>92025</v>
          </cell>
          <cell r="H872" t="str">
            <v>Tran Thi Que Chi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11000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</row>
        <row r="873">
          <cell r="A873">
            <v>92025</v>
          </cell>
          <cell r="H873" t="str">
            <v>Nguyen Thi Thanh Thanh</v>
          </cell>
          <cell r="AP873">
            <v>0</v>
          </cell>
          <cell r="AQ873">
            <v>9105000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</row>
        <row r="874">
          <cell r="A874">
            <v>92025</v>
          </cell>
          <cell r="H874" t="str">
            <v>Nguyen Thi Thanh Thanh</v>
          </cell>
          <cell r="AP874">
            <v>0</v>
          </cell>
          <cell r="AQ874">
            <v>11000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</row>
        <row r="875">
          <cell r="A875">
            <v>92025</v>
          </cell>
          <cell r="H875" t="str">
            <v>Nguyen Thi Thanh Thanh</v>
          </cell>
          <cell r="AP875">
            <v>0</v>
          </cell>
          <cell r="AQ875">
            <v>0</v>
          </cell>
          <cell r="AR875">
            <v>3448044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</row>
        <row r="876">
          <cell r="A876">
            <v>92025</v>
          </cell>
          <cell r="H876" t="str">
            <v>Nguyen Thi Thanh Thanh</v>
          </cell>
          <cell r="AP876">
            <v>0</v>
          </cell>
          <cell r="AQ876">
            <v>0</v>
          </cell>
          <cell r="AR876">
            <v>11000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</row>
        <row r="877">
          <cell r="A877">
            <v>92025</v>
          </cell>
          <cell r="H877" t="str">
            <v>Bui Thi Huong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2213150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</row>
        <row r="878">
          <cell r="A878">
            <v>92025</v>
          </cell>
          <cell r="H878" t="str">
            <v>Bui Thi Huong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11000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</row>
        <row r="879">
          <cell r="A879">
            <v>92025</v>
          </cell>
          <cell r="H879" t="str">
            <v>Cong ty TNHH Thuong Mai &amp; Dich Vu Du Lich Dat Phuc Han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6856000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</row>
        <row r="880">
          <cell r="A880">
            <v>92025</v>
          </cell>
          <cell r="H880" t="str">
            <v>Cong ty TNHH Thuong Mai &amp; Dich Vu Du Lich Dat Phuc Han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22000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</row>
        <row r="881">
          <cell r="A881">
            <v>92025</v>
          </cell>
          <cell r="H881" t="str">
            <v>Cong ty TNHH Thuong Mai va Du lich Noi Bai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1566000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</row>
        <row r="882">
          <cell r="A882">
            <v>92025</v>
          </cell>
          <cell r="H882" t="str">
            <v>Cong ty TNHH Thuong Mai va Du lich Noi Bai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22000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</row>
        <row r="883">
          <cell r="A883">
            <v>92025</v>
          </cell>
          <cell r="H883" t="str">
            <v>Cong ty TNHH Thuong Mai va Du lich Noi Bai</v>
          </cell>
          <cell r="AP883">
            <v>0</v>
          </cell>
          <cell r="AQ883">
            <v>756000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</row>
        <row r="884">
          <cell r="A884">
            <v>92025</v>
          </cell>
          <cell r="H884" t="str">
            <v>Cong ty TNHH Thuong Mai va Du lich Noi Bai</v>
          </cell>
          <cell r="AP884">
            <v>0</v>
          </cell>
          <cell r="AQ884">
            <v>22000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</row>
        <row r="885">
          <cell r="A885">
            <v>92025</v>
          </cell>
          <cell r="H885" t="str">
            <v>Cong ty TNHH MTV Han Anh Thinh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</row>
        <row r="886">
          <cell r="A886">
            <v>92025</v>
          </cell>
          <cell r="H886" t="str">
            <v>Cong ty TNHH Thuong mai va Dich vu Tong hop Thanh Quang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</row>
        <row r="887">
          <cell r="A887">
            <v>92025</v>
          </cell>
          <cell r="H887" t="str">
            <v>Cong ty TNHH My Thuat Hoang Gia Thang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</row>
        <row r="888">
          <cell r="A888">
            <v>92025</v>
          </cell>
          <cell r="H888" t="str">
            <v>Cong ty TNHH MTV Han Anh Thinh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</row>
        <row r="889">
          <cell r="A889">
            <v>92025</v>
          </cell>
          <cell r="H889" t="str">
            <v>Cong ty TNHH MTV Han Anh Thinh</v>
          </cell>
          <cell r="AP889">
            <v>0</v>
          </cell>
          <cell r="AQ889">
            <v>0</v>
          </cell>
          <cell r="AR889">
            <v>22000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</row>
        <row r="890">
          <cell r="A890">
            <v>92025</v>
          </cell>
          <cell r="H890" t="str">
            <v>Cong ty TNHH Thuong mai va Dich vu Tong hop Thanh Quang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</row>
        <row r="891">
          <cell r="A891">
            <v>92025</v>
          </cell>
          <cell r="H891" t="str">
            <v>Cong ty TNHH Thuong mai va Dich vu Tong hop Thanh Quang</v>
          </cell>
          <cell r="AP891">
            <v>0</v>
          </cell>
          <cell r="AQ891">
            <v>0</v>
          </cell>
          <cell r="AR891">
            <v>22000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</row>
        <row r="892">
          <cell r="A892">
            <v>92025</v>
          </cell>
          <cell r="H892" t="str">
            <v>Cong ty TNHH Huy Hung Hiep</v>
          </cell>
          <cell r="AP892">
            <v>0</v>
          </cell>
          <cell r="AQ892">
            <v>0</v>
          </cell>
          <cell r="AR892">
            <v>24300000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</row>
        <row r="893">
          <cell r="A893">
            <v>92025</v>
          </cell>
          <cell r="H893" t="str">
            <v>Cong ty TNHH Huy Hung Hiep</v>
          </cell>
          <cell r="AP893">
            <v>0</v>
          </cell>
          <cell r="AQ893">
            <v>0</v>
          </cell>
          <cell r="AR893">
            <v>22000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</row>
        <row r="894">
          <cell r="A894">
            <v>92025</v>
          </cell>
          <cell r="H894" t="str">
            <v>Cong ty TNHH MTV Danh Thinh Phong</v>
          </cell>
          <cell r="AP894">
            <v>0</v>
          </cell>
          <cell r="AQ894">
            <v>0</v>
          </cell>
          <cell r="AR894">
            <v>186142868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</row>
        <row r="895">
          <cell r="A895">
            <v>92025</v>
          </cell>
          <cell r="H895" t="str">
            <v>Cong ty TNHH My Thuat Hoang Gia Thang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</row>
        <row r="896">
          <cell r="A896">
            <v>92025</v>
          </cell>
          <cell r="H896" t="str">
            <v>Cong ty TNHH MTV Danh Thinh Phong</v>
          </cell>
          <cell r="AP896">
            <v>0</v>
          </cell>
          <cell r="AQ896">
            <v>0</v>
          </cell>
          <cell r="AR896">
            <v>43218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</row>
        <row r="897">
          <cell r="A897">
            <v>92025</v>
          </cell>
          <cell r="H897" t="str">
            <v>Cong ty TNHH My Thuat Hoang Gia Thang</v>
          </cell>
          <cell r="AP897">
            <v>0</v>
          </cell>
          <cell r="AQ897">
            <v>0</v>
          </cell>
          <cell r="AR897">
            <v>22000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</row>
        <row r="898">
          <cell r="A898">
            <v>92025</v>
          </cell>
          <cell r="H898" t="str">
            <v>Phi Long company</v>
          </cell>
          <cell r="AP898">
            <v>0</v>
          </cell>
          <cell r="AQ898">
            <v>0</v>
          </cell>
          <cell r="AR898">
            <v>5790000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</row>
        <row r="899">
          <cell r="A899">
            <v>92025</v>
          </cell>
          <cell r="H899" t="str">
            <v>Phi Long company</v>
          </cell>
          <cell r="AP899">
            <v>0</v>
          </cell>
          <cell r="AQ899">
            <v>0</v>
          </cell>
          <cell r="AR899">
            <v>11000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</row>
        <row r="900">
          <cell r="A900">
            <v>92025</v>
          </cell>
          <cell r="H900" t="str">
            <v>Le Thi Thu Hanh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772990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</row>
        <row r="901">
          <cell r="A901">
            <v>92025</v>
          </cell>
          <cell r="H901" t="str">
            <v>Le Thi Thu Hanh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11000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</row>
        <row r="902">
          <cell r="A902">
            <v>92025</v>
          </cell>
          <cell r="H902" t="str">
            <v>Thanh Khe DOET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</row>
        <row r="903">
          <cell r="A903">
            <v>92025</v>
          </cell>
          <cell r="H903" t="str">
            <v>Truong Mam non Sen Hong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</row>
        <row r="904">
          <cell r="A904">
            <v>92025</v>
          </cell>
          <cell r="H904" t="str">
            <v>Truong Mam non Ngoc Lan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</row>
        <row r="905">
          <cell r="A905">
            <v>92025</v>
          </cell>
          <cell r="H905" t="str">
            <v>Cong ty Dien luc Da Nang - Chi nhanh Tong cong ty Dien Luc Mien Trung</v>
          </cell>
          <cell r="AP905">
            <v>0</v>
          </cell>
          <cell r="AQ905">
            <v>0</v>
          </cell>
          <cell r="AR905">
            <v>4840912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</row>
        <row r="906">
          <cell r="A906">
            <v>92025</v>
          </cell>
          <cell r="H906" t="str">
            <v>Cong ty Dien luc Da Nang - Chi nhanh Tong cong ty Dien Luc Mien Trung</v>
          </cell>
          <cell r="AP906">
            <v>0</v>
          </cell>
          <cell r="AQ906">
            <v>0</v>
          </cell>
          <cell r="AR906">
            <v>22000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</row>
        <row r="907">
          <cell r="A907">
            <v>92025</v>
          </cell>
          <cell r="H907" t="str">
            <v>Chi nhanh Cty TNHH Cong Nghe Fastwork Viet Nam</v>
          </cell>
          <cell r="AP907">
            <v>0</v>
          </cell>
          <cell r="AQ907">
            <v>0</v>
          </cell>
          <cell r="AR907">
            <v>0</v>
          </cell>
          <cell r="AS907">
            <v>17107200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</row>
        <row r="908">
          <cell r="A908">
            <v>92025</v>
          </cell>
          <cell r="H908" t="str">
            <v>Chi nhanh Cty TNHH Cong Nghe Fastwork Viet Nam</v>
          </cell>
          <cell r="AP908">
            <v>0</v>
          </cell>
          <cell r="AQ908">
            <v>0</v>
          </cell>
          <cell r="AR908">
            <v>22000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</row>
        <row r="909">
          <cell r="A909">
            <v>92025</v>
          </cell>
          <cell r="H909" t="str">
            <v>Thuan Thanh Company</v>
          </cell>
          <cell r="AP909">
            <v>0</v>
          </cell>
          <cell r="AQ909">
            <v>0</v>
          </cell>
          <cell r="AR909">
            <v>14500000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</row>
        <row r="910">
          <cell r="A910">
            <v>92025</v>
          </cell>
          <cell r="H910" t="str">
            <v>Thuan Thanh Company</v>
          </cell>
          <cell r="AP910">
            <v>0</v>
          </cell>
          <cell r="AQ910">
            <v>0</v>
          </cell>
          <cell r="AR910">
            <v>22000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</row>
        <row r="911">
          <cell r="A911">
            <v>92025</v>
          </cell>
          <cell r="H911" t="str">
            <v>Công ty TNHH Du Lịch và Dịch Vụ SKYLUX</v>
          </cell>
          <cell r="AP911">
            <v>0</v>
          </cell>
          <cell r="AQ911">
            <v>4133600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</row>
        <row r="912">
          <cell r="A912">
            <v>92025</v>
          </cell>
          <cell r="H912" t="str">
            <v>Công ty TNHH Du Lịch và Dịch Vụ SKYLUX</v>
          </cell>
          <cell r="AP912">
            <v>0</v>
          </cell>
          <cell r="AQ912">
            <v>22000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</row>
        <row r="913">
          <cell r="A913">
            <v>92025</v>
          </cell>
          <cell r="H913" t="str">
            <v>Cong ty TNHH In Trung Khoa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2355300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</row>
        <row r="914">
          <cell r="A914">
            <v>92025</v>
          </cell>
          <cell r="H914" t="str">
            <v>Cong ty TNHH In Trung Khoa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22000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</row>
        <row r="915">
          <cell r="A915">
            <v>92025</v>
          </cell>
          <cell r="H915" t="str">
            <v>Cong ty TNHH TM&amp;DV Duc Chi Nguyen</v>
          </cell>
          <cell r="AP915">
            <v>0</v>
          </cell>
          <cell r="AQ915">
            <v>0</v>
          </cell>
          <cell r="AR915">
            <v>480000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</row>
        <row r="916">
          <cell r="A916">
            <v>92025</v>
          </cell>
          <cell r="H916" t="str">
            <v>Cong ty TNHH TM&amp;DV Duc Chi Nguyen</v>
          </cell>
          <cell r="AP916">
            <v>0</v>
          </cell>
          <cell r="AQ916">
            <v>0</v>
          </cell>
          <cell r="AR916">
            <v>22000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</row>
        <row r="917">
          <cell r="A917">
            <v>92025</v>
          </cell>
          <cell r="H917" t="str">
            <v>Dang Thi Cam Tu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1800000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</row>
        <row r="918">
          <cell r="A918">
            <v>92025</v>
          </cell>
          <cell r="H918" t="str">
            <v>Dang Thi Cam Tu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22000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</row>
        <row r="919">
          <cell r="A919">
            <v>92025</v>
          </cell>
          <cell r="H919" t="str">
            <v>Nguyen Thi Thuy Linh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1600000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</row>
        <row r="920">
          <cell r="A920">
            <v>92025</v>
          </cell>
          <cell r="H920" t="str">
            <v>Nguyen Thi Thuy Linh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22000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</row>
        <row r="921">
          <cell r="A921">
            <v>92025</v>
          </cell>
          <cell r="H921" t="str">
            <v>Le Thi Dieu Thuy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22000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</row>
        <row r="922">
          <cell r="A922">
            <v>92025</v>
          </cell>
          <cell r="H922" t="str">
            <v>Le Thi Dieu Thuy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1600000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</row>
        <row r="923">
          <cell r="A923">
            <v>92025</v>
          </cell>
          <cell r="H923" t="str">
            <v>Thanh Khe DOET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</row>
        <row r="924">
          <cell r="A924">
            <v>92025</v>
          </cell>
          <cell r="H924" t="str">
            <v>Thanh Khe DOET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22000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</row>
        <row r="925">
          <cell r="A925">
            <v>92025</v>
          </cell>
          <cell r="H925" t="str">
            <v>Truong Mam non Sen Hong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</row>
        <row r="926">
          <cell r="A926">
            <v>92025</v>
          </cell>
          <cell r="H926" t="str">
            <v>Truong Mam non Sen Hong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22000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</row>
        <row r="927">
          <cell r="A927">
            <v>92025</v>
          </cell>
          <cell r="H927" t="str">
            <v>Truong Mam non Ngoc Lan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</row>
        <row r="928">
          <cell r="A928">
            <v>92025</v>
          </cell>
          <cell r="H928" t="str">
            <v>Truong Mam non Ngoc Lan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22000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</row>
        <row r="929">
          <cell r="A929">
            <v>92025</v>
          </cell>
          <cell r="H929" t="str">
            <v>Truong Mam non 20-10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28510000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</row>
        <row r="930">
          <cell r="A930">
            <v>92025</v>
          </cell>
          <cell r="H930" t="str">
            <v>Truong Mam non Ngoc Lan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26880000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</row>
        <row r="931">
          <cell r="A931">
            <v>92025</v>
          </cell>
          <cell r="H931" t="str">
            <v>Truong Mam non Ngoc Lan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22000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</row>
        <row r="932">
          <cell r="A932">
            <v>92025</v>
          </cell>
          <cell r="H932" t="str">
            <v>Thanh Khe DOET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22689000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</row>
        <row r="933">
          <cell r="A933">
            <v>92025</v>
          </cell>
          <cell r="H933" t="str">
            <v>Thanh Khe DOET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22000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</row>
        <row r="934">
          <cell r="A934">
            <v>92025</v>
          </cell>
          <cell r="H934" t="str">
            <v>Cong ty TNHH thuong Mai va Dich vu Ngoc An</v>
          </cell>
          <cell r="AP934">
            <v>0</v>
          </cell>
          <cell r="AQ934">
            <v>0</v>
          </cell>
          <cell r="AR934">
            <v>3213500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</row>
        <row r="935">
          <cell r="A935">
            <v>92025</v>
          </cell>
          <cell r="H935" t="str">
            <v>Cong ty TNHH thuong Mai va Dich vu Ngoc An</v>
          </cell>
          <cell r="AP935">
            <v>0</v>
          </cell>
          <cell r="AQ935">
            <v>0</v>
          </cell>
          <cell r="AR935">
            <v>22000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</row>
        <row r="936">
          <cell r="A936">
            <v>92025</v>
          </cell>
          <cell r="H936" t="str">
            <v>Le Nguyen Vu</v>
          </cell>
          <cell r="AP936">
            <v>0</v>
          </cell>
          <cell r="AQ936">
            <v>0</v>
          </cell>
          <cell r="AR936">
            <v>27318060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</row>
        <row r="937">
          <cell r="A937">
            <v>92025</v>
          </cell>
          <cell r="H937" t="str">
            <v>Le Nguyen Vu</v>
          </cell>
          <cell r="AP937">
            <v>0</v>
          </cell>
          <cell r="AQ937">
            <v>0</v>
          </cell>
          <cell r="AR937">
            <v>22000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</row>
        <row r="938">
          <cell r="A938">
            <v>92025</v>
          </cell>
          <cell r="H938" t="str">
            <v>Truong Mam non Hoang Anh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20780000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</row>
        <row r="939">
          <cell r="A939">
            <v>92025</v>
          </cell>
          <cell r="H939" t="str">
            <v>Truong Mam non Hoang Anh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22000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</row>
        <row r="940">
          <cell r="A940">
            <v>92025</v>
          </cell>
          <cell r="H940" t="str">
            <v>Cong ty Co phan di chuyen Xanh va thong minh GSM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2617920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</row>
        <row r="941">
          <cell r="A941">
            <v>92025</v>
          </cell>
          <cell r="H941" t="str">
            <v>Cong ty Co phan di chuyen Xanh va thong minh GSM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22000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</row>
        <row r="942">
          <cell r="A942">
            <v>92025</v>
          </cell>
          <cell r="H942" t="str">
            <v>Công ty TNHH Du Lịch và Dịch Vụ SKYLUX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1134000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</row>
        <row r="943">
          <cell r="A943">
            <v>92025</v>
          </cell>
          <cell r="H943" t="str">
            <v>Công ty TNHH Du Lịch và Dịch Vụ SKYLUX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22000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</row>
        <row r="944">
          <cell r="A944">
            <v>92025</v>
          </cell>
          <cell r="H944" t="str">
            <v>Cong ty TNHH MTV Bao ho Lao dong HSE Bao An Phat</v>
          </cell>
          <cell r="AP944">
            <v>0</v>
          </cell>
          <cell r="AQ944">
            <v>0</v>
          </cell>
          <cell r="AR944">
            <v>6048000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</row>
        <row r="945">
          <cell r="A945">
            <v>92025</v>
          </cell>
          <cell r="H945" t="str">
            <v>Cong ty TNHH MTV Bao ho Lao dong HSE Bao An Phat</v>
          </cell>
          <cell r="AP945">
            <v>0</v>
          </cell>
          <cell r="AQ945">
            <v>0</v>
          </cell>
          <cell r="AR945">
            <v>22000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</row>
        <row r="946">
          <cell r="A946">
            <v>92025</v>
          </cell>
          <cell r="H946" t="str">
            <v>Le Bich Hong</v>
          </cell>
          <cell r="AP946">
            <v>0</v>
          </cell>
          <cell r="AQ946">
            <v>0</v>
          </cell>
          <cell r="AR946">
            <v>556152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</row>
        <row r="947">
          <cell r="A947">
            <v>92025</v>
          </cell>
          <cell r="H947" t="str">
            <v>Le Bich Hong</v>
          </cell>
          <cell r="AP947">
            <v>0</v>
          </cell>
          <cell r="AQ947">
            <v>0</v>
          </cell>
          <cell r="AR947">
            <v>22000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</row>
        <row r="948">
          <cell r="A948">
            <v>92025</v>
          </cell>
          <cell r="H948" t="str">
            <v>Nguyen Thi Thanh Thanh</v>
          </cell>
          <cell r="AP948">
            <v>0</v>
          </cell>
          <cell r="AQ948">
            <v>0</v>
          </cell>
          <cell r="AR948">
            <v>10423859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</row>
        <row r="949">
          <cell r="A949">
            <v>92025</v>
          </cell>
          <cell r="H949" t="str">
            <v>Nguyen Thi Thanh Thanh</v>
          </cell>
          <cell r="AP949">
            <v>0</v>
          </cell>
          <cell r="AQ949">
            <v>0</v>
          </cell>
          <cell r="AR949">
            <v>11000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</row>
        <row r="950">
          <cell r="A950">
            <v>92025</v>
          </cell>
          <cell r="H950" t="str">
            <v>Nguyen Thi Thanh Thanh</v>
          </cell>
          <cell r="AP950">
            <v>0</v>
          </cell>
          <cell r="AQ950">
            <v>0</v>
          </cell>
          <cell r="AR950">
            <v>23052040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</row>
        <row r="951">
          <cell r="A951">
            <v>92025</v>
          </cell>
          <cell r="H951" t="str">
            <v>Nguyen Thi Thanh Thanh</v>
          </cell>
          <cell r="AP951">
            <v>0</v>
          </cell>
          <cell r="AQ951">
            <v>0</v>
          </cell>
          <cell r="AR951">
            <v>11000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</row>
        <row r="952">
          <cell r="A952">
            <v>92025</v>
          </cell>
          <cell r="H952" t="str">
            <v>Pham Thi Dieu Loan</v>
          </cell>
          <cell r="AP952">
            <v>0</v>
          </cell>
          <cell r="AQ952">
            <v>0</v>
          </cell>
          <cell r="AR952">
            <v>0</v>
          </cell>
          <cell r="AS952">
            <v>1085246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</row>
        <row r="953">
          <cell r="A953">
            <v>92025</v>
          </cell>
          <cell r="H953" t="str">
            <v>Pham Thi Dieu Loan</v>
          </cell>
          <cell r="AP953">
            <v>0</v>
          </cell>
          <cell r="AQ953">
            <v>0</v>
          </cell>
          <cell r="AR953">
            <v>0</v>
          </cell>
          <cell r="AS953">
            <v>11000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</row>
        <row r="954">
          <cell r="A954">
            <v>92025</v>
          </cell>
          <cell r="H954" t="str">
            <v>Truong Thi Diem Phuong</v>
          </cell>
          <cell r="AP954">
            <v>0</v>
          </cell>
          <cell r="AQ954">
            <v>0</v>
          </cell>
          <cell r="AR954">
            <v>5400000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</row>
        <row r="955">
          <cell r="A955">
            <v>92025</v>
          </cell>
          <cell r="H955" t="str">
            <v>Truong Thi Diem Phuong</v>
          </cell>
          <cell r="AP955">
            <v>0</v>
          </cell>
          <cell r="AQ955">
            <v>0</v>
          </cell>
          <cell r="AR955">
            <v>11000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</row>
        <row r="956">
          <cell r="A956">
            <v>92025</v>
          </cell>
          <cell r="H956" t="str">
            <v>Ho Lam Hong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7875000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</row>
        <row r="957">
          <cell r="A957">
            <v>92025</v>
          </cell>
          <cell r="H957" t="str">
            <v>Ho Lam Hong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11000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</row>
        <row r="958">
          <cell r="A958">
            <v>92025</v>
          </cell>
          <cell r="H958" t="str">
            <v>Vo Thi Quynh Thi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11757400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</row>
        <row r="959">
          <cell r="A959">
            <v>92025</v>
          </cell>
          <cell r="H959" t="str">
            <v>Vo Thi Quynh Thi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11000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</row>
        <row r="960">
          <cell r="A960">
            <v>92025</v>
          </cell>
          <cell r="H960" t="str">
            <v>Cong ty TNHH Thương Mai Dich Vu Phat Quan</v>
          </cell>
          <cell r="AP960">
            <v>0</v>
          </cell>
          <cell r="AQ960">
            <v>0</v>
          </cell>
          <cell r="AR960">
            <v>6640000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</row>
        <row r="961">
          <cell r="A961">
            <v>92025</v>
          </cell>
          <cell r="H961" t="str">
            <v>Cong ty TNHH Thuong Mai Dich Vu Phat Quan</v>
          </cell>
          <cell r="AP961">
            <v>0</v>
          </cell>
          <cell r="AQ961">
            <v>0</v>
          </cell>
          <cell r="AR961">
            <v>11000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</row>
        <row r="962">
          <cell r="A962">
            <v>92025</v>
          </cell>
          <cell r="H962" t="str">
            <v>Bui Thi Huong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2260000</v>
          </cell>
          <cell r="AW962">
            <v>0</v>
          </cell>
          <cell r="AX962">
            <v>3090000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</row>
        <row r="963">
          <cell r="A963">
            <v>92025</v>
          </cell>
          <cell r="H963" t="str">
            <v>Bui Thi Huong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11000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</row>
        <row r="964">
          <cell r="A964">
            <v>92025</v>
          </cell>
          <cell r="H964" t="str">
            <v>Vietnam Tax Company</v>
          </cell>
          <cell r="AP964">
            <v>0</v>
          </cell>
          <cell r="AQ964">
            <v>0</v>
          </cell>
          <cell r="AR964">
            <v>763280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</row>
        <row r="965">
          <cell r="A965">
            <v>92025</v>
          </cell>
          <cell r="H965" t="str">
            <v>Cong ty TNHH Thi Phuc</v>
          </cell>
          <cell r="AP965">
            <v>0</v>
          </cell>
          <cell r="AQ965">
            <v>0</v>
          </cell>
          <cell r="AR965">
            <v>19065000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</row>
        <row r="966">
          <cell r="A966">
            <v>92025</v>
          </cell>
          <cell r="H966" t="str">
            <v>Công ty TNHH Thi Phuc</v>
          </cell>
          <cell r="AP966">
            <v>0</v>
          </cell>
          <cell r="AQ966">
            <v>0</v>
          </cell>
          <cell r="AR966">
            <v>11000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</row>
        <row r="967">
          <cell r="A967">
            <v>92025</v>
          </cell>
          <cell r="H967" t="str">
            <v>Vietnam Tax Company</v>
          </cell>
          <cell r="AP967">
            <v>0</v>
          </cell>
          <cell r="AQ967">
            <v>10024559.5</v>
          </cell>
          <cell r="AR967">
            <v>0</v>
          </cell>
          <cell r="AS967">
            <v>0</v>
          </cell>
          <cell r="AT967">
            <v>20350121.469999999</v>
          </cell>
          <cell r="AU967">
            <v>20479457.469999999</v>
          </cell>
          <cell r="AV967">
            <v>20955596.469999999</v>
          </cell>
          <cell r="AW967">
            <v>0</v>
          </cell>
          <cell r="AX967">
            <v>100727623.08999999</v>
          </cell>
          <cell r="AY967">
            <v>152496</v>
          </cell>
          <cell r="AZ967">
            <v>188296</v>
          </cell>
          <cell r="BA967">
            <v>0</v>
          </cell>
          <cell r="BB967">
            <v>0</v>
          </cell>
          <cell r="BC967">
            <v>0</v>
          </cell>
        </row>
        <row r="968">
          <cell r="A968">
            <v>92025</v>
          </cell>
          <cell r="H968" t="str">
            <v>Le Bich Hong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</row>
        <row r="969">
          <cell r="A969">
            <v>92025</v>
          </cell>
          <cell r="H969" t="str">
            <v>Nguyen Hong Kim</v>
          </cell>
          <cell r="AP969">
            <v>0</v>
          </cell>
          <cell r="AQ969">
            <v>0</v>
          </cell>
          <cell r="AR969">
            <v>11737891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</row>
        <row r="970">
          <cell r="A970">
            <v>92025</v>
          </cell>
          <cell r="H970" t="str">
            <v>Nguyen Hong Kim</v>
          </cell>
          <cell r="AP970">
            <v>0</v>
          </cell>
          <cell r="AQ970">
            <v>0</v>
          </cell>
          <cell r="AR970">
            <v>11000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</row>
        <row r="971">
          <cell r="A971">
            <v>92025</v>
          </cell>
          <cell r="H971" t="str">
            <v>Cong ty TNHH Thuong Mai va Du lich Noi Bai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583200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</row>
        <row r="972">
          <cell r="A972">
            <v>92025</v>
          </cell>
          <cell r="H972" t="str">
            <v>Cong ty TNHH Thuong Mai va Du lich Noi Bai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22000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</row>
        <row r="973">
          <cell r="A973">
            <v>92025</v>
          </cell>
          <cell r="H973" t="str">
            <v>Tap doan Cong nghiep - Vien thong Quan Doi</v>
          </cell>
          <cell r="AP973">
            <v>0</v>
          </cell>
          <cell r="AQ973">
            <v>0</v>
          </cell>
          <cell r="AR973">
            <v>1181250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</row>
        <row r="974">
          <cell r="A974">
            <v>92025</v>
          </cell>
          <cell r="H974" t="str">
            <v>Tap doan Cong nghiep - Vien thong Quan Doi</v>
          </cell>
          <cell r="AP974">
            <v>0</v>
          </cell>
          <cell r="AQ974">
            <v>0</v>
          </cell>
          <cell r="AR974">
            <v>22000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</row>
        <row r="975">
          <cell r="A975">
            <v>92025</v>
          </cell>
          <cell r="H975" t="str">
            <v>Cong ty TNHH MTV Han Anh Thinh</v>
          </cell>
          <cell r="AP975">
            <v>0</v>
          </cell>
          <cell r="AQ975">
            <v>0</v>
          </cell>
          <cell r="AR975">
            <v>10030000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</row>
        <row r="976">
          <cell r="A976">
            <v>92025</v>
          </cell>
          <cell r="H976" t="str">
            <v>Cong ty TNHH MTV Han Anh Thinh</v>
          </cell>
          <cell r="AP976">
            <v>0</v>
          </cell>
          <cell r="AQ976">
            <v>0</v>
          </cell>
          <cell r="AR976">
            <v>22000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</row>
        <row r="977">
          <cell r="A977">
            <v>92025</v>
          </cell>
          <cell r="H977" t="str">
            <v>Cong ty TNHH Thuong mai va Dich vu Tong hop Thanh Quang</v>
          </cell>
          <cell r="AP977">
            <v>0</v>
          </cell>
          <cell r="AQ977">
            <v>0</v>
          </cell>
          <cell r="AR977">
            <v>6600000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</row>
        <row r="978">
          <cell r="A978">
            <v>92025</v>
          </cell>
          <cell r="H978" t="str">
            <v>Cong ty TNHH Thuong mai va Dich vu Tong hop Thanh Quang</v>
          </cell>
          <cell r="AP978">
            <v>0</v>
          </cell>
          <cell r="AQ978">
            <v>0</v>
          </cell>
          <cell r="AR978">
            <v>22000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</row>
        <row r="979">
          <cell r="A979">
            <v>92025</v>
          </cell>
          <cell r="H979" t="str">
            <v>Cong ty TNHH My Thuat Hoang Gia Thang</v>
          </cell>
          <cell r="AP979">
            <v>0</v>
          </cell>
          <cell r="AQ979">
            <v>0</v>
          </cell>
          <cell r="AR979">
            <v>33085800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</row>
        <row r="980">
          <cell r="A980">
            <v>92025</v>
          </cell>
          <cell r="H980" t="str">
            <v>Cong ty TNHH My Thuat Hoang Gia Thang</v>
          </cell>
          <cell r="AP980">
            <v>0</v>
          </cell>
          <cell r="AQ980">
            <v>0</v>
          </cell>
          <cell r="AR980">
            <v>22000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</row>
        <row r="981">
          <cell r="A981">
            <v>92025</v>
          </cell>
          <cell r="H981" t="str">
            <v>Cong ty TNHH Xay dung va Noi that Phuc Thanh An</v>
          </cell>
          <cell r="AP981">
            <v>0</v>
          </cell>
          <cell r="AQ981">
            <v>0</v>
          </cell>
          <cell r="AR981">
            <v>33340000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</row>
        <row r="982">
          <cell r="A982">
            <v>92025</v>
          </cell>
          <cell r="H982" t="str">
            <v>Cong ty TNHH Xay dung va Noi that Phuc Thanh An</v>
          </cell>
          <cell r="AP982">
            <v>0</v>
          </cell>
          <cell r="AQ982">
            <v>0</v>
          </cell>
          <cell r="AR982">
            <v>22000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</row>
        <row r="983">
          <cell r="A983">
            <v>92025</v>
          </cell>
          <cell r="H983" t="str">
            <v>Cong ty TNHH Kien truc va Xay dung LTCONs</v>
          </cell>
          <cell r="AP983">
            <v>0</v>
          </cell>
          <cell r="AQ983">
            <v>0</v>
          </cell>
          <cell r="AR983">
            <v>6846120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</row>
        <row r="984">
          <cell r="A984">
            <v>92025</v>
          </cell>
          <cell r="H984" t="str">
            <v>Cong ty TNHH Kien truc va Xay dung LTCONs</v>
          </cell>
          <cell r="AP984">
            <v>0</v>
          </cell>
          <cell r="AQ984">
            <v>0</v>
          </cell>
          <cell r="AR984">
            <v>22000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</row>
        <row r="985">
          <cell r="A985">
            <v>92025</v>
          </cell>
          <cell r="H985" t="str">
            <v>Truong Mam non Sen Hong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16830000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</row>
        <row r="986">
          <cell r="A986">
            <v>92025</v>
          </cell>
          <cell r="H986" t="str">
            <v>Truong Mam non Sen Hong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22000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</row>
        <row r="987">
          <cell r="A987">
            <v>92025</v>
          </cell>
          <cell r="H987" t="str">
            <v>Thanh Khe DOET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30380254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</row>
        <row r="988">
          <cell r="A988">
            <v>92025</v>
          </cell>
          <cell r="H988" t="str">
            <v>Thanh Khe DOET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22000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</row>
        <row r="989">
          <cell r="A989">
            <v>92025</v>
          </cell>
          <cell r="H989" t="str">
            <v>Cong ty TNHH Huu Nghi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756000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</row>
        <row r="990">
          <cell r="A990">
            <v>92025</v>
          </cell>
          <cell r="H990" t="str">
            <v>Cong ty TNHH Huu Nghi</v>
          </cell>
          <cell r="AP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11000</v>
          </cell>
          <cell r="AW990">
            <v>0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</row>
        <row r="991">
          <cell r="A991">
            <v>92025</v>
          </cell>
          <cell r="H991" t="str">
            <v>Tran Thi Bich Thuy</v>
          </cell>
          <cell r="AP991">
            <v>0</v>
          </cell>
          <cell r="AQ991">
            <v>0</v>
          </cell>
          <cell r="AR991">
            <v>191000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</row>
        <row r="992">
          <cell r="A992">
            <v>92025</v>
          </cell>
          <cell r="H992" t="str">
            <v>Tran Thi Bich Thuy</v>
          </cell>
          <cell r="AP992">
            <v>0</v>
          </cell>
          <cell r="AQ992">
            <v>0</v>
          </cell>
          <cell r="AR992">
            <v>11000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</row>
        <row r="993">
          <cell r="A993">
            <v>92025</v>
          </cell>
          <cell r="H993" t="str">
            <v>Nguyen Thi Dieu Huyen</v>
          </cell>
          <cell r="AP993">
            <v>0</v>
          </cell>
          <cell r="AQ993">
            <v>6011200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</row>
        <row r="994">
          <cell r="A994">
            <v>92025</v>
          </cell>
          <cell r="H994" t="str">
            <v>Nguyen Thi Dieu Huyen</v>
          </cell>
          <cell r="AP994">
            <v>0</v>
          </cell>
          <cell r="AQ994">
            <v>11000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</row>
        <row r="995">
          <cell r="A995">
            <v>92025</v>
          </cell>
          <cell r="H995" t="str">
            <v>Cong ty Dien luc Da Nang - Chi nhanh Tong cong ty Dien Luc Mien Trung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</row>
        <row r="996">
          <cell r="A996">
            <v>92025</v>
          </cell>
          <cell r="H996" t="str">
            <v>Nguyen Hong Kim</v>
          </cell>
          <cell r="AP996">
            <v>0</v>
          </cell>
          <cell r="AQ996">
            <v>0</v>
          </cell>
          <cell r="AR996">
            <v>11000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</row>
        <row r="997">
          <cell r="A997">
            <v>92025</v>
          </cell>
          <cell r="H997" t="str">
            <v>CONG TY CP DAU TU VA SAN XUAT CANAVI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6682500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</row>
        <row r="998">
          <cell r="A998">
            <v>92025</v>
          </cell>
          <cell r="H998" t="str">
            <v>CONG TY CP DAU TU VA SAN XUAT CANAVI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22000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</row>
        <row r="999">
          <cell r="A999">
            <v>92025</v>
          </cell>
          <cell r="H999" t="str">
            <v>Le Bich Hong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</row>
        <row r="1000">
          <cell r="A1000">
            <v>92025</v>
          </cell>
          <cell r="H1000" t="str">
            <v>Le Bich Hong</v>
          </cell>
          <cell r="AP1000">
            <v>0</v>
          </cell>
          <cell r="AQ1000">
            <v>0</v>
          </cell>
          <cell r="AR1000">
            <v>22000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</row>
        <row r="1001">
          <cell r="A1001">
            <v>92025</v>
          </cell>
          <cell r="H1001" t="str">
            <v>Công ty TNHH MTV Hop Nhat Thanh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56252000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</row>
        <row r="1002">
          <cell r="A1002">
            <v>92025</v>
          </cell>
          <cell r="H1002" t="str">
            <v>Công ty TNHH MTV Hop Nhat Thanh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11000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</row>
        <row r="1003">
          <cell r="A1003">
            <v>92025</v>
          </cell>
          <cell r="H1003" t="str">
            <v>Nguyen Mai Ngoc Hong Quyen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24255000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</row>
        <row r="1004">
          <cell r="A1004">
            <v>92025</v>
          </cell>
          <cell r="H1004" t="str">
            <v>Nguyen Mai Ngoc Hong Quyen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11000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</row>
        <row r="1005">
          <cell r="A1005">
            <v>92025</v>
          </cell>
          <cell r="H1005" t="str">
            <v>CONG TY CO PHAN MP LOGISTIC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700000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</row>
        <row r="1006">
          <cell r="A1006">
            <v>92025</v>
          </cell>
          <cell r="H1006" t="str">
            <v>CONG TY CO PHAN MP LOGISTIC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11000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</row>
        <row r="1007">
          <cell r="A1007">
            <v>92025</v>
          </cell>
          <cell r="H1007" t="str">
            <v>Cong ty CP Truyen thong va du lich Dai Viet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142948800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</row>
        <row r="1008">
          <cell r="A1008">
            <v>92025</v>
          </cell>
          <cell r="H1008" t="str">
            <v>Cong ty CP Truyen thong va du lich Dai Viet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47174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</row>
        <row r="1009">
          <cell r="A1009">
            <v>92025</v>
          </cell>
          <cell r="H1009" t="str">
            <v>Nguyen Thi Dieu Huyen</v>
          </cell>
          <cell r="AP1009">
            <v>0</v>
          </cell>
          <cell r="AQ1009">
            <v>0</v>
          </cell>
          <cell r="AR1009">
            <v>719250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</row>
        <row r="1010">
          <cell r="A1010">
            <v>92025</v>
          </cell>
          <cell r="H1010" t="str">
            <v>Nguyen Thi Dieu Huyen</v>
          </cell>
          <cell r="AP1010">
            <v>0</v>
          </cell>
          <cell r="AQ1010">
            <v>0</v>
          </cell>
          <cell r="AR1010">
            <v>11000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</row>
        <row r="1011">
          <cell r="A1011">
            <v>92025</v>
          </cell>
          <cell r="H1011" t="str">
            <v>Cong ty Bao hiem PJICO Đà Nẵng</v>
          </cell>
          <cell r="AP1011">
            <v>0</v>
          </cell>
          <cell r="AQ1011">
            <v>0</v>
          </cell>
          <cell r="AR1011">
            <v>0</v>
          </cell>
          <cell r="AS1011">
            <v>65705744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</row>
        <row r="1012">
          <cell r="A1012">
            <v>92025</v>
          </cell>
          <cell r="H1012" t="str">
            <v>Cong ty Bao hiem PJICO Đà Nẵng</v>
          </cell>
          <cell r="AP1012">
            <v>0</v>
          </cell>
          <cell r="AQ1012">
            <v>0</v>
          </cell>
          <cell r="AR1012">
            <v>0</v>
          </cell>
          <cell r="AS1012">
            <v>11000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</row>
        <row r="1013">
          <cell r="A1013">
            <v>92025</v>
          </cell>
          <cell r="H1013" t="str">
            <v>Vo Thi Quynh Thi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800000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</row>
        <row r="1014">
          <cell r="A1014">
            <v>92025</v>
          </cell>
          <cell r="H1014" t="str">
            <v>Vo Thi Quynh Thi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11000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</row>
        <row r="1015">
          <cell r="A1015">
            <v>92025</v>
          </cell>
          <cell r="H1015" t="str">
            <v>Cong ty CP Cap nuoc Da Nang</v>
          </cell>
          <cell r="AP1015">
            <v>0</v>
          </cell>
          <cell r="AQ1015">
            <v>0</v>
          </cell>
          <cell r="AR1015">
            <v>238773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</row>
        <row r="1016">
          <cell r="A1016">
            <v>92025</v>
          </cell>
          <cell r="H1016" t="str">
            <v>Cong ty CP Cap nuoc Da Nang</v>
          </cell>
          <cell r="AP1016">
            <v>0</v>
          </cell>
          <cell r="AQ1016">
            <v>0</v>
          </cell>
          <cell r="AR1016">
            <v>22000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</row>
        <row r="1017">
          <cell r="A1017">
            <v>92025</v>
          </cell>
          <cell r="H1017" t="str">
            <v>Cong ty TNHH Grab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2403000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</row>
        <row r="1018">
          <cell r="A1018">
            <v>92025</v>
          </cell>
          <cell r="H1018" t="str">
            <v>Cong ty TNHH Grab</v>
          </cell>
          <cell r="AP1018">
            <v>0</v>
          </cell>
          <cell r="AQ1018">
            <v>0</v>
          </cell>
          <cell r="AR1018">
            <v>22000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</row>
        <row r="1019">
          <cell r="A1019">
            <v>92025</v>
          </cell>
          <cell r="H1019" t="str">
            <v>C15 - Truong Mau giao Dong Phu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</row>
        <row r="1020">
          <cell r="A1020">
            <v>92025</v>
          </cell>
          <cell r="H1020" t="str">
            <v>C15 - Truong Mau giao Dong Phu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22000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</row>
        <row r="1021">
          <cell r="A1021">
            <v>92025</v>
          </cell>
          <cell r="H1021" t="str">
            <v>C15 - Truong Mau giao Que Xuan 2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</row>
        <row r="1022">
          <cell r="A1022">
            <v>92025</v>
          </cell>
          <cell r="H1022" t="str">
            <v>C15 - Truong Mau giao Que Xuan 2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22000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</row>
        <row r="1023">
          <cell r="A1023">
            <v>92025</v>
          </cell>
          <cell r="H1023" t="str">
            <v>Cong ty TNHH  Dau tu va Phat trien Thuong Mai Hai Nam Trung</v>
          </cell>
          <cell r="AP1023">
            <v>0</v>
          </cell>
          <cell r="AQ1023">
            <v>0</v>
          </cell>
          <cell r="AR1023">
            <v>63806400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</row>
        <row r="1024">
          <cell r="A1024">
            <v>92025</v>
          </cell>
          <cell r="H1024" t="str">
            <v>Cong ty TNHH  Dau tu va Phat trien Thuong Mai Hai Nam Trung</v>
          </cell>
          <cell r="AP1024">
            <v>0</v>
          </cell>
          <cell r="AQ1024">
            <v>0</v>
          </cell>
          <cell r="AR1024">
            <v>22000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</row>
        <row r="1025">
          <cell r="A1025">
            <v>92025</v>
          </cell>
          <cell r="H1025" t="str">
            <v>Công ty TNHH Du Lịch và Dịch Vụ SKYLUX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1932120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</row>
        <row r="1026">
          <cell r="A1026">
            <v>92025</v>
          </cell>
          <cell r="H1026" t="str">
            <v>Công ty TNHH Du Lịch và Dịch Vụ SKYLUX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22000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</row>
        <row r="1027">
          <cell r="A1027">
            <v>92025</v>
          </cell>
          <cell r="H1027" t="str">
            <v>OneSky Head office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</row>
        <row r="1028">
          <cell r="A1028">
            <v>92025</v>
          </cell>
          <cell r="H1028" t="str">
            <v>OneSky Head office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</row>
        <row r="1029">
          <cell r="A1029">
            <v>92025</v>
          </cell>
          <cell r="H1029" t="str">
            <v>OneSky Head office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</row>
        <row r="1030">
          <cell r="A1030">
            <v>92025</v>
          </cell>
          <cell r="H1030" t="str">
            <v>Vietcombank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</row>
        <row r="1031">
          <cell r="A1031">
            <v>92025</v>
          </cell>
          <cell r="H1031" t="str">
            <v>PD6 - Truong Mau giao Son Ca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</row>
        <row r="1032">
          <cell r="A1032">
            <v>92025</v>
          </cell>
          <cell r="H1032" t="str">
            <v>Vietcombank</v>
          </cell>
          <cell r="AP1032">
            <v>0</v>
          </cell>
          <cell r="AQ1032">
            <v>0</v>
          </cell>
          <cell r="AR1032">
            <v>22000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</row>
        <row r="1033">
          <cell r="A1033">
            <v>92025</v>
          </cell>
          <cell r="H1033" t="str">
            <v>Vietcombank</v>
          </cell>
          <cell r="AP1033">
            <v>0</v>
          </cell>
          <cell r="AQ1033">
            <v>0</v>
          </cell>
          <cell r="AR1033">
            <v>29051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</row>
        <row r="1034">
          <cell r="A1034">
            <v>92025</v>
          </cell>
          <cell r="H1034" t="str">
            <v>PD6 - Truong Mau giao Son Ca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</row>
        <row r="1035">
          <cell r="A1035">
            <v>92025</v>
          </cell>
          <cell r="H1035" t="str">
            <v>Service Center for Foreign Affairs</v>
          </cell>
          <cell r="AP1035">
            <v>0</v>
          </cell>
          <cell r="AQ1035">
            <v>7666948</v>
          </cell>
          <cell r="AR1035">
            <v>1600000</v>
          </cell>
          <cell r="AS1035">
            <v>0</v>
          </cell>
          <cell r="AT1035">
            <v>42922027.109999999</v>
          </cell>
          <cell r="AU1035">
            <v>34442283.109999999</v>
          </cell>
          <cell r="AV1035">
            <v>26861931.109999996</v>
          </cell>
          <cell r="AW1035">
            <v>0</v>
          </cell>
          <cell r="AX1035">
            <v>89476065.670000002</v>
          </cell>
          <cell r="AY1035">
            <v>8468352</v>
          </cell>
          <cell r="AZ1035">
            <v>9128704</v>
          </cell>
          <cell r="BA1035">
            <v>0</v>
          </cell>
          <cell r="BB1035">
            <v>0</v>
          </cell>
          <cell r="BC1035">
            <v>0</v>
          </cell>
        </row>
        <row r="1036">
          <cell r="A1036">
            <v>92025</v>
          </cell>
          <cell r="H1036" t="str">
            <v>Service Center for Foreign Affairs</v>
          </cell>
          <cell r="AP1036">
            <v>0</v>
          </cell>
          <cell r="AQ1036">
            <v>0</v>
          </cell>
          <cell r="AR1036">
            <v>11000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</row>
        <row r="1037">
          <cell r="A1037">
            <v>92025</v>
          </cell>
          <cell r="H1037" t="str">
            <v>Vietcombank</v>
          </cell>
          <cell r="AP1037">
            <v>0</v>
          </cell>
          <cell r="AQ1037">
            <v>0</v>
          </cell>
          <cell r="AR1037">
            <v>127600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</row>
        <row r="1038">
          <cell r="A1038">
            <v>92025</v>
          </cell>
          <cell r="H1038" t="str">
            <v>Hien Thi Hien Vo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13344823</v>
          </cell>
          <cell r="AU1038">
            <v>13344823</v>
          </cell>
          <cell r="AV1038">
            <v>13344823</v>
          </cell>
          <cell r="AW1038">
            <v>0</v>
          </cell>
          <cell r="AX1038">
            <v>93413761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</row>
        <row r="1039">
          <cell r="A1039">
            <v>92025</v>
          </cell>
          <cell r="H1039" t="str">
            <v>Thuy Thi Bich Thuy Tran</v>
          </cell>
          <cell r="AP1039">
            <v>0</v>
          </cell>
          <cell r="AQ1039">
            <v>26833661.5</v>
          </cell>
          <cell r="AR1039">
            <v>0</v>
          </cell>
          <cell r="AS1039">
            <v>0</v>
          </cell>
          <cell r="AT1039">
            <v>5366732.3000000007</v>
          </cell>
          <cell r="AU1039">
            <v>5366732.3000000007</v>
          </cell>
          <cell r="AV1039">
            <v>5366732.3000000007</v>
          </cell>
          <cell r="AW1039">
            <v>0</v>
          </cell>
          <cell r="AX1039">
            <v>10733464.600000001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</row>
        <row r="1040">
          <cell r="A1040">
            <v>92025</v>
          </cell>
          <cell r="H1040" t="str">
            <v>Tran Thi Que Chi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11859209.600000001</v>
          </cell>
          <cell r="AU1040">
            <v>11859209.600000001</v>
          </cell>
          <cell r="AV1040">
            <v>11859209.600000001</v>
          </cell>
          <cell r="AW1040">
            <v>0</v>
          </cell>
          <cell r="AX1040">
            <v>23718419.200000003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</row>
        <row r="1041">
          <cell r="A1041">
            <v>92025</v>
          </cell>
          <cell r="H1041" t="str">
            <v>Maggie Huyen Nguyen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8302784.6999999993</v>
          </cell>
          <cell r="AU1041">
            <v>8302784.6999999993</v>
          </cell>
          <cell r="AV1041">
            <v>8302784.6999999993</v>
          </cell>
          <cell r="AW1041">
            <v>0</v>
          </cell>
          <cell r="AX1041">
            <v>23931555.899999999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</row>
        <row r="1042">
          <cell r="A1042">
            <v>92025</v>
          </cell>
          <cell r="H1042" t="str">
            <v>Nguyen Hong Kim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3741950.4000000004</v>
          </cell>
          <cell r="AU1042">
            <v>3741950.4000000004</v>
          </cell>
          <cell r="AV1042">
            <v>3741950.4000000004</v>
          </cell>
          <cell r="AW1042">
            <v>0</v>
          </cell>
          <cell r="AX1042">
            <v>26193652.799999997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</row>
        <row r="1043">
          <cell r="A1043">
            <v>92025</v>
          </cell>
          <cell r="H1043" t="str">
            <v>Hoang Thi Kieu Oanh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4776407</v>
          </cell>
          <cell r="AU1043">
            <v>4776407</v>
          </cell>
          <cell r="AV1043">
            <v>4776407</v>
          </cell>
          <cell r="AW1043">
            <v>0</v>
          </cell>
          <cell r="AX1043">
            <v>9552814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</row>
        <row r="1044">
          <cell r="A1044">
            <v>92025</v>
          </cell>
          <cell r="H1044" t="str">
            <v>Pham Thi  Dieu Loan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11036104.600000001</v>
          </cell>
          <cell r="AU1044">
            <v>11036104.600000001</v>
          </cell>
          <cell r="AV1044">
            <v>11036104.600000001</v>
          </cell>
          <cell r="AW1044">
            <v>0</v>
          </cell>
          <cell r="AX1044">
            <v>22072209.200000003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</row>
        <row r="1045">
          <cell r="A1045">
            <v>92025</v>
          </cell>
          <cell r="H1045" t="str">
            <v>Phan Doan Kim Nhung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3615289.4000000004</v>
          </cell>
          <cell r="AU1045">
            <v>3615289.4000000004</v>
          </cell>
          <cell r="AV1045">
            <v>3615289.4000000004</v>
          </cell>
          <cell r="AW1045">
            <v>0</v>
          </cell>
          <cell r="AX1045">
            <v>7230578.8000000007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</row>
        <row r="1046">
          <cell r="A1046">
            <v>92025</v>
          </cell>
          <cell r="H1046" t="str">
            <v>Truong Thi Hai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8883480</v>
          </cell>
          <cell r="AU1046">
            <v>8883480</v>
          </cell>
          <cell r="AV1046">
            <v>8883480</v>
          </cell>
          <cell r="AW1046">
            <v>0</v>
          </cell>
          <cell r="AX1046">
            <v>17766960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</row>
        <row r="1047">
          <cell r="A1047">
            <v>92025</v>
          </cell>
          <cell r="H1047" t="str">
            <v>Bui Thi Huong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42367125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</row>
        <row r="1048">
          <cell r="A1048">
            <v>92025</v>
          </cell>
          <cell r="H1048" t="str">
            <v>Huynh My Ngoc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44417400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</row>
        <row r="1049">
          <cell r="A1049">
            <v>92025</v>
          </cell>
          <cell r="H1049" t="str">
            <v>Nguyen Thi Thanh Thanh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6110254.5799999991</v>
          </cell>
          <cell r="AU1049">
            <v>6110254.5799999991</v>
          </cell>
          <cell r="AV1049">
            <v>6110254.5799999991</v>
          </cell>
          <cell r="AW1049">
            <v>0</v>
          </cell>
          <cell r="AX1049">
            <v>17611910.259999998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</row>
        <row r="1050">
          <cell r="A1050">
            <v>92025</v>
          </cell>
          <cell r="H1050" t="str">
            <v>Phan Thi Thao Nguyen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10412579.219999999</v>
          </cell>
          <cell r="AU1050">
            <v>10412579.219999999</v>
          </cell>
          <cell r="AV1050">
            <v>10412579.219999999</v>
          </cell>
          <cell r="AW1050">
            <v>0</v>
          </cell>
          <cell r="AX1050">
            <v>30012728.34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</row>
        <row r="1051">
          <cell r="A1051">
            <v>92025</v>
          </cell>
          <cell r="H1051" t="str">
            <v>Bui Thi Hong Hanh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11906899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</row>
        <row r="1052">
          <cell r="A1052">
            <v>92025</v>
          </cell>
          <cell r="H1052" t="str">
            <v>Mai Thi Kim Hang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14687823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</row>
        <row r="1053">
          <cell r="A1053">
            <v>92025</v>
          </cell>
          <cell r="H1053" t="str">
            <v>Pham Thi Huyen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16954807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</row>
        <row r="1054">
          <cell r="A1054">
            <v>92025</v>
          </cell>
          <cell r="H1054" t="str">
            <v>Vo Thi Quynh Thi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22281651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</row>
        <row r="1055">
          <cell r="A1055">
            <v>92025</v>
          </cell>
          <cell r="H1055" t="str">
            <v>Nguyen Thi Tram Anh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17065922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</row>
        <row r="1056">
          <cell r="A1056">
            <v>92025</v>
          </cell>
          <cell r="H1056" t="str">
            <v>Truong Thi Diem Phuong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14173147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</row>
        <row r="1057">
          <cell r="A1057">
            <v>92025</v>
          </cell>
          <cell r="H1057" t="str">
            <v>Vu Thi Thu Thuy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16413147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</row>
        <row r="1058">
          <cell r="A1058">
            <v>92025</v>
          </cell>
          <cell r="H1058" t="str">
            <v>Nguyen Thi Nhung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15367626</v>
          </cell>
          <cell r="BA1058">
            <v>0</v>
          </cell>
          <cell r="BB1058">
            <v>0</v>
          </cell>
          <cell r="BC1058">
            <v>0</v>
          </cell>
        </row>
        <row r="1059">
          <cell r="A1059">
            <v>92025</v>
          </cell>
          <cell r="H1059" t="str">
            <v>Mai Anh Thu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15367626</v>
          </cell>
          <cell r="BA1059">
            <v>0</v>
          </cell>
          <cell r="BB1059">
            <v>0</v>
          </cell>
          <cell r="BC1059">
            <v>0</v>
          </cell>
        </row>
        <row r="1060">
          <cell r="A1060">
            <v>92025</v>
          </cell>
          <cell r="H1060" t="str">
            <v>Dang Thanh Canh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1244236.1199999999</v>
          </cell>
          <cell r="AU1060">
            <v>1244236.1199999999</v>
          </cell>
          <cell r="AV1060">
            <v>1244236.1199999999</v>
          </cell>
          <cell r="AW1060">
            <v>0</v>
          </cell>
          <cell r="AX1060">
            <v>3586327.64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</row>
        <row r="1061">
          <cell r="A1061">
            <v>92025</v>
          </cell>
          <cell r="H1061" t="str">
            <v>Le Thi Thu Hanh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71677689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</row>
        <row r="1062">
          <cell r="A1062">
            <v>92025</v>
          </cell>
          <cell r="H1062" t="str">
            <v>Nguyen Thi Thuy Na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12816876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</row>
        <row r="1063">
          <cell r="A1063">
            <v>92025</v>
          </cell>
          <cell r="H1063" t="str">
            <v>Pham Thi Thanh Loan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7551739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</row>
        <row r="1064">
          <cell r="A1064">
            <v>92025</v>
          </cell>
          <cell r="H1064" t="str">
            <v>Nguyen Thi Thuy Van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14293250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</row>
        <row r="1065">
          <cell r="A1065">
            <v>92025</v>
          </cell>
          <cell r="H1065" t="str">
            <v>Nguyen Thi Hai</v>
          </cell>
          <cell r="AP1065">
            <v>0</v>
          </cell>
          <cell r="AQ1065">
            <v>0</v>
          </cell>
          <cell r="AR1065">
            <v>2202273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</row>
        <row r="1066">
          <cell r="A1066">
            <v>92025</v>
          </cell>
          <cell r="H1066" t="str">
            <v>Pham Thi Nhi Ca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13804356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</row>
        <row r="1067">
          <cell r="A1067">
            <v>92025</v>
          </cell>
          <cell r="H1067" t="str">
            <v>Thanh Khe DOET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</row>
        <row r="1068">
          <cell r="A1068">
            <v>92025</v>
          </cell>
          <cell r="H1068" t="str">
            <v>Vietcombank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</row>
        <row r="1069">
          <cell r="A1069">
            <v>92025</v>
          </cell>
          <cell r="H1069" t="str">
            <v>Vietcombank</v>
          </cell>
          <cell r="AP1069">
            <v>0</v>
          </cell>
          <cell r="AQ1069">
            <v>22000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</row>
        <row r="1070">
          <cell r="A1070">
            <v>102025</v>
          </cell>
          <cell r="H1070" t="str">
            <v>PD6 - Truong Mau Giao Anh Duong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</row>
        <row r="1071">
          <cell r="A1071">
            <v>102025</v>
          </cell>
          <cell r="H1071" t="str">
            <v>PD6 - Truong Mau Giao Anh Duong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22000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</row>
        <row r="1072">
          <cell r="A1072">
            <v>102025</v>
          </cell>
          <cell r="H1072" t="str">
            <v>PD6 - Truong Mau Giao Anh Dao (Phu Ninh 1)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</row>
        <row r="1073">
          <cell r="A1073">
            <v>102025</v>
          </cell>
          <cell r="H1073" t="str">
            <v>PD6 - Truong Mau Giao Anh Dao (Phu Ninh 1)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22000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</row>
        <row r="1074">
          <cell r="A1074">
            <v>102025</v>
          </cell>
          <cell r="H1074" t="str">
            <v>C15 - Truong Mau giao Binh Trung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</row>
        <row r="1075">
          <cell r="A1075">
            <v>102025</v>
          </cell>
          <cell r="H1075" t="str">
            <v>C15 - Truong Mau giao Binh Trung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22000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</row>
        <row r="1076">
          <cell r="A1076">
            <v>102025</v>
          </cell>
          <cell r="H1076" t="str">
            <v>C15 - Truong Mau giao Ha Lam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</row>
        <row r="1077">
          <cell r="A1077">
            <v>102025</v>
          </cell>
          <cell r="H1077" t="str">
            <v>C15 - Truong Mau giao Ha Lam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22000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</row>
        <row r="1078">
          <cell r="A1078">
            <v>102025</v>
          </cell>
          <cell r="H1078" t="str">
            <v>PD6 - Truong Mau giao Son Ca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</row>
        <row r="1079">
          <cell r="A1079">
            <v>102025</v>
          </cell>
          <cell r="H1079" t="str">
            <v>PD6 - Truong Mau giao Son Ca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22000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</row>
        <row r="1080">
          <cell r="A1080">
            <v>102025</v>
          </cell>
          <cell r="H1080" t="str">
            <v>TOT2 - Truong Mau giao Son Ca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</row>
        <row r="1081">
          <cell r="A1081">
            <v>102025</v>
          </cell>
          <cell r="H1081" t="str">
            <v>TOT2 - Truong Mau giao Son Ca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66245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</row>
        <row r="1082">
          <cell r="A1082">
            <v>102025</v>
          </cell>
          <cell r="H1082" t="str">
            <v>CONG TY CP TU VAN GLOBAL EMBASSY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33993540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</row>
        <row r="1083">
          <cell r="A1083">
            <v>102025</v>
          </cell>
          <cell r="H1083" t="str">
            <v>CONG TY CP TU VAN GLOBAL EMBASSY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11000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</row>
        <row r="1084">
          <cell r="A1084">
            <v>102025</v>
          </cell>
          <cell r="H1084" t="str">
            <v>Trung Khoa company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1447300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</row>
        <row r="1085">
          <cell r="A1085">
            <v>102025</v>
          </cell>
          <cell r="H1085" t="str">
            <v>Trung Khoa company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22000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</row>
        <row r="1086">
          <cell r="A1086">
            <v>102025</v>
          </cell>
          <cell r="H1086" t="str">
            <v>VNPT Da Nang</v>
          </cell>
          <cell r="AP1086">
            <v>0</v>
          </cell>
          <cell r="AQ1086">
            <v>0</v>
          </cell>
          <cell r="AR1086">
            <v>298562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</row>
        <row r="1087">
          <cell r="A1087">
            <v>102025</v>
          </cell>
          <cell r="H1087" t="str">
            <v>VNPT Da Nang</v>
          </cell>
          <cell r="AP1087">
            <v>0</v>
          </cell>
          <cell r="AQ1087">
            <v>0</v>
          </cell>
          <cell r="AR1087">
            <v>22000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</row>
        <row r="1088">
          <cell r="A1088">
            <v>102025</v>
          </cell>
          <cell r="H1088" t="str">
            <v>PD6 - Truong Mau Giao Anh Dao (Tam Ky 3)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</row>
        <row r="1089">
          <cell r="A1089">
            <v>102025</v>
          </cell>
          <cell r="H1089" t="str">
            <v>PD6 - Truong Mau Giao Anh Dao (Tam Ky 3)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22000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</row>
        <row r="1090">
          <cell r="A1090">
            <v>102025</v>
          </cell>
          <cell r="H1090" t="str">
            <v>Công ty TNHH Sản xuất và Thương mại dịch vụ Khánh Phát - Chi nhánh Miền Trung</v>
          </cell>
          <cell r="AP1090">
            <v>0</v>
          </cell>
          <cell r="AQ1090">
            <v>0</v>
          </cell>
          <cell r="AR1090">
            <v>1209600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</row>
        <row r="1091">
          <cell r="A1091">
            <v>102025</v>
          </cell>
          <cell r="H1091" t="str">
            <v>Công ty TNHH Sản xuất và Thương mại dịch vụ Khánh Phát - Chi nhánh Miền Trung</v>
          </cell>
          <cell r="AP1091">
            <v>0</v>
          </cell>
          <cell r="AQ1091">
            <v>0</v>
          </cell>
          <cell r="AR1091">
            <v>22000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</row>
        <row r="1092">
          <cell r="A1092">
            <v>102025</v>
          </cell>
          <cell r="H1092" t="str">
            <v>Công ty Cổ phần Môi trường Đô thị Đà Nẵng</v>
          </cell>
          <cell r="AP1092">
            <v>0</v>
          </cell>
          <cell r="AQ1092">
            <v>0</v>
          </cell>
          <cell r="AR1092">
            <v>201273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</row>
        <row r="1093">
          <cell r="A1093">
            <v>102025</v>
          </cell>
          <cell r="H1093" t="str">
            <v>Công ty Cổ phần Môi trường Đô thị Đà Nẵng</v>
          </cell>
          <cell r="AP1093">
            <v>0</v>
          </cell>
          <cell r="AQ1093">
            <v>0</v>
          </cell>
          <cell r="AR1093">
            <v>22000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</row>
        <row r="1094">
          <cell r="A1094">
            <v>102025</v>
          </cell>
          <cell r="H1094" t="str">
            <v>Pham Thi Dieu Loan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5112218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</row>
        <row r="1095">
          <cell r="A1095">
            <v>102025</v>
          </cell>
          <cell r="H1095" t="str">
            <v>Pham Thi Dieu Loan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11000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</row>
        <row r="1096">
          <cell r="A1096">
            <v>102025</v>
          </cell>
          <cell r="H1096" t="str">
            <v>Nguyen Hong Kim</v>
          </cell>
          <cell r="AP1096">
            <v>0</v>
          </cell>
          <cell r="AQ1096">
            <v>0</v>
          </cell>
          <cell r="AR1096">
            <v>300000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</row>
        <row r="1097">
          <cell r="A1097">
            <v>102025</v>
          </cell>
          <cell r="H1097" t="str">
            <v>Nguyen Hong Kim</v>
          </cell>
          <cell r="AP1097">
            <v>0</v>
          </cell>
          <cell r="AQ1097">
            <v>0</v>
          </cell>
          <cell r="AR1097">
            <v>11000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</row>
        <row r="1098">
          <cell r="A1098">
            <v>102025</v>
          </cell>
          <cell r="H1098" t="str">
            <v>C15 - Truong mau giao Binh Phuc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</row>
        <row r="1099">
          <cell r="A1099">
            <v>102025</v>
          </cell>
          <cell r="H1099" t="str">
            <v>C15 - Truong mau giao Binh Phuc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11000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</row>
        <row r="1100">
          <cell r="A1100">
            <v>102025</v>
          </cell>
          <cell r="H1100" t="str">
            <v>Le Thi Thu Hanh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622500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</row>
        <row r="1101">
          <cell r="A1101">
            <v>102025</v>
          </cell>
          <cell r="H1101" t="str">
            <v>Le Thi Thu Hanh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11000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</row>
        <row r="1102">
          <cell r="A1102">
            <v>102025</v>
          </cell>
          <cell r="H1102" t="str">
            <v>Cong ty TNHH TM va DL ALOBAY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179000000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</row>
        <row r="1103">
          <cell r="A1103">
            <v>102025</v>
          </cell>
          <cell r="H1103" t="str">
            <v>Cong ty TNHH TM va DL ALOBAY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59070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</row>
        <row r="1104">
          <cell r="A1104">
            <v>102025</v>
          </cell>
          <cell r="H1104" t="str">
            <v>Cong ty CP Truyen thong va du lich Dai Viet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168825600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</row>
        <row r="1105">
          <cell r="A1105">
            <v>102025</v>
          </cell>
          <cell r="H1105" t="str">
            <v>Cong ty CP Truyen thong va du lich Dai Viet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55713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</row>
        <row r="1106">
          <cell r="A1106">
            <v>102025</v>
          </cell>
          <cell r="H1106" t="str">
            <v>Cong ty Co phan San xuat va Thuong mai Thiet bi truong hoc Thai An</v>
          </cell>
          <cell r="AP1106">
            <v>0</v>
          </cell>
          <cell r="AQ1106">
            <v>0</v>
          </cell>
          <cell r="AR1106">
            <v>4935000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</row>
        <row r="1107">
          <cell r="A1107">
            <v>102025</v>
          </cell>
          <cell r="H1107" t="str">
            <v>Cong ty Co phan San xuat va Thuong mai Thiet bi truong hoc Thai An</v>
          </cell>
          <cell r="AP1107">
            <v>0</v>
          </cell>
          <cell r="AQ1107">
            <v>0</v>
          </cell>
          <cell r="AR1107">
            <v>22000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</row>
        <row r="1108">
          <cell r="A1108">
            <v>102025</v>
          </cell>
          <cell r="H1108" t="str">
            <v>PD6 - Truong Mam non 24/3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</row>
        <row r="1109">
          <cell r="A1109">
            <v>102025</v>
          </cell>
          <cell r="H1109" t="str">
            <v>PD6 - Truong Mam non 24/3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22000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</row>
        <row r="1110">
          <cell r="A1110">
            <v>102025</v>
          </cell>
          <cell r="H1110" t="str">
            <v>Tong Cong ty CP Buu Chinh Viettel</v>
          </cell>
          <cell r="AP1110">
            <v>0</v>
          </cell>
          <cell r="AQ1110">
            <v>0</v>
          </cell>
          <cell r="AR1110">
            <v>1030000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</row>
        <row r="1111">
          <cell r="A1111">
            <v>102025</v>
          </cell>
          <cell r="H1111" t="str">
            <v>Tong Cong ty CP Buu Chinh Viettel</v>
          </cell>
          <cell r="AP1111">
            <v>0</v>
          </cell>
          <cell r="AQ1111">
            <v>0</v>
          </cell>
          <cell r="AR1111">
            <v>22000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</row>
        <row r="1112">
          <cell r="A1112">
            <v>102025</v>
          </cell>
          <cell r="H1112" t="str">
            <v>C15 - Truong mau giao Huong An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</row>
        <row r="1113">
          <cell r="A1113">
            <v>102025</v>
          </cell>
          <cell r="H1113" t="str">
            <v>C15 - Truong mau giao Huong An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22000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</row>
        <row r="1114">
          <cell r="A1114">
            <v>102025</v>
          </cell>
          <cell r="H1114" t="str">
            <v>Cong ty TNHH TM&amp;DV Dai Tien Thanh</v>
          </cell>
          <cell r="AP1114">
            <v>0</v>
          </cell>
          <cell r="AQ1114">
            <v>0</v>
          </cell>
          <cell r="AR1114">
            <v>1296000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</row>
        <row r="1115">
          <cell r="A1115">
            <v>102025</v>
          </cell>
          <cell r="H1115" t="str">
            <v>Cong ty TNHH TM&amp;DV Dai Tien Thanh</v>
          </cell>
          <cell r="AP1115">
            <v>0</v>
          </cell>
          <cell r="AQ1115">
            <v>0</v>
          </cell>
          <cell r="AR1115">
            <v>22000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</row>
        <row r="1116">
          <cell r="A1116">
            <v>102025</v>
          </cell>
          <cell r="H1116" t="str">
            <v>Nguyen Hong Kim</v>
          </cell>
          <cell r="AP1116">
            <v>0</v>
          </cell>
          <cell r="AQ1116">
            <v>0</v>
          </cell>
          <cell r="AR1116">
            <v>242520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</row>
        <row r="1117">
          <cell r="A1117">
            <v>102025</v>
          </cell>
          <cell r="H1117" t="str">
            <v>Nguyen Hong Kim</v>
          </cell>
          <cell r="AP1117">
            <v>0</v>
          </cell>
          <cell r="AQ1117">
            <v>0</v>
          </cell>
          <cell r="AR1117">
            <v>11000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</row>
        <row r="1118">
          <cell r="A1118">
            <v>102025</v>
          </cell>
          <cell r="H1118" t="str">
            <v>Cong ty TNHH thuong Mai va Dich vu Ngoc An</v>
          </cell>
          <cell r="AP1118">
            <v>0</v>
          </cell>
          <cell r="AQ1118">
            <v>0</v>
          </cell>
          <cell r="AR1118">
            <v>1500000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</row>
        <row r="1119">
          <cell r="A1119">
            <v>102025</v>
          </cell>
          <cell r="H1119" t="str">
            <v>Cong ty TNHH thuong Mai va Dich vu Ngoc An</v>
          </cell>
          <cell r="AP1119">
            <v>0</v>
          </cell>
          <cell r="AQ1119">
            <v>0</v>
          </cell>
          <cell r="AR1119">
            <v>11000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</row>
        <row r="1120">
          <cell r="A1120">
            <v>102025</v>
          </cell>
          <cell r="H1120" t="str">
            <v>Pham Thi Le Thu</v>
          </cell>
          <cell r="AP1120">
            <v>0</v>
          </cell>
          <cell r="AQ1120">
            <v>0</v>
          </cell>
          <cell r="AR1120">
            <v>4860000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</row>
        <row r="1121">
          <cell r="A1121">
            <v>102025</v>
          </cell>
          <cell r="H1121" t="str">
            <v>Pham Thi Le Thu</v>
          </cell>
          <cell r="AP1121">
            <v>0</v>
          </cell>
          <cell r="AQ1121">
            <v>0</v>
          </cell>
          <cell r="AR1121">
            <v>22000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</row>
        <row r="1122">
          <cell r="A1122">
            <v>102025</v>
          </cell>
          <cell r="H1122" t="str">
            <v>Công ty TNHH MTV Hop Nhat Thanh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4369000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</row>
        <row r="1123">
          <cell r="A1123">
            <v>102025</v>
          </cell>
          <cell r="H1123" t="str">
            <v>Công ty TNHH MTV Hop Nhat Thanh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11000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</row>
        <row r="1124">
          <cell r="A1124">
            <v>102025</v>
          </cell>
          <cell r="H1124" t="str">
            <v>Phan Doan Kim Nhung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12169068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</row>
        <row r="1125">
          <cell r="A1125">
            <v>102025</v>
          </cell>
          <cell r="H1125" t="str">
            <v>Phan Doan Kim Nhung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11000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</row>
        <row r="1126">
          <cell r="A1126">
            <v>102025</v>
          </cell>
          <cell r="H1126" t="str">
            <v>Nguyen Hong Kim</v>
          </cell>
          <cell r="AP1126">
            <v>0</v>
          </cell>
          <cell r="AQ1126">
            <v>0</v>
          </cell>
          <cell r="AR1126">
            <v>200000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</row>
        <row r="1127">
          <cell r="A1127">
            <v>102025</v>
          </cell>
          <cell r="H1127" t="str">
            <v>Nguyen Hong Kim</v>
          </cell>
          <cell r="AP1127">
            <v>0</v>
          </cell>
          <cell r="AQ1127">
            <v>0</v>
          </cell>
          <cell r="AR1127">
            <v>11000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</row>
        <row r="1128">
          <cell r="A1128">
            <v>102025</v>
          </cell>
          <cell r="H1128" t="str">
            <v>Phi Long company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4945000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</row>
        <row r="1129">
          <cell r="A1129">
            <v>102025</v>
          </cell>
          <cell r="H1129" t="str">
            <v>Phi Long company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11000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</row>
        <row r="1130">
          <cell r="A1130">
            <v>102025</v>
          </cell>
          <cell r="H1130" t="str">
            <v>Cong ty Co phan Navigos Group Viet Nam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43351200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</row>
        <row r="1131">
          <cell r="A1131">
            <v>102025</v>
          </cell>
          <cell r="H1131" t="str">
            <v>Cong ty Co phan Navigos Group Viet Nam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11000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</row>
        <row r="1132">
          <cell r="A1132">
            <v>102025</v>
          </cell>
          <cell r="H1132" t="str">
            <v>Bui Thi Huong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4095024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</row>
        <row r="1133">
          <cell r="A1133">
            <v>102025</v>
          </cell>
          <cell r="H1133" t="str">
            <v>Bui Thi Huong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11000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</row>
        <row r="1134">
          <cell r="A1134">
            <v>102025</v>
          </cell>
          <cell r="H1134" t="str">
            <v>Cong ty TNHH Huu Nghi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756000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</row>
        <row r="1135">
          <cell r="A1135">
            <v>102025</v>
          </cell>
          <cell r="H1135" t="str">
            <v>Cong ty TNHH Huu Nghi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11000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</row>
        <row r="1136">
          <cell r="A1136">
            <v>102025</v>
          </cell>
          <cell r="H1136" t="str">
            <v>Cong ty TNHH Thuong Mai va Dich vu Thu Tam</v>
          </cell>
          <cell r="AP1136">
            <v>0</v>
          </cell>
          <cell r="AQ1136">
            <v>0</v>
          </cell>
          <cell r="AR1136">
            <v>11036768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</row>
        <row r="1137">
          <cell r="A1137">
            <v>102025</v>
          </cell>
          <cell r="H1137" t="str">
            <v>Cong ty TNHH Thuong Mai va Dich vu Thu Tam</v>
          </cell>
          <cell r="AP1137">
            <v>0</v>
          </cell>
          <cell r="AQ1137">
            <v>0</v>
          </cell>
          <cell r="AR1137">
            <v>22000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</row>
        <row r="1138">
          <cell r="A1138">
            <v>102025</v>
          </cell>
          <cell r="H1138" t="str">
            <v>PD6 - Truong Mau giao Hoa Sen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</row>
        <row r="1139">
          <cell r="A1139">
            <v>102025</v>
          </cell>
          <cell r="H1139" t="str">
            <v>PD6 - Truong Mau giao Hoa Sen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22000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</row>
        <row r="1140">
          <cell r="A1140">
            <v>102025</v>
          </cell>
          <cell r="H1140" t="str">
            <v>Cong ty TNHH Thuong Mai va Du lich Noi Bai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615000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</row>
        <row r="1141">
          <cell r="A1141">
            <v>102025</v>
          </cell>
          <cell r="H1141" t="str">
            <v>Cong ty TNHH Thuong Mai va Du lich Noi Bai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22000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</row>
        <row r="1142">
          <cell r="A1142">
            <v>102025</v>
          </cell>
          <cell r="H1142" t="str">
            <v>TOT2 - Truong Mau giao Ha Lam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</row>
        <row r="1143">
          <cell r="A1143">
            <v>102025</v>
          </cell>
          <cell r="H1143" t="str">
            <v>TOT2 - Truong Mau giao Ha Lam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22000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</row>
        <row r="1144">
          <cell r="A1144">
            <v>102025</v>
          </cell>
          <cell r="H1144" t="str">
            <v>Cong ty Co phan di chuyen Xanh va thong minh GSM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2339880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</row>
        <row r="1145">
          <cell r="A1145">
            <v>102025</v>
          </cell>
          <cell r="H1145" t="str">
            <v>Cong ty Co phan di chuyen Xanh va thong minh GSM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22000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</row>
        <row r="1146">
          <cell r="A1146">
            <v>102025</v>
          </cell>
          <cell r="H1146" t="str">
            <v>Tap doan Cong nghiep - Vien thong Quan Doi</v>
          </cell>
          <cell r="AP1146">
            <v>0</v>
          </cell>
          <cell r="AQ1146">
            <v>0</v>
          </cell>
          <cell r="AR1146">
            <v>1012499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</row>
        <row r="1147">
          <cell r="A1147">
            <v>102025</v>
          </cell>
          <cell r="H1147" t="str">
            <v>Tap doan Cong nghiep - Vien thong Quan Doi</v>
          </cell>
          <cell r="AP1147">
            <v>0</v>
          </cell>
          <cell r="AQ1147">
            <v>0</v>
          </cell>
          <cell r="AR1147">
            <v>22000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</row>
        <row r="1148">
          <cell r="A1148">
            <v>102025</v>
          </cell>
          <cell r="H1148" t="str">
            <v>Cong ty Dien luc Da Nang - Chi nhanh Tong cong ty Dien Luc Mien Trung</v>
          </cell>
          <cell r="AP1148">
            <v>0</v>
          </cell>
          <cell r="AQ1148">
            <v>0</v>
          </cell>
          <cell r="AR1148">
            <v>3555634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</row>
        <row r="1149">
          <cell r="A1149">
            <v>102025</v>
          </cell>
          <cell r="H1149" t="str">
            <v>Cong ty Dien luc Da Nang - Chi nhanh Tong cong ty Dien Luc Mien Trung</v>
          </cell>
          <cell r="AP1149">
            <v>0</v>
          </cell>
          <cell r="AQ1149">
            <v>0</v>
          </cell>
          <cell r="AR1149">
            <v>22000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</row>
        <row r="1150">
          <cell r="A1150">
            <v>102025</v>
          </cell>
          <cell r="H1150" t="str">
            <v>OneSky Head office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</row>
        <row r="1151">
          <cell r="A1151">
            <v>102025</v>
          </cell>
          <cell r="H1151" t="str">
            <v>OneSky Head office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</row>
        <row r="1152">
          <cell r="A1152">
            <v>102025</v>
          </cell>
          <cell r="H1152" t="str">
            <v>OneSky Head office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</row>
        <row r="1153">
          <cell r="A1153">
            <v>102025</v>
          </cell>
          <cell r="H1153" t="str">
            <v>Phi Long company</v>
          </cell>
          <cell r="AP1153">
            <v>0</v>
          </cell>
          <cell r="AQ1153">
            <v>0</v>
          </cell>
          <cell r="AR1153">
            <v>690000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</row>
        <row r="1154">
          <cell r="A1154">
            <v>102025</v>
          </cell>
          <cell r="H1154" t="str">
            <v>Phi Long company</v>
          </cell>
          <cell r="AP1154">
            <v>0</v>
          </cell>
          <cell r="AQ1154">
            <v>0</v>
          </cell>
          <cell r="AR1154">
            <v>11000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</row>
        <row r="1155">
          <cell r="A1155">
            <v>102025</v>
          </cell>
          <cell r="H1155" t="str">
            <v>Nguyen Hong Kim</v>
          </cell>
          <cell r="AP1155">
            <v>0</v>
          </cell>
          <cell r="AQ1155">
            <v>0</v>
          </cell>
          <cell r="AR1155">
            <v>6011880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</row>
        <row r="1156">
          <cell r="A1156">
            <v>102025</v>
          </cell>
          <cell r="H1156" t="str">
            <v>Nguyen Hong Kim</v>
          </cell>
          <cell r="AP1156">
            <v>0</v>
          </cell>
          <cell r="AQ1156">
            <v>0</v>
          </cell>
          <cell r="AR1156">
            <v>11000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</row>
        <row r="1157">
          <cell r="A1157">
            <v>102025</v>
          </cell>
          <cell r="H1157" t="str">
            <v>Nguyen Thi Dieu Huyen</v>
          </cell>
          <cell r="AP1157">
            <v>0</v>
          </cell>
          <cell r="AQ1157">
            <v>0</v>
          </cell>
          <cell r="AR1157">
            <v>810000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</row>
        <row r="1158">
          <cell r="A1158">
            <v>102025</v>
          </cell>
          <cell r="H1158" t="str">
            <v>Nguyen Thi Dieu Huyen</v>
          </cell>
          <cell r="AP1158">
            <v>0</v>
          </cell>
          <cell r="AQ1158">
            <v>0</v>
          </cell>
          <cell r="AR1158">
            <v>11000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</row>
        <row r="1159">
          <cell r="A1159">
            <v>102025</v>
          </cell>
          <cell r="H1159" t="str">
            <v>Le Thi Thu Hanh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622500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</row>
        <row r="1160">
          <cell r="A1160">
            <v>102025</v>
          </cell>
          <cell r="H1160" t="str">
            <v>Le Thi Thu Hanh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11000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</row>
        <row r="1161">
          <cell r="A1161">
            <v>102025</v>
          </cell>
          <cell r="H1161" t="str">
            <v>Trung Khoa company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257600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</row>
        <row r="1162">
          <cell r="A1162">
            <v>102025</v>
          </cell>
          <cell r="H1162" t="str">
            <v>Trung Khoa company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22000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</row>
        <row r="1163">
          <cell r="A1163">
            <v>102025</v>
          </cell>
          <cell r="H1163" t="str">
            <v>Cong ty TNHH Fintecs</v>
          </cell>
          <cell r="AP1163">
            <v>0</v>
          </cell>
          <cell r="AQ1163">
            <v>0</v>
          </cell>
          <cell r="AR1163">
            <v>297000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</row>
        <row r="1164">
          <cell r="A1164">
            <v>102025</v>
          </cell>
          <cell r="H1164" t="str">
            <v>Cong ty TNHH Fintecs</v>
          </cell>
          <cell r="AP1164">
            <v>0</v>
          </cell>
          <cell r="AQ1164">
            <v>0</v>
          </cell>
          <cell r="AR1164">
            <v>22000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</row>
        <row r="1165">
          <cell r="A1165">
            <v>102025</v>
          </cell>
          <cell r="H1165" t="str">
            <v>Cong ty TNHH TM&amp;DV Dai Tien Thanh</v>
          </cell>
          <cell r="AP1165">
            <v>0</v>
          </cell>
          <cell r="AQ1165">
            <v>0</v>
          </cell>
          <cell r="AR1165">
            <v>1296000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</row>
        <row r="1166">
          <cell r="A1166">
            <v>102025</v>
          </cell>
          <cell r="H1166" t="str">
            <v>Cong ty TNHH TM&amp;DV Dai Tien Thanh</v>
          </cell>
          <cell r="AP1166">
            <v>0</v>
          </cell>
          <cell r="AQ1166">
            <v>0</v>
          </cell>
          <cell r="AR1166">
            <v>22000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</row>
        <row r="1167">
          <cell r="A1167">
            <v>102025</v>
          </cell>
          <cell r="H1167" t="str">
            <v>Cong ty TNHH Thuong Mai va Dich vu Duc Chi Nguyen</v>
          </cell>
          <cell r="AP1167">
            <v>0</v>
          </cell>
          <cell r="AQ1167">
            <v>0</v>
          </cell>
          <cell r="AR1167">
            <v>960000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</row>
        <row r="1168">
          <cell r="A1168">
            <v>102025</v>
          </cell>
          <cell r="H1168" t="str">
            <v>Cong ty TNHH Thuong Mai va Dich vu Duc Chi Nguyen</v>
          </cell>
          <cell r="AP1168">
            <v>0</v>
          </cell>
          <cell r="AQ1168">
            <v>0</v>
          </cell>
          <cell r="AR1168">
            <v>22000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</row>
        <row r="1169">
          <cell r="A1169">
            <v>102025</v>
          </cell>
          <cell r="H1169" t="str">
            <v>Tong Cong ty CP Buu Chinh Viettel</v>
          </cell>
          <cell r="AP1169">
            <v>0</v>
          </cell>
          <cell r="AQ1169">
            <v>0</v>
          </cell>
          <cell r="AR1169">
            <v>402701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</row>
        <row r="1170">
          <cell r="A1170">
            <v>102025</v>
          </cell>
          <cell r="H1170" t="str">
            <v>Tong Cong ty CP Buu Chinh Viettel</v>
          </cell>
          <cell r="AP1170">
            <v>0</v>
          </cell>
          <cell r="AQ1170">
            <v>0</v>
          </cell>
          <cell r="AR1170">
            <v>22000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</row>
        <row r="1171">
          <cell r="A1171">
            <v>102025</v>
          </cell>
          <cell r="H1171" t="str">
            <v>Cong ty Co phan Dien tu va Tin hoc Da Nang</v>
          </cell>
          <cell r="AP1171">
            <v>0</v>
          </cell>
          <cell r="AQ1171">
            <v>0</v>
          </cell>
          <cell r="AR1171">
            <v>5800000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</row>
        <row r="1172">
          <cell r="A1172">
            <v>102025</v>
          </cell>
          <cell r="H1172" t="str">
            <v>Cong ty Co phan Dien tu va Tin hoc Da Nang</v>
          </cell>
          <cell r="AP1172">
            <v>0</v>
          </cell>
          <cell r="AQ1172">
            <v>0</v>
          </cell>
          <cell r="AR1172">
            <v>22000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</row>
        <row r="1173">
          <cell r="A1173">
            <v>102025</v>
          </cell>
          <cell r="H1173" t="str">
            <v>Cong ty CP Cap nuoc Da Nang Khu vuc 1</v>
          </cell>
          <cell r="AP1173">
            <v>0</v>
          </cell>
          <cell r="AQ1173">
            <v>0</v>
          </cell>
          <cell r="AR1173">
            <v>253420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</row>
        <row r="1174">
          <cell r="A1174">
            <v>102025</v>
          </cell>
          <cell r="H1174" t="str">
            <v>Cong ty CP Cap nuoc Da Nang Khu vuc 1</v>
          </cell>
          <cell r="AP1174">
            <v>0</v>
          </cell>
          <cell r="AQ1174">
            <v>0</v>
          </cell>
          <cell r="AR1174">
            <v>22000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</row>
        <row r="1175">
          <cell r="A1175">
            <v>102025</v>
          </cell>
          <cell r="H1175" t="str">
            <v>Vietnam Tax Company</v>
          </cell>
          <cell r="AP1175">
            <v>0</v>
          </cell>
          <cell r="AQ1175">
            <v>3477887.5</v>
          </cell>
          <cell r="AR1175">
            <v>3035340</v>
          </cell>
          <cell r="AS1175">
            <v>0</v>
          </cell>
          <cell r="AT1175">
            <v>13387825.869999999</v>
          </cell>
          <cell r="AU1175">
            <v>13356865.869999999</v>
          </cell>
          <cell r="AV1175">
            <v>14071800.869999999</v>
          </cell>
          <cell r="AW1175">
            <v>0</v>
          </cell>
          <cell r="AX1175">
            <v>87698555.890000001</v>
          </cell>
          <cell r="AY1175">
            <v>137903</v>
          </cell>
          <cell r="AZ1175">
            <v>376592</v>
          </cell>
          <cell r="BA1175">
            <v>0</v>
          </cell>
          <cell r="BB1175">
            <v>0</v>
          </cell>
          <cell r="BC1175">
            <v>0</v>
          </cell>
        </row>
        <row r="1176">
          <cell r="A1176">
            <v>102025</v>
          </cell>
          <cell r="H1176" t="str">
            <v>Hồ Thị Mộng Thu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4400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</row>
        <row r="1177">
          <cell r="A1177">
            <v>102025</v>
          </cell>
          <cell r="H1177" t="str">
            <v>Mai Thi Kim Hang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4400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</row>
        <row r="1178">
          <cell r="A1178">
            <v>102025</v>
          </cell>
          <cell r="H1178" t="str">
            <v>Nguyen Thi Thuy Na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4400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</row>
        <row r="1179">
          <cell r="A1179">
            <v>102025</v>
          </cell>
          <cell r="H1179" t="str">
            <v>Nguyen Thi Tram Anh</v>
          </cell>
          <cell r="AP1179">
            <v>0</v>
          </cell>
          <cell r="AQ1179">
            <v>0</v>
          </cell>
          <cell r="AR1179">
            <v>0</v>
          </cell>
          <cell r="AS1179">
            <v>0</v>
          </cell>
          <cell r="AT1179">
            <v>4400</v>
          </cell>
          <cell r="AU1179">
            <v>0</v>
          </cell>
          <cell r="AV1179">
            <v>0</v>
          </cell>
          <cell r="AW1179">
            <v>0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</row>
        <row r="1180">
          <cell r="A1180">
            <v>102025</v>
          </cell>
          <cell r="H1180" t="str">
            <v>Phạm Thị Huyền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4400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</row>
        <row r="1181">
          <cell r="A1181">
            <v>102025</v>
          </cell>
          <cell r="H1181" t="str">
            <v>Pham Thi Nhi Ca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4400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</row>
        <row r="1182">
          <cell r="A1182">
            <v>102025</v>
          </cell>
          <cell r="H1182" t="str">
            <v>Truong Thi Diem Phuong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4400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</row>
        <row r="1183">
          <cell r="A1183">
            <v>102025</v>
          </cell>
          <cell r="H1183" t="str">
            <v>Võ Thị Quỳnh Thi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4400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</row>
        <row r="1184">
          <cell r="A1184">
            <v>102025</v>
          </cell>
          <cell r="H1184" t="str">
            <v>Ho Thi Mong Thu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34015328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</row>
        <row r="1185">
          <cell r="A1185">
            <v>102025</v>
          </cell>
          <cell r="H1185" t="str">
            <v>Mai Thi Kim Hang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34495941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</row>
        <row r="1186">
          <cell r="A1186">
            <v>102025</v>
          </cell>
          <cell r="H1186" t="str">
            <v>Nguyen Thi Thuy Na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35222457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</row>
        <row r="1187">
          <cell r="A1187">
            <v>102025</v>
          </cell>
          <cell r="H1187" t="str">
            <v>Nguyen Thi Tram Anh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34363735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</row>
        <row r="1188">
          <cell r="A1188">
            <v>102025</v>
          </cell>
          <cell r="H1188" t="str">
            <v>Pham Thi Huyen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34009634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</row>
        <row r="1189">
          <cell r="A1189">
            <v>102025</v>
          </cell>
          <cell r="H1189" t="str">
            <v>Pham Thi Nhi Ca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34497956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</row>
        <row r="1190">
          <cell r="A1190">
            <v>102025</v>
          </cell>
          <cell r="H1190" t="str">
            <v>Truong Thi Diem Phuong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34476523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</row>
        <row r="1191">
          <cell r="A1191">
            <v>102025</v>
          </cell>
          <cell r="H1191" t="str">
            <v>Vo Thi Quynh Thi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33918426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</row>
        <row r="1192">
          <cell r="A1192">
            <v>102025</v>
          </cell>
          <cell r="H1192" t="str">
            <v>Thanh Khe DOET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25145850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</row>
        <row r="1193">
          <cell r="A1193">
            <v>102025</v>
          </cell>
          <cell r="H1193" t="str">
            <v>Vietcombank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</row>
        <row r="1194">
          <cell r="A1194">
            <v>102025</v>
          </cell>
          <cell r="H1194" t="str">
            <v>Vietcombank</v>
          </cell>
          <cell r="AP1194">
            <v>0</v>
          </cell>
          <cell r="AQ1194">
            <v>0</v>
          </cell>
          <cell r="AR1194">
            <v>22000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</row>
        <row r="1195">
          <cell r="A1195">
            <v>102025</v>
          </cell>
          <cell r="H1195" t="str">
            <v>Vietcombank</v>
          </cell>
          <cell r="AP1195">
            <v>0</v>
          </cell>
          <cell r="AQ1195">
            <v>0</v>
          </cell>
          <cell r="AR1195">
            <v>28963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</row>
        <row r="1196">
          <cell r="A1196">
            <v>102025</v>
          </cell>
          <cell r="H1196" t="str">
            <v>Vietcombank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</row>
        <row r="1197">
          <cell r="A1197">
            <v>102025</v>
          </cell>
          <cell r="H1197" t="str">
            <v>Vietcombank</v>
          </cell>
          <cell r="AP1197">
            <v>0</v>
          </cell>
          <cell r="AQ1197">
            <v>22000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</row>
        <row r="1198">
          <cell r="A1198">
            <v>102025</v>
          </cell>
          <cell r="H1198" t="str">
            <v>Phan Doan Kim Nhung</v>
          </cell>
          <cell r="AP1198">
            <v>0</v>
          </cell>
          <cell r="AQ1198">
            <v>0</v>
          </cell>
          <cell r="AR1198">
            <v>0</v>
          </cell>
          <cell r="AS1198">
            <v>2700000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</row>
        <row r="1199">
          <cell r="A1199">
            <v>102025</v>
          </cell>
          <cell r="H1199" t="str">
            <v>Phan Doan Kim Nhung</v>
          </cell>
          <cell r="AP1199">
            <v>0</v>
          </cell>
          <cell r="AQ1199">
            <v>0</v>
          </cell>
          <cell r="AR1199">
            <v>0</v>
          </cell>
          <cell r="AS1199">
            <v>11000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</row>
        <row r="1200">
          <cell r="A1200">
            <v>102025</v>
          </cell>
          <cell r="H1200" t="str">
            <v>Ho Lam Hong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7875000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</row>
        <row r="1201">
          <cell r="A1201">
            <v>102025</v>
          </cell>
          <cell r="H1201" t="str">
            <v>Ho Lam Hong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11000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</row>
        <row r="1202">
          <cell r="A1202">
            <v>102025</v>
          </cell>
          <cell r="H1202" t="str">
            <v>Bui Thi Huong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93424433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</row>
        <row r="1203">
          <cell r="A1203">
            <v>102025</v>
          </cell>
          <cell r="H1203" t="str">
            <v>Bui Thi Huong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11000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</row>
        <row r="1204">
          <cell r="A1204">
            <v>102025</v>
          </cell>
          <cell r="H1204" t="str">
            <v>PJICO company</v>
          </cell>
          <cell r="AP1204">
            <v>0</v>
          </cell>
          <cell r="AQ1204">
            <v>0</v>
          </cell>
          <cell r="AR1204">
            <v>2106729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</row>
        <row r="1205">
          <cell r="A1205">
            <v>102025</v>
          </cell>
          <cell r="H1205" t="str">
            <v>PJICO company</v>
          </cell>
          <cell r="AP1205">
            <v>0</v>
          </cell>
          <cell r="AQ1205">
            <v>0</v>
          </cell>
          <cell r="AR1205">
            <v>11000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</row>
        <row r="1206">
          <cell r="A1206">
            <v>102025</v>
          </cell>
          <cell r="H1206" t="str">
            <v>Nguyen Hong Kim</v>
          </cell>
          <cell r="AP1206">
            <v>0</v>
          </cell>
          <cell r="AQ1206">
            <v>0</v>
          </cell>
          <cell r="AR1206">
            <v>768580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</row>
        <row r="1207">
          <cell r="A1207">
            <v>102025</v>
          </cell>
          <cell r="H1207" t="str">
            <v>Nguyen Hong Kim</v>
          </cell>
          <cell r="AP1207">
            <v>0</v>
          </cell>
          <cell r="AQ1207">
            <v>0</v>
          </cell>
          <cell r="AR1207">
            <v>11000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</row>
        <row r="1208">
          <cell r="A1208">
            <v>102025</v>
          </cell>
          <cell r="H1208" t="str">
            <v>Nguyen Thi Thanh Thanh</v>
          </cell>
          <cell r="AP1208">
            <v>0</v>
          </cell>
          <cell r="AQ1208">
            <v>0</v>
          </cell>
          <cell r="AR1208">
            <v>212434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</row>
        <row r="1209">
          <cell r="A1209">
            <v>102025</v>
          </cell>
          <cell r="H1209" t="str">
            <v>Nguyen Thi Thanh Thanh</v>
          </cell>
          <cell r="AP1209">
            <v>0</v>
          </cell>
          <cell r="AQ1209">
            <v>0</v>
          </cell>
          <cell r="AR1209">
            <v>11000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</row>
        <row r="1210">
          <cell r="A1210">
            <v>102025</v>
          </cell>
          <cell r="H1210" t="str">
            <v>Tran Thi Que Chi</v>
          </cell>
          <cell r="AP1210">
            <v>0</v>
          </cell>
          <cell r="AQ1210">
            <v>0</v>
          </cell>
          <cell r="AR1210">
            <v>1027421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</row>
        <row r="1211">
          <cell r="A1211">
            <v>102025</v>
          </cell>
          <cell r="H1211" t="str">
            <v>Tran Thi Que Chi</v>
          </cell>
          <cell r="AP1211">
            <v>0</v>
          </cell>
          <cell r="AQ1211">
            <v>0</v>
          </cell>
          <cell r="AR1211">
            <v>0</v>
          </cell>
          <cell r="AS1211">
            <v>11000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</row>
        <row r="1212">
          <cell r="A1212">
            <v>102025</v>
          </cell>
          <cell r="H1212" t="str">
            <v>Công ty TNHH Thi Phuc</v>
          </cell>
          <cell r="AP1212">
            <v>0</v>
          </cell>
          <cell r="AQ1212">
            <v>0</v>
          </cell>
          <cell r="AR1212">
            <v>5765000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</row>
        <row r="1213">
          <cell r="A1213">
            <v>102025</v>
          </cell>
          <cell r="H1213" t="str">
            <v>Công ty TNHH Thi Phuc</v>
          </cell>
          <cell r="AP1213">
            <v>0</v>
          </cell>
          <cell r="AQ1213">
            <v>0</v>
          </cell>
          <cell r="AR1213">
            <v>11000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</row>
        <row r="1214">
          <cell r="A1214">
            <v>102025</v>
          </cell>
          <cell r="H1214" t="str">
            <v>Le Thi Thu Hanh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122000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</row>
        <row r="1215">
          <cell r="A1215">
            <v>102025</v>
          </cell>
          <cell r="H1215" t="str">
            <v>Le Thi Thu Hanh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11000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</row>
        <row r="1216">
          <cell r="A1216">
            <v>102025</v>
          </cell>
          <cell r="H1216" t="str">
            <v>Cong ty TNHH Grab</v>
          </cell>
          <cell r="AP1216">
            <v>0</v>
          </cell>
          <cell r="AQ1216">
            <v>0</v>
          </cell>
          <cell r="AR1216">
            <v>144000</v>
          </cell>
          <cell r="AS1216">
            <v>0</v>
          </cell>
          <cell r="AT1216">
            <v>52000</v>
          </cell>
          <cell r="AU1216">
            <v>5789000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</row>
        <row r="1217">
          <cell r="A1217">
            <v>102025</v>
          </cell>
          <cell r="H1217" t="str">
            <v>Cong ty TNHH Grab</v>
          </cell>
          <cell r="AP1217">
            <v>0</v>
          </cell>
          <cell r="AQ1217">
            <v>0</v>
          </cell>
          <cell r="AR1217">
            <v>22000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</row>
        <row r="1218">
          <cell r="A1218">
            <v>102025</v>
          </cell>
          <cell r="H1218" t="str">
            <v>VNPT Da Nang</v>
          </cell>
          <cell r="AP1218">
            <v>0</v>
          </cell>
          <cell r="AQ1218">
            <v>0</v>
          </cell>
          <cell r="AR1218">
            <v>472901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</row>
        <row r="1219">
          <cell r="A1219">
            <v>102025</v>
          </cell>
          <cell r="H1219" t="str">
            <v>VNPT Da Nang</v>
          </cell>
          <cell r="AP1219">
            <v>0</v>
          </cell>
          <cell r="AQ1219">
            <v>0</v>
          </cell>
          <cell r="AR1219">
            <v>22000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</row>
        <row r="1220">
          <cell r="A1220">
            <v>102025</v>
          </cell>
          <cell r="H1220" t="str">
            <v>Trung Khoa company</v>
          </cell>
          <cell r="AP1220">
            <v>0</v>
          </cell>
          <cell r="AQ1220">
            <v>0</v>
          </cell>
          <cell r="AR1220">
            <v>460000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</row>
        <row r="1221">
          <cell r="A1221">
            <v>102025</v>
          </cell>
          <cell r="H1221" t="str">
            <v>Trung Khoa company</v>
          </cell>
          <cell r="AP1221">
            <v>0</v>
          </cell>
          <cell r="AQ1221">
            <v>0</v>
          </cell>
          <cell r="AR1221">
            <v>22000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</row>
        <row r="1222">
          <cell r="A1222">
            <v>102025</v>
          </cell>
          <cell r="H1222" t="str">
            <v>Vietcombank</v>
          </cell>
          <cell r="AP1222">
            <v>0</v>
          </cell>
          <cell r="AQ1222">
            <v>0</v>
          </cell>
          <cell r="AR1222">
            <v>136400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</row>
        <row r="1223">
          <cell r="A1223">
            <v>102025</v>
          </cell>
          <cell r="H1223" t="str">
            <v>Hien Thi Hien Vo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13341013.5</v>
          </cell>
          <cell r="AU1223">
            <v>13341013.5</v>
          </cell>
          <cell r="AV1223">
            <v>13341013.5</v>
          </cell>
          <cell r="AW1223">
            <v>0</v>
          </cell>
          <cell r="AX1223">
            <v>93387094.5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</row>
        <row r="1224">
          <cell r="A1224">
            <v>102025</v>
          </cell>
          <cell r="H1224" t="str">
            <v>Thuy Thi Bich Thuy Tran</v>
          </cell>
          <cell r="AP1224">
            <v>0</v>
          </cell>
          <cell r="AQ1224">
            <v>26825235</v>
          </cell>
          <cell r="AR1224">
            <v>0</v>
          </cell>
          <cell r="AS1224">
            <v>0</v>
          </cell>
          <cell r="AT1224">
            <v>5365047</v>
          </cell>
          <cell r="AU1224">
            <v>5365047</v>
          </cell>
          <cell r="AV1224">
            <v>5365047</v>
          </cell>
          <cell r="AW1224">
            <v>0</v>
          </cell>
          <cell r="AX1224">
            <v>10730094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</row>
        <row r="1225">
          <cell r="A1225">
            <v>102025</v>
          </cell>
          <cell r="H1225" t="str">
            <v>Tran Thi Que Chi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11855449.800000001</v>
          </cell>
          <cell r="AU1225">
            <v>11855449.800000001</v>
          </cell>
          <cell r="AV1225">
            <v>11855449.800000001</v>
          </cell>
          <cell r="AW1225">
            <v>0</v>
          </cell>
          <cell r="AX1225">
            <v>23710899.600000001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</row>
        <row r="1226">
          <cell r="A1226">
            <v>102025</v>
          </cell>
          <cell r="H1226" t="str">
            <v>Maggie Huyen Nguyen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8300203.0799999991</v>
          </cell>
          <cell r="AU1226">
            <v>8300203.0799999991</v>
          </cell>
          <cell r="AV1226">
            <v>8300203.0799999991</v>
          </cell>
          <cell r="AW1226">
            <v>0</v>
          </cell>
          <cell r="AX1226">
            <v>23924114.759999998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</row>
        <row r="1227">
          <cell r="A1227">
            <v>102025</v>
          </cell>
          <cell r="H1227" t="str">
            <v>Nguyen Hong Kim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3740737.1</v>
          </cell>
          <cell r="AU1227">
            <v>3740737.1</v>
          </cell>
          <cell r="AV1227">
            <v>3740737.1</v>
          </cell>
          <cell r="AW1227">
            <v>0</v>
          </cell>
          <cell r="AX1227">
            <v>26185159.699999999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</row>
        <row r="1228">
          <cell r="A1228">
            <v>102025</v>
          </cell>
          <cell r="H1228" t="str">
            <v>Hoang Thi Kieu Oanh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4774768.4000000004</v>
          </cell>
          <cell r="AU1228">
            <v>4774768.4000000004</v>
          </cell>
          <cell r="AV1228">
            <v>4774768.4000000004</v>
          </cell>
          <cell r="AW1228">
            <v>0</v>
          </cell>
          <cell r="AX1228">
            <v>9549536.8000000007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</row>
        <row r="1229">
          <cell r="A1229">
            <v>102025</v>
          </cell>
          <cell r="H1229" t="str">
            <v>Pham Thi  Dieu Loan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11032556.4</v>
          </cell>
          <cell r="AU1229">
            <v>11032556.4</v>
          </cell>
          <cell r="AV1229">
            <v>11032556.4</v>
          </cell>
          <cell r="AW1229">
            <v>0</v>
          </cell>
          <cell r="AX1229">
            <v>22065112.800000001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</row>
        <row r="1230">
          <cell r="A1230">
            <v>102025</v>
          </cell>
          <cell r="H1230" t="str">
            <v>Phan Doan Kim Nhung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3613969.4000000004</v>
          </cell>
          <cell r="AU1230">
            <v>3613969.4000000004</v>
          </cell>
          <cell r="AV1230">
            <v>3613969.4000000004</v>
          </cell>
          <cell r="AW1230">
            <v>0</v>
          </cell>
          <cell r="AX1230">
            <v>7227938.8000000007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</row>
        <row r="1231">
          <cell r="A1231">
            <v>102025</v>
          </cell>
          <cell r="H1231" t="str">
            <v>Truong Thi Hai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8880672</v>
          </cell>
          <cell r="AU1231">
            <v>8880672</v>
          </cell>
          <cell r="AV1231">
            <v>8880672</v>
          </cell>
          <cell r="AW1231">
            <v>0</v>
          </cell>
          <cell r="AX1231">
            <v>17761344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</row>
        <row r="1232">
          <cell r="A1232">
            <v>102025</v>
          </cell>
          <cell r="H1232" t="str">
            <v>Bui Thi Huong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42352898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</row>
        <row r="1233">
          <cell r="A1233">
            <v>102025</v>
          </cell>
          <cell r="H1233" t="str">
            <v>Huynh My Ngoc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44403360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</row>
        <row r="1234">
          <cell r="A1234">
            <v>102025</v>
          </cell>
          <cell r="H1234" t="str">
            <v>Nguyen Thi Thanh Thanh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6108173.6099999994</v>
          </cell>
          <cell r="AU1234">
            <v>6108173.6099999994</v>
          </cell>
          <cell r="AV1234">
            <v>6108173.6099999994</v>
          </cell>
          <cell r="AW1234">
            <v>0</v>
          </cell>
          <cell r="AX1234">
            <v>17605912.169999998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</row>
        <row r="1235">
          <cell r="A1235">
            <v>102025</v>
          </cell>
          <cell r="H1235" t="str">
            <v>Phan Thi Thao Nguyen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10409268.809999999</v>
          </cell>
          <cell r="AU1235">
            <v>10409268.809999999</v>
          </cell>
          <cell r="AV1235">
            <v>10409268.809999999</v>
          </cell>
          <cell r="AW1235">
            <v>0</v>
          </cell>
          <cell r="AX1235">
            <v>30003186.57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</row>
        <row r="1236">
          <cell r="A1236">
            <v>102025</v>
          </cell>
          <cell r="H1236" t="str">
            <v>Bui Thi Hong Hanh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15415270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</row>
        <row r="1237">
          <cell r="A1237">
            <v>102025</v>
          </cell>
          <cell r="H1237" t="str">
            <v>Mai Thi Kim Hang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14343323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</row>
        <row r="1238">
          <cell r="A1238">
            <v>102025</v>
          </cell>
          <cell r="H1238" t="str">
            <v>Pham Thi Huyen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16954807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</row>
        <row r="1239">
          <cell r="A1239">
            <v>102025</v>
          </cell>
          <cell r="H1239" t="str">
            <v>Vo Thi Quynh Thi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21452651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</row>
        <row r="1240">
          <cell r="A1240">
            <v>102025</v>
          </cell>
          <cell r="H1240" t="str">
            <v>Nguyen Thi Tram Anh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15985922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</row>
        <row r="1241">
          <cell r="A1241">
            <v>102025</v>
          </cell>
          <cell r="H1241" t="str">
            <v>Ho Thi Mong Thu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10885530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</row>
        <row r="1242">
          <cell r="A1242">
            <v>102025</v>
          </cell>
          <cell r="H1242" t="str">
            <v>Truong Thi Diem Phuong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14623147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</row>
        <row r="1243">
          <cell r="A1243">
            <v>102025</v>
          </cell>
          <cell r="H1243" t="str">
            <v>Vu Thi Thu Thuy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17123147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</row>
        <row r="1244">
          <cell r="A1244">
            <v>102025</v>
          </cell>
          <cell r="H1244" t="str">
            <v>Nguyen Thi Nhung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15367626</v>
          </cell>
          <cell r="BA1244">
            <v>0</v>
          </cell>
          <cell r="BB1244">
            <v>0</v>
          </cell>
          <cell r="BC1244">
            <v>0</v>
          </cell>
        </row>
        <row r="1245">
          <cell r="A1245">
            <v>102025</v>
          </cell>
          <cell r="H1245" t="str">
            <v>Mai Anh Thu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12141336</v>
          </cell>
          <cell r="BA1245">
            <v>0</v>
          </cell>
          <cell r="BB1245">
            <v>0</v>
          </cell>
          <cell r="BC1245">
            <v>0</v>
          </cell>
        </row>
        <row r="1246">
          <cell r="A1246">
            <v>102025</v>
          </cell>
          <cell r="H1246" t="str">
            <v>Dang Thanh Canh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1243810.6099999999</v>
          </cell>
          <cell r="AU1246">
            <v>1243810.6099999999</v>
          </cell>
          <cell r="AV1246">
            <v>1243810.6099999999</v>
          </cell>
          <cell r="AW1246">
            <v>0</v>
          </cell>
          <cell r="AX1246">
            <v>3585101.17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</row>
        <row r="1247">
          <cell r="A1247">
            <v>102025</v>
          </cell>
          <cell r="H1247" t="str">
            <v>Le Thi Thu Hanh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71658789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</row>
        <row r="1248">
          <cell r="A1248">
            <v>102025</v>
          </cell>
          <cell r="H1248" t="str">
            <v>Nguyen Thi Thuy Na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13246876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</row>
        <row r="1249">
          <cell r="A1249">
            <v>102025</v>
          </cell>
          <cell r="H1249" t="str">
            <v>Nguyen Thi Thuy Van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14293250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</row>
        <row r="1250">
          <cell r="A1250">
            <v>102025</v>
          </cell>
          <cell r="H1250" t="str">
            <v>Nguyen Thi Hai</v>
          </cell>
          <cell r="AP1250">
            <v>0</v>
          </cell>
          <cell r="AQ1250">
            <v>0</v>
          </cell>
          <cell r="AR1250">
            <v>4475000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</row>
        <row r="1251">
          <cell r="A1251">
            <v>102025</v>
          </cell>
          <cell r="H1251" t="str">
            <v>Pham Thi Nhi Ca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14272356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</row>
        <row r="1252">
          <cell r="A1252">
            <v>102025</v>
          </cell>
          <cell r="H1252" t="str">
            <v>Mai Thi Mong Tuyen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12528964</v>
          </cell>
          <cell r="BC1252">
            <v>0</v>
          </cell>
        </row>
        <row r="1253">
          <cell r="A1253">
            <v>102025</v>
          </cell>
          <cell r="H1253" t="str">
            <v>Nguyen Dang Hai Sam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12528963</v>
          </cell>
          <cell r="BC1253">
            <v>0</v>
          </cell>
        </row>
        <row r="1254">
          <cell r="A1254">
            <v>102025</v>
          </cell>
          <cell r="H1254" t="str">
            <v>Service Center for Foreign Affairs</v>
          </cell>
          <cell r="AP1254">
            <v>0</v>
          </cell>
          <cell r="AQ1254">
            <v>7666948</v>
          </cell>
          <cell r="AR1254">
            <v>1600000</v>
          </cell>
          <cell r="AS1254">
            <v>0</v>
          </cell>
          <cell r="AT1254">
            <v>42922027.109999999</v>
          </cell>
          <cell r="AU1254">
            <v>39481835.109999999</v>
          </cell>
          <cell r="AV1254">
            <v>26861931.109999996</v>
          </cell>
          <cell r="AW1254">
            <v>0</v>
          </cell>
          <cell r="AX1254">
            <v>89476065.670000002</v>
          </cell>
          <cell r="AY1254">
            <v>4160000</v>
          </cell>
          <cell r="AZ1254">
            <v>9128704</v>
          </cell>
          <cell r="BA1254">
            <v>0</v>
          </cell>
          <cell r="BB1254">
            <v>8320000</v>
          </cell>
          <cell r="BC1254">
            <v>0</v>
          </cell>
        </row>
        <row r="1255">
          <cell r="A1255">
            <v>102025</v>
          </cell>
          <cell r="H1255" t="str">
            <v>Service Center for Foreign Affairs</v>
          </cell>
          <cell r="AP1255">
            <v>0</v>
          </cell>
          <cell r="AQ1255">
            <v>0</v>
          </cell>
          <cell r="AR1255">
            <v>11000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</row>
        <row r="1256">
          <cell r="A1256">
            <v>112025</v>
          </cell>
          <cell r="H1256" t="str">
            <v>Quang Nam DOET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</row>
        <row r="1257">
          <cell r="A1257">
            <v>112025</v>
          </cell>
          <cell r="H1257" t="str">
            <v>Nguyen Hong Kim</v>
          </cell>
          <cell r="AP1257">
            <v>0</v>
          </cell>
          <cell r="AQ1257">
            <v>0</v>
          </cell>
          <cell r="AR1257">
            <v>1000000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</row>
        <row r="1258">
          <cell r="A1258">
            <v>112025</v>
          </cell>
          <cell r="H1258" t="str">
            <v>Nguyen Hong Kim</v>
          </cell>
          <cell r="AP1258">
            <v>0</v>
          </cell>
          <cell r="AQ1258">
            <v>0</v>
          </cell>
          <cell r="AR1258">
            <v>11000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</row>
        <row r="1259">
          <cell r="A1259">
            <v>112025</v>
          </cell>
          <cell r="H1259" t="str">
            <v>Công ty TNHH Thi Phuc</v>
          </cell>
          <cell r="AP1259">
            <v>0</v>
          </cell>
          <cell r="AQ1259">
            <v>0</v>
          </cell>
          <cell r="AR1259">
            <v>3330000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</row>
        <row r="1260">
          <cell r="A1260">
            <v>112025</v>
          </cell>
          <cell r="H1260" t="str">
            <v>Công ty TNHH Thi Phuc</v>
          </cell>
          <cell r="AP1260">
            <v>0</v>
          </cell>
          <cell r="AQ1260">
            <v>0</v>
          </cell>
          <cell r="AR1260">
            <v>11000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</row>
        <row r="1261">
          <cell r="A1261">
            <v>112025</v>
          </cell>
          <cell r="H1261" t="str">
            <v>Vo Thi Hien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330000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</row>
        <row r="1262">
          <cell r="A1262">
            <v>112025</v>
          </cell>
          <cell r="H1262" t="str">
            <v>Vo Thi Hien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11000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</row>
        <row r="1263">
          <cell r="A1263">
            <v>112025</v>
          </cell>
          <cell r="H1263" t="str">
            <v>Cong ty TNHH MTV Bao ho Lao dong HSE Bao An Phat</v>
          </cell>
          <cell r="AP1263">
            <v>0</v>
          </cell>
          <cell r="AQ1263">
            <v>0</v>
          </cell>
          <cell r="AR1263">
            <v>5804800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</row>
        <row r="1264">
          <cell r="A1264">
            <v>112025</v>
          </cell>
          <cell r="H1264" t="str">
            <v>Cong ty TNHH MTV Bao ho Lao dong HSE Bao An Phat</v>
          </cell>
          <cell r="AP1264">
            <v>0</v>
          </cell>
          <cell r="AQ1264">
            <v>0</v>
          </cell>
          <cell r="AR1264">
            <v>22000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</row>
        <row r="1265">
          <cell r="A1265">
            <v>112025</v>
          </cell>
          <cell r="H1265" t="str">
            <v>In Kien Company</v>
          </cell>
          <cell r="AP1265">
            <v>0</v>
          </cell>
          <cell r="AQ1265">
            <v>0</v>
          </cell>
          <cell r="AR1265">
            <v>5994000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</row>
        <row r="1266">
          <cell r="A1266">
            <v>112025</v>
          </cell>
          <cell r="H1266" t="str">
            <v>In Kien Company</v>
          </cell>
          <cell r="AP1266">
            <v>0</v>
          </cell>
          <cell r="AQ1266">
            <v>0</v>
          </cell>
          <cell r="AR1266">
            <v>22000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</row>
        <row r="1267">
          <cell r="A1267">
            <v>112025</v>
          </cell>
          <cell r="H1267" t="str">
            <v>Men My Company</v>
          </cell>
          <cell r="AP1267">
            <v>0</v>
          </cell>
          <cell r="AQ1267">
            <v>0</v>
          </cell>
          <cell r="AR1267">
            <v>1242000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</row>
        <row r="1268">
          <cell r="A1268">
            <v>112025</v>
          </cell>
          <cell r="H1268" t="str">
            <v>Men My Company</v>
          </cell>
          <cell r="AP1268">
            <v>0</v>
          </cell>
          <cell r="AQ1268">
            <v>0</v>
          </cell>
          <cell r="AR1268">
            <v>22000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</row>
        <row r="1269">
          <cell r="A1269">
            <v>112025</v>
          </cell>
          <cell r="H1269" t="str">
            <v>Cong ty TNHH TM&amp;DV Duc Chi Nguyen</v>
          </cell>
          <cell r="AP1269">
            <v>0</v>
          </cell>
          <cell r="AQ1269">
            <v>0</v>
          </cell>
          <cell r="AR1269">
            <v>480000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</row>
        <row r="1270">
          <cell r="A1270">
            <v>112025</v>
          </cell>
          <cell r="H1270" t="str">
            <v>Cong ty TNHH TM&amp;DV Duc Chi Nguyen</v>
          </cell>
          <cell r="AP1270">
            <v>0</v>
          </cell>
          <cell r="AQ1270">
            <v>0</v>
          </cell>
          <cell r="AR1270">
            <v>22000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</row>
        <row r="1271">
          <cell r="A1271">
            <v>112025</v>
          </cell>
          <cell r="H1271" t="str">
            <v>Cong ty Co phan Dien tu va Tin hoc Da Nang</v>
          </cell>
          <cell r="AP1271">
            <v>0</v>
          </cell>
          <cell r="AQ1271">
            <v>0</v>
          </cell>
          <cell r="AR1271">
            <v>6380000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</row>
        <row r="1272">
          <cell r="A1272">
            <v>112025</v>
          </cell>
          <cell r="H1272" t="str">
            <v>Cong ty Co phan Dien tu va Tin hoc Da Nang</v>
          </cell>
          <cell r="AP1272">
            <v>0</v>
          </cell>
          <cell r="AQ1272">
            <v>0</v>
          </cell>
          <cell r="AR1272">
            <v>22000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</row>
        <row r="1273">
          <cell r="A1273">
            <v>112025</v>
          </cell>
          <cell r="H1273" t="str">
            <v>Cong ty TNHH Mai Linh Da Nang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2641000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</row>
        <row r="1274">
          <cell r="A1274">
            <v>112025</v>
          </cell>
          <cell r="H1274" t="str">
            <v>Cong ty TNHH Mai Linh Da Nang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22000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</row>
        <row r="1275">
          <cell r="A1275">
            <v>112025</v>
          </cell>
          <cell r="H1275" t="str">
            <v>Tap doan Cong nghiep - Vien thong Quan Doi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1046500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</row>
        <row r="1276">
          <cell r="A1276">
            <v>112025</v>
          </cell>
          <cell r="H1276" t="str">
            <v>Tap doan Cong nghiep - Vien thong Quan Doi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22000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</row>
        <row r="1277">
          <cell r="A1277">
            <v>112025</v>
          </cell>
          <cell r="H1277" t="str">
            <v>Cong ty Dien luc Da Nang - Chi nhanh Tong cong ty Dien Luc Mien Trung</v>
          </cell>
          <cell r="AP1277">
            <v>0</v>
          </cell>
          <cell r="AQ1277">
            <v>0</v>
          </cell>
          <cell r="AR1277">
            <v>2920957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</row>
        <row r="1278">
          <cell r="A1278">
            <v>112025</v>
          </cell>
          <cell r="H1278" t="str">
            <v>Cong ty Dien luc Da Nang - Chi nhanh Tong cong ty Dien Luc Mien Trung</v>
          </cell>
          <cell r="AP1278">
            <v>0</v>
          </cell>
          <cell r="AQ1278">
            <v>0</v>
          </cell>
          <cell r="AR1278">
            <v>22000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</row>
        <row r="1279">
          <cell r="A1279">
            <v>112025</v>
          </cell>
          <cell r="H1279" t="str">
            <v>Cong ty TNHH In Trung Khoa</v>
          </cell>
          <cell r="AP1279">
            <v>0</v>
          </cell>
          <cell r="AQ1279">
            <v>0</v>
          </cell>
          <cell r="AR1279">
            <v>1130000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</row>
        <row r="1280">
          <cell r="A1280">
            <v>112025</v>
          </cell>
          <cell r="H1280" t="str">
            <v>Cong ty TNHH In Trung Khoa</v>
          </cell>
          <cell r="AP1280">
            <v>0</v>
          </cell>
          <cell r="AQ1280">
            <v>0</v>
          </cell>
          <cell r="AR1280">
            <v>22000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</row>
        <row r="1281">
          <cell r="A1281">
            <v>112025</v>
          </cell>
          <cell r="H1281" t="str">
            <v>Cong ty CP Cap nuoc Da Nang Khu vuc 1</v>
          </cell>
          <cell r="AP1281">
            <v>0</v>
          </cell>
          <cell r="AQ1281">
            <v>0</v>
          </cell>
          <cell r="AR1281">
            <v>235319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</row>
        <row r="1282">
          <cell r="A1282">
            <v>112025</v>
          </cell>
          <cell r="H1282" t="str">
            <v>Cong ty CP Cap nuoc Da Nang Khu vuc 1</v>
          </cell>
          <cell r="AP1282">
            <v>0</v>
          </cell>
          <cell r="AQ1282">
            <v>0</v>
          </cell>
          <cell r="AR1282">
            <v>22000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</row>
        <row r="1283">
          <cell r="A1283">
            <v>112025</v>
          </cell>
          <cell r="H1283" t="str">
            <v>Cong ty TNHH In Trung Khoa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505050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</row>
        <row r="1284">
          <cell r="A1284">
            <v>112025</v>
          </cell>
          <cell r="H1284" t="str">
            <v>Cong ty TNHH In Trung Khoa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22000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</row>
        <row r="1285">
          <cell r="A1285">
            <v>112025</v>
          </cell>
          <cell r="H1285" t="str">
            <v>Cong ty TNHH Quang Cao Noi That H-Pro</v>
          </cell>
          <cell r="AP1285">
            <v>0</v>
          </cell>
          <cell r="AQ1285">
            <v>0</v>
          </cell>
          <cell r="AR1285">
            <v>5454000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</row>
        <row r="1286">
          <cell r="A1286">
            <v>112025</v>
          </cell>
          <cell r="H1286" t="str">
            <v>Cong ty TNHH Quang Cao Noi That H-Pro</v>
          </cell>
          <cell r="AP1286">
            <v>0</v>
          </cell>
          <cell r="AQ1286">
            <v>0</v>
          </cell>
          <cell r="AR1286">
            <v>22000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</row>
        <row r="1287">
          <cell r="A1287">
            <v>112025</v>
          </cell>
          <cell r="H1287" t="str">
            <v>Công ty TNHH Du Lịch và Dịch Vụ SKYLUX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1798200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</row>
        <row r="1288">
          <cell r="A1288">
            <v>112025</v>
          </cell>
          <cell r="H1288" t="str">
            <v>Công ty TNHH Du Lịch và Dịch Vụ SKYLUX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22000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</row>
        <row r="1289">
          <cell r="A1289">
            <v>112025</v>
          </cell>
          <cell r="H1289" t="str">
            <v>Cong ty Co phan di chuyen Xanh va thong minh GSM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2525760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</row>
        <row r="1290">
          <cell r="A1290">
            <v>112025</v>
          </cell>
          <cell r="H1290" t="str">
            <v>Cong ty Co phan di chuyen Xanh va thong minh GSM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22000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</row>
        <row r="1291">
          <cell r="A1291">
            <v>112025</v>
          </cell>
          <cell r="H1291" t="str">
            <v>Tong Cong ty CP Buu Chinh Viettel</v>
          </cell>
          <cell r="AP1291">
            <v>0</v>
          </cell>
          <cell r="AQ1291">
            <v>0</v>
          </cell>
          <cell r="AR1291">
            <v>1137999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</row>
        <row r="1292">
          <cell r="A1292">
            <v>112025</v>
          </cell>
          <cell r="H1292" t="str">
            <v>Tong Cong ty CP Buu Chinh Viettel</v>
          </cell>
          <cell r="AP1292">
            <v>0</v>
          </cell>
          <cell r="AQ1292">
            <v>0</v>
          </cell>
          <cell r="AR1292">
            <v>22000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</row>
        <row r="1293">
          <cell r="A1293">
            <v>112025</v>
          </cell>
          <cell r="H1293" t="str">
            <v>Phan Đoàn Kim Nhung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4929000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</row>
        <row r="1294">
          <cell r="A1294">
            <v>112025</v>
          </cell>
          <cell r="H1294" t="str">
            <v>Phan Đoàn Kim Nhung</v>
          </cell>
          <cell r="AP1294">
            <v>0</v>
          </cell>
          <cell r="AQ1294">
            <v>0</v>
          </cell>
          <cell r="AR1294">
            <v>0</v>
          </cell>
          <cell r="AS1294">
            <v>11000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</row>
        <row r="1295">
          <cell r="A1295">
            <v>112025</v>
          </cell>
          <cell r="H1295" t="str">
            <v>Nguyen Hong Kim</v>
          </cell>
          <cell r="AP1295">
            <v>0</v>
          </cell>
          <cell r="AQ1295">
            <v>0</v>
          </cell>
          <cell r="AR1295">
            <v>1160000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</row>
        <row r="1296">
          <cell r="A1296">
            <v>112025</v>
          </cell>
          <cell r="H1296" t="str">
            <v>Nguyen Hong Kim</v>
          </cell>
          <cell r="AP1296">
            <v>0</v>
          </cell>
          <cell r="AQ1296">
            <v>0</v>
          </cell>
          <cell r="AR1296">
            <v>11000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</row>
        <row r="1297">
          <cell r="A1297">
            <v>112025</v>
          </cell>
          <cell r="H1297" t="str">
            <v>Le Thi Thu Hanh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622500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</row>
        <row r="1298">
          <cell r="A1298">
            <v>112025</v>
          </cell>
          <cell r="H1298" t="str">
            <v>Le Thi Thu Hanh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11000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</row>
        <row r="1299">
          <cell r="A1299">
            <v>112025</v>
          </cell>
          <cell r="H1299" t="str">
            <v>Pham Thi Dieu Loan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2683800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</row>
        <row r="1300">
          <cell r="A1300">
            <v>112025</v>
          </cell>
          <cell r="H1300" t="str">
            <v>Pham Thi Dieu Loan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11000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</row>
        <row r="1301">
          <cell r="A1301">
            <v>112025</v>
          </cell>
          <cell r="H1301" t="str">
            <v>Nguyen Thi Dieu Huyen</v>
          </cell>
          <cell r="AP1301">
            <v>0</v>
          </cell>
          <cell r="AQ1301">
            <v>0</v>
          </cell>
          <cell r="AR1301">
            <v>2160000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</row>
        <row r="1302">
          <cell r="A1302">
            <v>112025</v>
          </cell>
          <cell r="H1302" t="str">
            <v>Nguyen Thi Dieu Huyen</v>
          </cell>
          <cell r="AP1302">
            <v>0</v>
          </cell>
          <cell r="AQ1302">
            <v>0</v>
          </cell>
          <cell r="AR1302">
            <v>11000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</row>
        <row r="1303">
          <cell r="A1303">
            <v>112025</v>
          </cell>
          <cell r="H1303" t="str">
            <v>Nguyen Hong Kim</v>
          </cell>
          <cell r="AP1303">
            <v>0</v>
          </cell>
          <cell r="AQ1303">
            <v>0</v>
          </cell>
          <cell r="AR1303">
            <v>4545750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</row>
        <row r="1304">
          <cell r="A1304">
            <v>112025</v>
          </cell>
          <cell r="H1304" t="str">
            <v>Nguyen Hong Kim</v>
          </cell>
          <cell r="AP1304">
            <v>0</v>
          </cell>
          <cell r="AQ1304">
            <v>0</v>
          </cell>
          <cell r="AR1304">
            <v>11000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</row>
        <row r="1305">
          <cell r="A1305">
            <v>112025</v>
          </cell>
          <cell r="H1305" t="str">
            <v>Cong ty TNHH Huu Nghi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2376000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</row>
        <row r="1306">
          <cell r="A1306">
            <v>112025</v>
          </cell>
          <cell r="H1306" t="str">
            <v>Cong ty TNHH Huu Nghi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11000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</row>
        <row r="1307">
          <cell r="A1307">
            <v>112025</v>
          </cell>
          <cell r="H1307" t="str">
            <v>Bui Thi Huong</v>
          </cell>
          <cell r="AP1307">
            <v>0</v>
          </cell>
          <cell r="AQ1307">
            <v>0</v>
          </cell>
          <cell r="AR1307">
            <v>7448606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</row>
        <row r="1308">
          <cell r="A1308">
            <v>112025</v>
          </cell>
          <cell r="H1308" t="str">
            <v>Bui Thi Huong</v>
          </cell>
          <cell r="AP1308">
            <v>0</v>
          </cell>
          <cell r="AQ1308">
            <v>0</v>
          </cell>
          <cell r="AR1308">
            <v>11000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</row>
        <row r="1309">
          <cell r="A1309">
            <v>112025</v>
          </cell>
          <cell r="H1309" t="str">
            <v>Vo Thi Quynh Thi</v>
          </cell>
          <cell r="AP1309">
            <v>0</v>
          </cell>
          <cell r="AQ1309">
            <v>0</v>
          </cell>
          <cell r="AR1309">
            <v>5150800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</row>
        <row r="1310">
          <cell r="A1310">
            <v>112025</v>
          </cell>
          <cell r="H1310" t="str">
            <v>Vo Thi Quynh Thi</v>
          </cell>
          <cell r="AP1310">
            <v>0</v>
          </cell>
          <cell r="AQ1310">
            <v>0</v>
          </cell>
          <cell r="AR1310">
            <v>11000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</row>
        <row r="1311">
          <cell r="A1311">
            <v>112025</v>
          </cell>
          <cell r="H1311" t="str">
            <v>OneSky Head office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</row>
        <row r="1312">
          <cell r="A1312">
            <v>112025</v>
          </cell>
          <cell r="H1312" t="str">
            <v>OneSky Head office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</row>
        <row r="1313">
          <cell r="A1313">
            <v>112025</v>
          </cell>
          <cell r="H1313" t="str">
            <v>OneSky Head office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</row>
        <row r="1314">
          <cell r="A1314">
            <v>112025</v>
          </cell>
          <cell r="H1314" t="str">
            <v>Cong ty TNHH TM&amp;DV Dai Tien Thanh</v>
          </cell>
          <cell r="AP1314">
            <v>0</v>
          </cell>
          <cell r="AQ1314">
            <v>0</v>
          </cell>
          <cell r="AR1314">
            <v>1296000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</row>
        <row r="1315">
          <cell r="A1315">
            <v>112025</v>
          </cell>
          <cell r="H1315" t="str">
            <v>Cong ty TNHH TM&amp;DV Dai Tien Thanh</v>
          </cell>
          <cell r="AP1315">
            <v>0</v>
          </cell>
          <cell r="AQ1315">
            <v>0</v>
          </cell>
          <cell r="AR1315">
            <v>22000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</row>
        <row r="1316">
          <cell r="A1316">
            <v>112025</v>
          </cell>
          <cell r="H1316" t="str">
            <v>Công ty Cổ phần Môi trường Đô thị Đà Nẵng</v>
          </cell>
          <cell r="AP1316">
            <v>0</v>
          </cell>
          <cell r="AQ1316">
            <v>0</v>
          </cell>
          <cell r="AR1316">
            <v>603819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</row>
        <row r="1317">
          <cell r="A1317">
            <v>112025</v>
          </cell>
          <cell r="H1317" t="str">
            <v>Công ty Cổ phần Môi trường Đô thị Đà Nẵng</v>
          </cell>
          <cell r="AP1317">
            <v>0</v>
          </cell>
          <cell r="AQ1317">
            <v>0</v>
          </cell>
          <cell r="AR1317">
            <v>22000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</row>
        <row r="1318">
          <cell r="A1318">
            <v>112025</v>
          </cell>
          <cell r="H1318" t="str">
            <v>VNPT Da Nang</v>
          </cell>
          <cell r="AP1318">
            <v>0</v>
          </cell>
          <cell r="AQ1318">
            <v>0</v>
          </cell>
          <cell r="AR1318">
            <v>444247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</row>
        <row r="1319">
          <cell r="A1319">
            <v>112025</v>
          </cell>
          <cell r="H1319" t="str">
            <v>VNPT Da Nang</v>
          </cell>
          <cell r="AP1319">
            <v>0</v>
          </cell>
          <cell r="AQ1319">
            <v>0</v>
          </cell>
          <cell r="AR1319">
            <v>22000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</row>
        <row r="1320">
          <cell r="A1320">
            <v>112025</v>
          </cell>
          <cell r="H1320" t="str">
            <v>Cong ty TNHH Huu Nghi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756000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</row>
        <row r="1321">
          <cell r="A1321">
            <v>112025</v>
          </cell>
          <cell r="H1321" t="str">
            <v>Cong ty TNHH Huu Nghi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11000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</row>
        <row r="1322">
          <cell r="A1322">
            <v>112025</v>
          </cell>
          <cell r="H1322" t="str">
            <v>Nguyen Dang Hai Sam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1290000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</row>
        <row r="1323">
          <cell r="A1323">
            <v>112025</v>
          </cell>
          <cell r="H1323" t="str">
            <v>Nguyen Dang Hai Sam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11000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</row>
        <row r="1324">
          <cell r="A1324">
            <v>112025</v>
          </cell>
          <cell r="H1324" t="str">
            <v>Vietnam Tax Company</v>
          </cell>
          <cell r="AP1324">
            <v>0</v>
          </cell>
          <cell r="AQ1324">
            <v>3475078</v>
          </cell>
          <cell r="AR1324">
            <v>540000</v>
          </cell>
          <cell r="AS1324">
            <v>0</v>
          </cell>
          <cell r="AT1324">
            <v>39602731.729999997</v>
          </cell>
          <cell r="AU1324">
            <v>42174643.730000004</v>
          </cell>
          <cell r="AV1324">
            <v>14062917.729999999</v>
          </cell>
          <cell r="AW1324">
            <v>0</v>
          </cell>
          <cell r="AX1324">
            <v>82360445.810000002</v>
          </cell>
          <cell r="AY1324">
            <v>354233</v>
          </cell>
          <cell r="AZ1324">
            <v>206787</v>
          </cell>
          <cell r="BA1324">
            <v>0</v>
          </cell>
          <cell r="BB1324">
            <v>77786</v>
          </cell>
          <cell r="BC1324">
            <v>0</v>
          </cell>
        </row>
        <row r="1325">
          <cell r="A1325">
            <v>112025</v>
          </cell>
          <cell r="H1325" t="str">
            <v>Vietcombank</v>
          </cell>
          <cell r="AP1325">
            <v>0</v>
          </cell>
          <cell r="AQ1325">
            <v>0</v>
          </cell>
          <cell r="AR1325">
            <v>22000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</row>
        <row r="1326">
          <cell r="A1326">
            <v>112025</v>
          </cell>
          <cell r="H1326" t="str">
            <v>Vietcombank</v>
          </cell>
          <cell r="AP1326">
            <v>0</v>
          </cell>
          <cell r="AQ1326">
            <v>0</v>
          </cell>
          <cell r="AR1326">
            <v>105600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</row>
        <row r="1327">
          <cell r="A1327">
            <v>112025</v>
          </cell>
          <cell r="H1327" t="str">
            <v>Dinh Thi Thu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2700000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</row>
        <row r="1328">
          <cell r="A1328">
            <v>112025</v>
          </cell>
          <cell r="H1328" t="str">
            <v>Hoang Thi Dinh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2500000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</row>
        <row r="1329">
          <cell r="A1329">
            <v>112025</v>
          </cell>
          <cell r="H1329" t="str">
            <v>Le Dinh Trung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2700000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</row>
        <row r="1330">
          <cell r="A1330">
            <v>112025</v>
          </cell>
          <cell r="H1330" t="str">
            <v>Mai Thi Thanh Binh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2700000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</row>
        <row r="1331">
          <cell r="A1331">
            <v>112025</v>
          </cell>
          <cell r="H1331" t="str">
            <v>Nguyen Minh Huyen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5790000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</row>
        <row r="1332">
          <cell r="A1332">
            <v>112025</v>
          </cell>
          <cell r="H1332" t="str">
            <v>Nguyen Thanh De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8490000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</row>
        <row r="1333">
          <cell r="A1333">
            <v>112025</v>
          </cell>
          <cell r="H1333" t="str">
            <v>Nguyen Thi Anh Nguyet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2700000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</row>
        <row r="1334">
          <cell r="A1334">
            <v>112025</v>
          </cell>
          <cell r="H1334" t="str">
            <v>Nguyen Thi Bich Thao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2700000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</row>
        <row r="1335">
          <cell r="A1335">
            <v>112025</v>
          </cell>
          <cell r="H1335" t="str">
            <v>Nguyen Thi Kim Chi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10500000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</row>
        <row r="1336">
          <cell r="A1336">
            <v>112025</v>
          </cell>
          <cell r="H1336" t="str">
            <v>Pham Thi Thu Hien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2700000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</row>
        <row r="1337">
          <cell r="A1337">
            <v>112025</v>
          </cell>
          <cell r="H1337" t="str">
            <v>Pham Van Sinh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2700000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</row>
        <row r="1338">
          <cell r="A1338">
            <v>112025</v>
          </cell>
          <cell r="H1338" t="str">
            <v>Tran Quang Nam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5400000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</row>
        <row r="1339">
          <cell r="A1339">
            <v>112025</v>
          </cell>
          <cell r="H1339" t="str">
            <v>OneSky Head office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</row>
        <row r="1340">
          <cell r="A1340">
            <v>112025</v>
          </cell>
          <cell r="H1340" t="str">
            <v>OneSky Head office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</row>
        <row r="1341">
          <cell r="A1341">
            <v>112025</v>
          </cell>
          <cell r="H1341" t="str">
            <v>OSVN Petty cash (VND)</v>
          </cell>
          <cell r="AP1341">
            <v>0</v>
          </cell>
          <cell r="AQ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</row>
        <row r="1342">
          <cell r="A1342">
            <v>112025</v>
          </cell>
          <cell r="H1342" t="str">
            <v>OSVN Petty cash (VND)</v>
          </cell>
          <cell r="AP1342">
            <v>0</v>
          </cell>
          <cell r="AQ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</row>
        <row r="1343">
          <cell r="A1343">
            <v>112025</v>
          </cell>
          <cell r="H1343" t="str">
            <v>Chi nhánh Công ty CP Du lịch Thiên Minh Hòa Bình tại TP Hồ Chí Minh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15000000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</row>
        <row r="1344">
          <cell r="A1344">
            <v>112025</v>
          </cell>
          <cell r="H1344" t="str">
            <v>Chi nhánh Công ty CP Du lịch Thiên Minh Hòa Bình tại TP Hồ Chí Minh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22000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</row>
        <row r="1345">
          <cell r="A1345">
            <v>112025</v>
          </cell>
          <cell r="H1345" t="str">
            <v>Chi nhánh 2 Công ty TNHH Thiên Di Tây Ninh - GEMS HOTEL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5040000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</row>
        <row r="1346">
          <cell r="A1346">
            <v>112025</v>
          </cell>
          <cell r="H1346" t="str">
            <v>Huynh My Ngoc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</row>
        <row r="1347">
          <cell r="A1347">
            <v>112025</v>
          </cell>
          <cell r="H1347" t="str">
            <v>Huynh My Ngoc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11000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</row>
        <row r="1348">
          <cell r="A1348">
            <v>112025</v>
          </cell>
          <cell r="H1348" t="str">
            <v>Vietcombank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</row>
        <row r="1349">
          <cell r="A1349">
            <v>112025</v>
          </cell>
          <cell r="H1349" t="str">
            <v>Vietcombank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</row>
        <row r="1350">
          <cell r="A1350">
            <v>112025</v>
          </cell>
          <cell r="H1350" t="str">
            <v>Vietcombank</v>
          </cell>
          <cell r="AP1350">
            <v>0</v>
          </cell>
          <cell r="AQ1350">
            <v>0</v>
          </cell>
          <cell r="AR1350">
            <v>22000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</row>
        <row r="1351">
          <cell r="A1351">
            <v>112025</v>
          </cell>
          <cell r="H1351" t="str">
            <v>Vietcombank</v>
          </cell>
          <cell r="AP1351">
            <v>0</v>
          </cell>
          <cell r="AQ1351">
            <v>22000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</row>
        <row r="1352">
          <cell r="A1352">
            <v>112025</v>
          </cell>
          <cell r="H1352" t="str">
            <v>Vietcombank</v>
          </cell>
          <cell r="AP1352">
            <v>0</v>
          </cell>
          <cell r="AQ1352">
            <v>0</v>
          </cell>
          <cell r="AR1352">
            <v>29003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</row>
        <row r="1353">
          <cell r="A1353">
            <v>122025</v>
          </cell>
          <cell r="H1353" t="str">
            <v>Hien Thi Hien Vo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13328738.4</v>
          </cell>
          <cell r="AU1353">
            <v>13328738.4</v>
          </cell>
          <cell r="AV1353">
            <v>13328738.4</v>
          </cell>
          <cell r="AW1353">
            <v>0</v>
          </cell>
          <cell r="AX1353">
            <v>93301168.799999997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</row>
        <row r="1354">
          <cell r="A1354">
            <v>122025</v>
          </cell>
          <cell r="H1354" t="str">
            <v>Thuy Thi Bich Thuy Tran</v>
          </cell>
          <cell r="AP1354">
            <v>0</v>
          </cell>
          <cell r="AQ1354">
            <v>24952484.5</v>
          </cell>
          <cell r="AR1354">
            <v>0</v>
          </cell>
          <cell r="AS1354">
            <v>0</v>
          </cell>
          <cell r="AT1354">
            <v>4990496.9000000004</v>
          </cell>
          <cell r="AU1354">
            <v>4990496.9000000004</v>
          </cell>
          <cell r="AV1354">
            <v>4990496.9000000004</v>
          </cell>
          <cell r="AW1354">
            <v>0</v>
          </cell>
          <cell r="AX1354">
            <v>9980993.8000000007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</row>
        <row r="1355">
          <cell r="A1355">
            <v>122025</v>
          </cell>
          <cell r="H1355" t="str">
            <v>Tran Thi Que Chi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11843335</v>
          </cell>
          <cell r="AU1355">
            <v>11843335</v>
          </cell>
          <cell r="AV1355">
            <v>11843335</v>
          </cell>
          <cell r="AW1355">
            <v>0</v>
          </cell>
          <cell r="AX1355">
            <v>23686670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</row>
        <row r="1356">
          <cell r="A1356">
            <v>122025</v>
          </cell>
          <cell r="H1356" t="str">
            <v>Maggie Huyen Nguyen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8291883.4499999993</v>
          </cell>
          <cell r="AU1356">
            <v>8291883.4499999993</v>
          </cell>
          <cell r="AV1356">
            <v>8291883.4499999993</v>
          </cell>
          <cell r="AW1356">
            <v>0</v>
          </cell>
          <cell r="AX1356">
            <v>23900134.649999999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</row>
        <row r="1357">
          <cell r="A1357">
            <v>122025</v>
          </cell>
          <cell r="H1357" t="str">
            <v>Nguyen Hong Kim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3736828</v>
          </cell>
          <cell r="AU1357">
            <v>3736828</v>
          </cell>
          <cell r="AV1357">
            <v>3736828</v>
          </cell>
          <cell r="AW1357">
            <v>0</v>
          </cell>
          <cell r="AX1357">
            <v>26157796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</row>
        <row r="1358">
          <cell r="A1358">
            <v>122025</v>
          </cell>
          <cell r="H1358" t="str">
            <v>Hoang Thi Kieu Oanh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4769488.2</v>
          </cell>
          <cell r="AU1358">
            <v>4769488.2</v>
          </cell>
          <cell r="AV1358">
            <v>4769488.2</v>
          </cell>
          <cell r="AW1358">
            <v>0</v>
          </cell>
          <cell r="AX1358">
            <v>9538976.4000000004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</row>
        <row r="1359">
          <cell r="A1359">
            <v>122025</v>
          </cell>
          <cell r="H1359" t="str">
            <v>Pham Thi  Dieu Loan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11021123.600000001</v>
          </cell>
          <cell r="AU1359">
            <v>11021123.600000001</v>
          </cell>
          <cell r="AV1359">
            <v>11021123.600000001</v>
          </cell>
          <cell r="AW1359">
            <v>0</v>
          </cell>
          <cell r="AX1359">
            <v>22042247.200000003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</row>
        <row r="1360">
          <cell r="A1360">
            <v>122025</v>
          </cell>
          <cell r="H1360" t="str">
            <v>Phan Doan Kim Nhung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3609715.6</v>
          </cell>
          <cell r="AU1360">
            <v>3609715.6</v>
          </cell>
          <cell r="AV1360">
            <v>3609715.6</v>
          </cell>
          <cell r="AW1360">
            <v>0</v>
          </cell>
          <cell r="AX1360">
            <v>7219431.2000000002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</row>
        <row r="1361">
          <cell r="A1361">
            <v>122025</v>
          </cell>
          <cell r="H1361" t="str">
            <v>Truong Thi Hai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8871624</v>
          </cell>
          <cell r="AU1361">
            <v>8871624</v>
          </cell>
          <cell r="AV1361">
            <v>8871624</v>
          </cell>
          <cell r="AW1361">
            <v>0</v>
          </cell>
          <cell r="AX1361">
            <v>17743248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</row>
        <row r="1362">
          <cell r="A1362">
            <v>122025</v>
          </cell>
          <cell r="H1362" t="str">
            <v>Bui Thi Huong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42307054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</row>
        <row r="1363">
          <cell r="A1363">
            <v>122025</v>
          </cell>
          <cell r="H1363" t="str">
            <v>Huynh My Ngoc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44358120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</row>
        <row r="1364">
          <cell r="A1364">
            <v>122025</v>
          </cell>
          <cell r="H1364" t="str">
            <v>Nguyen Thi Thanh Thanh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6101468.9799999995</v>
          </cell>
          <cell r="AU1364">
            <v>6101468.9799999995</v>
          </cell>
          <cell r="AV1364">
            <v>6101468.9799999995</v>
          </cell>
          <cell r="AW1364">
            <v>0</v>
          </cell>
          <cell r="AX1364">
            <v>17586587.059999999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</row>
        <row r="1365">
          <cell r="A1365">
            <v>122025</v>
          </cell>
          <cell r="H1365" t="str">
            <v>Phan Thi Thao Nguyen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10398601.479999999</v>
          </cell>
          <cell r="AU1365">
            <v>10398601.479999999</v>
          </cell>
          <cell r="AV1365">
            <v>10398601.479999999</v>
          </cell>
          <cell r="AW1365">
            <v>0</v>
          </cell>
          <cell r="AX1365">
            <v>29972439.559999999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</row>
        <row r="1366">
          <cell r="A1366">
            <v>122025</v>
          </cell>
          <cell r="H1366" t="str">
            <v>Mai Thi Kim Hang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14345077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</row>
        <row r="1367">
          <cell r="A1367">
            <v>122025</v>
          </cell>
          <cell r="H1367" t="str">
            <v>Pham Thi Huyen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17414807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</row>
        <row r="1368">
          <cell r="A1368">
            <v>122025</v>
          </cell>
          <cell r="H1368" t="str">
            <v>Vo Thi Quynh Thi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21481151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</row>
        <row r="1369">
          <cell r="A1369">
            <v>122025</v>
          </cell>
          <cell r="H1369" t="str">
            <v>Nguyen Thi Tram Anh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16025922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</row>
        <row r="1370">
          <cell r="A1370">
            <v>122025</v>
          </cell>
          <cell r="H1370" t="str">
            <v>Ho Thi Mong Thu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16901497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</row>
        <row r="1371">
          <cell r="A1371">
            <v>122025</v>
          </cell>
          <cell r="H1371" t="str">
            <v>Truong Thi Diem Phuong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15563147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</row>
        <row r="1372">
          <cell r="A1372">
            <v>122025</v>
          </cell>
          <cell r="H1372" t="str">
            <v>Vu Thi Thu Thuy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17283147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</row>
        <row r="1373">
          <cell r="A1373">
            <v>122025</v>
          </cell>
          <cell r="H1373" t="str">
            <v>Nguyen Thi Nhung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15367626</v>
          </cell>
          <cell r="BA1373">
            <v>0</v>
          </cell>
          <cell r="BB1373">
            <v>0</v>
          </cell>
          <cell r="BC1373">
            <v>0</v>
          </cell>
        </row>
        <row r="1374">
          <cell r="A1374">
            <v>122025</v>
          </cell>
          <cell r="H1374" t="str">
            <v>Mai Anh Thu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15367626</v>
          </cell>
          <cell r="BA1374">
            <v>0</v>
          </cell>
          <cell r="BB1374">
            <v>0</v>
          </cell>
          <cell r="BC1374">
            <v>0</v>
          </cell>
        </row>
        <row r="1375">
          <cell r="A1375">
            <v>122025</v>
          </cell>
          <cell r="H1375" t="str">
            <v>Dang Thanh Canh</v>
          </cell>
          <cell r="AP1375">
            <v>0</v>
          </cell>
          <cell r="AQ1375">
            <v>0</v>
          </cell>
          <cell r="AR1375">
            <v>7308468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</row>
        <row r="1376">
          <cell r="A1376">
            <v>122025</v>
          </cell>
          <cell r="H1376" t="str">
            <v>Le Thi Thu Hanh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71597889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</row>
        <row r="1377">
          <cell r="A1377">
            <v>122025</v>
          </cell>
          <cell r="H1377" t="str">
            <v>Nguyen Thi Thuy Na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14750376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</row>
        <row r="1378">
          <cell r="A1378">
            <v>122025</v>
          </cell>
          <cell r="H1378" t="str">
            <v>Nguyen Thi Thuy Van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14293250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</row>
        <row r="1379">
          <cell r="A1379">
            <v>122025</v>
          </cell>
          <cell r="H1379" t="str">
            <v>Nguyen Thi Hai</v>
          </cell>
          <cell r="AP1379">
            <v>0</v>
          </cell>
          <cell r="AQ1379">
            <v>0</v>
          </cell>
          <cell r="AR1379">
            <v>4247727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</row>
        <row r="1380">
          <cell r="A1380">
            <v>122025</v>
          </cell>
          <cell r="H1380" t="str">
            <v>Phạm Thị Nhị Ca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14968356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</row>
        <row r="1381">
          <cell r="A1381">
            <v>122025</v>
          </cell>
          <cell r="H1381" t="str">
            <v>Mai Thi Mong Tuyen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14293250</v>
          </cell>
          <cell r="BA1381">
            <v>0</v>
          </cell>
          <cell r="BB1381">
            <v>0</v>
          </cell>
          <cell r="BC1381">
            <v>0</v>
          </cell>
        </row>
        <row r="1382">
          <cell r="A1382">
            <v>122025</v>
          </cell>
          <cell r="H1382" t="str">
            <v>Nguyen Dang Hai Sam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14293250</v>
          </cell>
          <cell r="BC1382">
            <v>0</v>
          </cell>
        </row>
        <row r="1383">
          <cell r="A1383">
            <v>122025</v>
          </cell>
          <cell r="H1383" t="str">
            <v>Nguyen Thi Huong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3659092</v>
          </cell>
          <cell r="BC1383">
            <v>0</v>
          </cell>
        </row>
        <row r="1384">
          <cell r="A1384">
            <v>122025</v>
          </cell>
          <cell r="H1384" t="str">
            <v>Vietcombank</v>
          </cell>
          <cell r="AP1384">
            <v>0</v>
          </cell>
          <cell r="AQ1384">
            <v>0</v>
          </cell>
          <cell r="AR1384">
            <v>136400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</row>
        <row r="1385">
          <cell r="A1385">
            <v>122025</v>
          </cell>
          <cell r="H1385" t="str">
            <v>Service Center for Foreign Affairs</v>
          </cell>
          <cell r="AP1385">
            <v>0</v>
          </cell>
          <cell r="AQ1385">
            <v>7666948</v>
          </cell>
          <cell r="AR1385">
            <v>1600000</v>
          </cell>
          <cell r="AS1385">
            <v>0</v>
          </cell>
          <cell r="AT1385">
            <v>42922027.109999999</v>
          </cell>
          <cell r="AU1385">
            <v>39481835.109999999</v>
          </cell>
          <cell r="AV1385">
            <v>26861931.109999996</v>
          </cell>
          <cell r="AW1385">
            <v>0</v>
          </cell>
          <cell r="AX1385">
            <v>89476065.670000002</v>
          </cell>
          <cell r="AY1385">
            <v>4160000</v>
          </cell>
          <cell r="AZ1385">
            <v>13288704</v>
          </cell>
          <cell r="BA1385">
            <v>0</v>
          </cell>
          <cell r="BB1385">
            <v>8320000</v>
          </cell>
          <cell r="BC1385">
            <v>0</v>
          </cell>
        </row>
        <row r="1386">
          <cell r="A1386">
            <v>122025</v>
          </cell>
          <cell r="H1386" t="str">
            <v>Service Center for Foreign Affairs</v>
          </cell>
          <cell r="AP1386">
            <v>0</v>
          </cell>
          <cell r="AQ1386">
            <v>0</v>
          </cell>
          <cell r="AR1386">
            <v>11000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</row>
        <row r="1387">
          <cell r="A1387">
            <v>122025</v>
          </cell>
          <cell r="H1387" t="str">
            <v>Vietnam Tax Company</v>
          </cell>
        </row>
        <row r="1388">
          <cell r="A1388">
            <v>122025</v>
          </cell>
          <cell r="H1388" t="str">
            <v>Vietnam Tax Company</v>
          </cell>
        </row>
        <row r="1389">
          <cell r="A1389">
            <v>122025</v>
          </cell>
          <cell r="H1389" t="str">
            <v>Le Ngoc Bich Hien</v>
          </cell>
        </row>
        <row r="1390">
          <cell r="A1390">
            <v>122025</v>
          </cell>
          <cell r="H1390" t="str">
            <v>Le Ngoc Bich Hien</v>
          </cell>
        </row>
        <row r="1391">
          <cell r="A1391">
            <v>122025</v>
          </cell>
          <cell r="H1391" t="str">
            <v>Tran Thi Que Chi</v>
          </cell>
        </row>
        <row r="1392">
          <cell r="A1392">
            <v>122025</v>
          </cell>
          <cell r="H1392" t="str">
            <v>Tran Thi Que Chi</v>
          </cell>
        </row>
        <row r="1393">
          <cell r="A1393">
            <v>122025</v>
          </cell>
          <cell r="H1393" t="str">
            <v>Tran Thi Que Chi</v>
          </cell>
        </row>
        <row r="1394">
          <cell r="A1394">
            <v>122025</v>
          </cell>
          <cell r="H1394" t="str">
            <v>Tran Thi Que Chi</v>
          </cell>
        </row>
        <row r="1395">
          <cell r="A1395">
            <v>122025</v>
          </cell>
          <cell r="H1395" t="str">
            <v>Tran Thi Que Chi</v>
          </cell>
        </row>
        <row r="1396">
          <cell r="A1396">
            <v>122025</v>
          </cell>
          <cell r="H1396" t="str">
            <v>Công ty TNHH MTV Hop Nhat Thanh</v>
          </cell>
        </row>
        <row r="1397">
          <cell r="A1397">
            <v>122025</v>
          </cell>
          <cell r="H1397" t="str">
            <v>Công ty TNHH MTV Hop Nhat Thanh</v>
          </cell>
        </row>
        <row r="1398">
          <cell r="A1398">
            <v>122025</v>
          </cell>
          <cell r="H1398" t="str">
            <v>Nguyen Hong Kim</v>
          </cell>
        </row>
        <row r="1399">
          <cell r="A1399">
            <v>122025</v>
          </cell>
          <cell r="H1399" t="str">
            <v>Nguyen Hong Kim</v>
          </cell>
        </row>
        <row r="1400">
          <cell r="A1400">
            <v>122025</v>
          </cell>
          <cell r="H1400" t="str">
            <v>Vo Thi Quynh Thi</v>
          </cell>
        </row>
        <row r="1401">
          <cell r="A1401">
            <v>122025</v>
          </cell>
          <cell r="H1401" t="str">
            <v>Vo Thi Quynh Thi</v>
          </cell>
        </row>
        <row r="1402">
          <cell r="A1402">
            <v>122025</v>
          </cell>
          <cell r="H1402" t="str">
            <v>Cong ty TNHH thuong Mai va Dich vu Ngoc An</v>
          </cell>
        </row>
        <row r="1403">
          <cell r="A1403">
            <v>122025</v>
          </cell>
          <cell r="H1403" t="str">
            <v>Cong ty TNHH thuong Mai va Dich vu Ngoc An</v>
          </cell>
        </row>
        <row r="1404">
          <cell r="A1404">
            <v>122025</v>
          </cell>
          <cell r="H1404" t="str">
            <v>Cong ty TNHH TM&amp;DV Duc Chi Nguyen</v>
          </cell>
        </row>
        <row r="1405">
          <cell r="A1405">
            <v>122025</v>
          </cell>
          <cell r="H1405" t="str">
            <v>Cong ty TNHH TM&amp;DV Duc Chi Nguyen</v>
          </cell>
        </row>
        <row r="1406">
          <cell r="A1406">
            <v>122025</v>
          </cell>
          <cell r="H1406" t="str">
            <v>Tap doan Cong nghiep - Vien thong Quan Doi</v>
          </cell>
        </row>
        <row r="1407">
          <cell r="A1407">
            <v>122025</v>
          </cell>
          <cell r="H1407" t="str">
            <v>Tap doan Cong nghiep - Vien thong Quan Doi</v>
          </cell>
        </row>
        <row r="1408">
          <cell r="A1408">
            <v>122025</v>
          </cell>
          <cell r="H1408" t="str">
            <v>Tong Cong ty CP Buu Chinh Viettel</v>
          </cell>
        </row>
        <row r="1409">
          <cell r="A1409">
            <v>122025</v>
          </cell>
          <cell r="H1409" t="str">
            <v>Tong Cong ty CP Buu Chinh Viettel</v>
          </cell>
        </row>
        <row r="1410">
          <cell r="A1410">
            <v>122025</v>
          </cell>
          <cell r="H1410" t="str">
            <v>Cong ty CP Cap nuoc Da Nang Khu vuc 1</v>
          </cell>
        </row>
        <row r="1411">
          <cell r="A1411">
            <v>122025</v>
          </cell>
          <cell r="H1411" t="str">
            <v>Cong ty CP Cap nuoc Da Nang Khu vuc 1</v>
          </cell>
        </row>
        <row r="1412">
          <cell r="A1412">
            <v>122025</v>
          </cell>
          <cell r="H1412" t="str">
            <v>OneSky Head office</v>
          </cell>
        </row>
        <row r="1413">
          <cell r="A1413">
            <v>122025</v>
          </cell>
          <cell r="H1413" t="str">
            <v>OneSky Head office</v>
          </cell>
        </row>
        <row r="1414">
          <cell r="A1414">
            <v>122025</v>
          </cell>
          <cell r="H1414" t="str">
            <v>So Giao Duc và Dao Tao Bac Ninh</v>
          </cell>
        </row>
        <row r="1415">
          <cell r="A1415">
            <v>122025</v>
          </cell>
          <cell r="H1415" t="str">
            <v>So Giao Duc và Dao Tao Bac Ninh</v>
          </cell>
        </row>
        <row r="1416">
          <cell r="A1416">
            <v>122025</v>
          </cell>
          <cell r="H1416" t="str">
            <v>So Giao Duc va Dao Tao tinh Tay Ninh</v>
          </cell>
        </row>
        <row r="1417">
          <cell r="A1417">
            <v>122025</v>
          </cell>
          <cell r="H1417" t="str">
            <v>So Giao Duc va Dao Tao tinh Tay Ninh</v>
          </cell>
        </row>
        <row r="1418">
          <cell r="A1418">
            <v>122025</v>
          </cell>
          <cell r="H1418" t="str">
            <v>Van phong So Giao Duc va Dao Tao TpHCM</v>
          </cell>
        </row>
        <row r="1419">
          <cell r="A1419">
            <v>122025</v>
          </cell>
          <cell r="H1419" t="str">
            <v>Van phong So Giao Duc va Dao Tao TpHCM</v>
          </cell>
        </row>
        <row r="1420">
          <cell r="A1420">
            <v>122025</v>
          </cell>
          <cell r="H1420" t="str">
            <v>Ho Thi Mong Thu</v>
          </cell>
        </row>
        <row r="1421">
          <cell r="A1421">
            <v>122025</v>
          </cell>
          <cell r="H1421" t="str">
            <v>OneSky Head office</v>
          </cell>
        </row>
        <row r="1422">
          <cell r="A1422">
            <v>122025</v>
          </cell>
          <cell r="H1422" t="str">
            <v>Vietnam Tax Company</v>
          </cell>
        </row>
        <row r="1423">
          <cell r="A1423">
            <v>122025</v>
          </cell>
          <cell r="H1423" t="str">
            <v>Vietnam Tax Company</v>
          </cell>
        </row>
        <row r="1424">
          <cell r="A1424">
            <v>122025</v>
          </cell>
          <cell r="H1424" t="str">
            <v>Vietnam Tax Company</v>
          </cell>
        </row>
        <row r="1425">
          <cell r="A1425">
            <v>122025</v>
          </cell>
          <cell r="H1425" t="str">
            <v>OneSky Head office</v>
          </cell>
        </row>
        <row r="1426">
          <cell r="A1426">
            <v>122025</v>
          </cell>
          <cell r="H1426" t="str">
            <v>OneSky Head office</v>
          </cell>
        </row>
        <row r="1427">
          <cell r="A1427">
            <v>122025</v>
          </cell>
          <cell r="H1427" t="str">
            <v>Vu Thi Thu Thuy</v>
          </cell>
        </row>
        <row r="1428">
          <cell r="A1428">
            <v>122025</v>
          </cell>
          <cell r="H1428" t="str">
            <v>Vu Thi Thu Thuy</v>
          </cell>
        </row>
        <row r="1429">
          <cell r="A1429">
            <v>122025</v>
          </cell>
          <cell r="H1429" t="str">
            <v>Cong ty Co phan di chuyen Xanh va thong minh GSM</v>
          </cell>
        </row>
        <row r="1430">
          <cell r="A1430">
            <v>122025</v>
          </cell>
          <cell r="H1430" t="str">
            <v>Cong ty Co phan di chuyen Xanh va thong minh GSM</v>
          </cell>
        </row>
        <row r="1431">
          <cell r="A1431">
            <v>122025</v>
          </cell>
          <cell r="H1431" t="str">
            <v>Ho Lam Hong</v>
          </cell>
        </row>
        <row r="1432">
          <cell r="A1432">
            <v>122025</v>
          </cell>
          <cell r="H1432" t="str">
            <v>Ho Lam Hong</v>
          </cell>
        </row>
        <row r="1433">
          <cell r="A1433">
            <v>122025</v>
          </cell>
          <cell r="H1433" t="str">
            <v xml:space="preserve">Cong ty TNHH In Trung Khoa </v>
          </cell>
        </row>
        <row r="1434">
          <cell r="A1434">
            <v>122025</v>
          </cell>
          <cell r="H1434" t="str">
            <v xml:space="preserve">Cong ty TNHH In Trung Khoa </v>
          </cell>
        </row>
        <row r="1435">
          <cell r="A1435">
            <v>122025</v>
          </cell>
          <cell r="H1435" t="str">
            <v xml:space="preserve">Cong ty TNHH In Trung Khoa </v>
          </cell>
        </row>
        <row r="1436">
          <cell r="A1436">
            <v>122025</v>
          </cell>
          <cell r="H1436" t="str">
            <v xml:space="preserve">Cong ty TNHH In Trung Khoa </v>
          </cell>
        </row>
        <row r="1437">
          <cell r="A1437">
            <v>122025</v>
          </cell>
          <cell r="H1437" t="str">
            <v>Hoang Thi Kieu Oanh</v>
          </cell>
        </row>
        <row r="1438">
          <cell r="A1438">
            <v>122025</v>
          </cell>
          <cell r="H1438" t="str">
            <v>Hoang Thi Kieu Oanh</v>
          </cell>
        </row>
        <row r="1439">
          <cell r="A1439">
            <v>122025</v>
          </cell>
          <cell r="H1439" t="str">
            <v>Hoang Thi Kieu Oanh</v>
          </cell>
        </row>
        <row r="1440">
          <cell r="A1440">
            <v>122025</v>
          </cell>
          <cell r="H1440" t="str">
            <v>Nguyen Thi Dieu Huyen</v>
          </cell>
        </row>
        <row r="1441">
          <cell r="A1441">
            <v>122025</v>
          </cell>
          <cell r="H1441" t="str">
            <v>Nguyen Thi Dieu Huyen</v>
          </cell>
        </row>
        <row r="1442">
          <cell r="A1442">
            <v>122025</v>
          </cell>
          <cell r="H1442" t="str">
            <v>Nguyen Thi Dieu Huyen</v>
          </cell>
        </row>
        <row r="1443">
          <cell r="A1443">
            <v>122025</v>
          </cell>
          <cell r="H1443" t="str">
            <v>Nguyen Hong Kim</v>
          </cell>
        </row>
        <row r="1444">
          <cell r="A1444">
            <v>122025</v>
          </cell>
          <cell r="H1444" t="str">
            <v>Nguyen Hong Kim</v>
          </cell>
        </row>
        <row r="1445">
          <cell r="A1445">
            <v>122025</v>
          </cell>
          <cell r="H1445" t="str">
            <v>Nguyen Hong Kim</v>
          </cell>
        </row>
        <row r="1446">
          <cell r="A1446">
            <v>122025</v>
          </cell>
          <cell r="H1446" t="str">
            <v>Nguyen Hong Kim</v>
          </cell>
        </row>
        <row r="1447">
          <cell r="A1447">
            <v>122025</v>
          </cell>
          <cell r="H1447" t="str">
            <v>Cong ty TNHH thuong Mai va Dich vu Ngoc An</v>
          </cell>
        </row>
        <row r="1448">
          <cell r="A1448">
            <v>122025</v>
          </cell>
          <cell r="H1448" t="str">
            <v>Cong ty TNHH thuong Mai va Dich vu Ngoc An</v>
          </cell>
        </row>
        <row r="1449">
          <cell r="A1449">
            <v>122025</v>
          </cell>
          <cell r="H1449" t="str">
            <v>Cong ty TNHH thuong Mai va Dich vu Ngoc An</v>
          </cell>
        </row>
        <row r="1450">
          <cell r="A1450">
            <v>122025</v>
          </cell>
          <cell r="H1450" t="str">
            <v>Cong ty TNHH NhungDaNang</v>
          </cell>
        </row>
        <row r="1451">
          <cell r="A1451">
            <v>122025</v>
          </cell>
          <cell r="H1451" t="str">
            <v>Cong ty TNHH NhungDaNang</v>
          </cell>
        </row>
        <row r="1452">
          <cell r="A1452">
            <v>122025</v>
          </cell>
          <cell r="H1452" t="str">
            <v>Công ty TNHH MTV Hop Nhat Thanh</v>
          </cell>
        </row>
        <row r="1453">
          <cell r="A1453">
            <v>122025</v>
          </cell>
          <cell r="H1453" t="str">
            <v>Công ty TNHH MTV Hop Nhat Thanh</v>
          </cell>
        </row>
        <row r="1454">
          <cell r="A1454">
            <v>122025</v>
          </cell>
          <cell r="H1454" t="str">
            <v>Huynh My Ngoc</v>
          </cell>
        </row>
        <row r="1455">
          <cell r="A1455">
            <v>122025</v>
          </cell>
          <cell r="H1455" t="str">
            <v>Huynh My Ngoc</v>
          </cell>
        </row>
        <row r="1456">
          <cell r="A1456">
            <v>122025</v>
          </cell>
          <cell r="H1456" t="str">
            <v>Vo Thi Quynh Thi</v>
          </cell>
        </row>
        <row r="1457">
          <cell r="A1457">
            <v>122025</v>
          </cell>
          <cell r="H1457" t="str">
            <v>Vo Thi Quynh Thi</v>
          </cell>
        </row>
        <row r="1458">
          <cell r="A1458">
            <v>122025</v>
          </cell>
          <cell r="H1458" t="str">
            <v>Vo Thi Quynh Thi</v>
          </cell>
        </row>
        <row r="1459">
          <cell r="A1459">
            <v>122025</v>
          </cell>
          <cell r="H1459" t="str">
            <v>Mai Thi Kim Hang</v>
          </cell>
        </row>
        <row r="1460">
          <cell r="A1460">
            <v>122025</v>
          </cell>
          <cell r="H1460" t="str">
            <v>Mai Thi Kim Hang</v>
          </cell>
        </row>
        <row r="1461">
          <cell r="A1461">
            <v>122025</v>
          </cell>
          <cell r="H1461" t="str">
            <v>Cong ty TNHH Thuong Mai va Du lich Noi Bai</v>
          </cell>
        </row>
        <row r="1462">
          <cell r="A1462">
            <v>122025</v>
          </cell>
          <cell r="H1462" t="str">
            <v>Cong ty TNHH Thuong Mai va Du lich Noi Bai</v>
          </cell>
        </row>
        <row r="1463">
          <cell r="A1463">
            <v>122025</v>
          </cell>
          <cell r="H1463" t="str">
            <v xml:space="preserve">Phan Đoàn Kim Nhung </v>
          </cell>
        </row>
        <row r="1464">
          <cell r="A1464">
            <v>122025</v>
          </cell>
          <cell r="H1464" t="str">
            <v xml:space="preserve">Phan Đoàn Kim Nhung </v>
          </cell>
        </row>
        <row r="1465">
          <cell r="A1465">
            <v>122025</v>
          </cell>
          <cell r="H1465" t="str">
            <v xml:space="preserve">Phan Đoàn Kim Nhung </v>
          </cell>
        </row>
        <row r="1466">
          <cell r="A1466">
            <v>122025</v>
          </cell>
          <cell r="H1466" t="str">
            <v>Cong ty TNHH Fintecs</v>
          </cell>
        </row>
        <row r="1467">
          <cell r="A1467">
            <v>122025</v>
          </cell>
          <cell r="H1467" t="str">
            <v>Cong ty TNHH Fintecs</v>
          </cell>
        </row>
        <row r="1468">
          <cell r="A1468">
            <v>122025</v>
          </cell>
          <cell r="H1468" t="str">
            <v>Nguyen Thi Thanh Thanh</v>
          </cell>
        </row>
        <row r="1469">
          <cell r="A1469">
            <v>122025</v>
          </cell>
          <cell r="H1469" t="str">
            <v>Nguyen Thi Thanh Thanh</v>
          </cell>
        </row>
        <row r="1470">
          <cell r="A1470">
            <v>122025</v>
          </cell>
          <cell r="H1470" t="str">
            <v>Nguyen Thi Thanh Thanh</v>
          </cell>
        </row>
        <row r="1471">
          <cell r="A1471">
            <v>122025</v>
          </cell>
          <cell r="H1471" t="str">
            <v>Nguyen Thi Thanh Thanh</v>
          </cell>
        </row>
        <row r="1472">
          <cell r="A1472">
            <v>122025</v>
          </cell>
          <cell r="H1472" t="str">
            <v>Nguyen Dang Hai Sam</v>
          </cell>
        </row>
        <row r="1473">
          <cell r="A1473">
            <v>122025</v>
          </cell>
          <cell r="H1473" t="str">
            <v>Nguyen Dang Hai Sam</v>
          </cell>
        </row>
        <row r="1474">
          <cell r="A1474">
            <v>122025</v>
          </cell>
          <cell r="H1474" t="str">
            <v>Cong ty TNHH Huu Nghi</v>
          </cell>
        </row>
        <row r="1475">
          <cell r="A1475">
            <v>122025</v>
          </cell>
          <cell r="H1475" t="str">
            <v>Cong ty TNHH Huu Nghi</v>
          </cell>
        </row>
        <row r="1476">
          <cell r="A1476">
            <v>122025</v>
          </cell>
          <cell r="H1476" t="str">
            <v xml:space="preserve">Nguyễn Minh Huyền </v>
          </cell>
        </row>
        <row r="1477">
          <cell r="A1477">
            <v>122025</v>
          </cell>
          <cell r="H1477" t="str">
            <v xml:space="preserve">Nguyễn Minh Huyền </v>
          </cell>
        </row>
        <row r="1478">
          <cell r="A1478">
            <v>122025</v>
          </cell>
          <cell r="H1478" t="str">
            <v>Công ty TNHH Thương mại và Du lịch ALOBAY</v>
          </cell>
        </row>
        <row r="1479">
          <cell r="A1479">
            <v>122025</v>
          </cell>
          <cell r="H1479" t="str">
            <v>Công ty TNHH Thương mại và Du lịch ALOBAY</v>
          </cell>
        </row>
        <row r="1480">
          <cell r="A1480">
            <v>122025</v>
          </cell>
          <cell r="H1480" t="str">
            <v>Bui Thi Huong</v>
          </cell>
        </row>
        <row r="1481">
          <cell r="A1481">
            <v>122025</v>
          </cell>
          <cell r="H1481" t="str">
            <v>Bui Thi Huong</v>
          </cell>
        </row>
        <row r="1482">
          <cell r="A1482">
            <v>122025</v>
          </cell>
          <cell r="H1482" t="str">
            <v>Công ty TNHH MTV Hop Nhat Thanh</v>
          </cell>
        </row>
        <row r="1483">
          <cell r="A1483">
            <v>122025</v>
          </cell>
          <cell r="H1483" t="str">
            <v>Công ty TNHH MTV Hop Nhat Thanh</v>
          </cell>
        </row>
        <row r="1484">
          <cell r="A1484">
            <v>122025</v>
          </cell>
          <cell r="H1484" t="str">
            <v>Cong ty TNHH Thuong Mai va Du lich Noi Bai</v>
          </cell>
        </row>
        <row r="1485">
          <cell r="A1485">
            <v>122025</v>
          </cell>
          <cell r="H1485" t="str">
            <v>Cong ty TNHH Thuong Mai va Du lich Noi Bai</v>
          </cell>
        </row>
        <row r="1486">
          <cell r="A1486">
            <v>122025</v>
          </cell>
          <cell r="H1486" t="str">
            <v>Công ty TNHH Công nghệ Tin học Phi Long</v>
          </cell>
        </row>
        <row r="1487">
          <cell r="A1487">
            <v>122025</v>
          </cell>
          <cell r="H1487" t="str">
            <v>Công ty TNHH Công nghệ Tin học Phi Long</v>
          </cell>
        </row>
        <row r="1488">
          <cell r="A1488">
            <v>122025</v>
          </cell>
          <cell r="H1488" t="str">
            <v>Cong ty TNHH TM&amp;DV Dai Tien Thanh</v>
          </cell>
        </row>
        <row r="1489">
          <cell r="A1489">
            <v>122025</v>
          </cell>
          <cell r="H1489" t="str">
            <v>Cong ty TNHH TM&amp;DV Dai Tien Thanh</v>
          </cell>
        </row>
        <row r="1490">
          <cell r="A1490">
            <v>122025</v>
          </cell>
          <cell r="H1490" t="str">
            <v>Bui Thi Huong</v>
          </cell>
        </row>
        <row r="1491">
          <cell r="A1491">
            <v>122025</v>
          </cell>
          <cell r="H1491" t="str">
            <v>Bui Thi Huong</v>
          </cell>
        </row>
        <row r="1492">
          <cell r="A1492">
            <v>122025</v>
          </cell>
          <cell r="H1492" t="str">
            <v>Công ty TNHH MTV Hop Nhat Thanh</v>
          </cell>
        </row>
        <row r="1493">
          <cell r="A1493">
            <v>122025</v>
          </cell>
          <cell r="H1493" t="str">
            <v>Công ty TNHH MTV Hop Nhat Thanh</v>
          </cell>
        </row>
        <row r="1494">
          <cell r="A1494">
            <v>122025</v>
          </cell>
          <cell r="H1494" t="str">
            <v>Cong ty TNHH Thuong Mai va Du lich Noi Bai</v>
          </cell>
        </row>
        <row r="1495">
          <cell r="A1495">
            <v>122025</v>
          </cell>
          <cell r="H1495" t="str">
            <v>Cong ty TNHH Thuong Mai va Du lich Noi Bai</v>
          </cell>
        </row>
        <row r="1496">
          <cell r="A1496">
            <v>122025</v>
          </cell>
          <cell r="H1496" t="str">
            <v>Cong ty TNHH Huu Nghi</v>
          </cell>
        </row>
        <row r="1497">
          <cell r="A1497">
            <v>122025</v>
          </cell>
          <cell r="H1497" t="str">
            <v>Cong ty TNHH Huu Nghi</v>
          </cell>
        </row>
        <row r="1498">
          <cell r="A1498">
            <v>122025</v>
          </cell>
          <cell r="H1498" t="str">
            <v xml:space="preserve">Cong ty TNHH In Trung Khoa </v>
          </cell>
        </row>
        <row r="1499">
          <cell r="A1499">
            <v>122025</v>
          </cell>
          <cell r="H1499" t="str">
            <v xml:space="preserve">Cong ty TNHH In Trung Khoa </v>
          </cell>
        </row>
        <row r="1500">
          <cell r="A1500">
            <v>122025</v>
          </cell>
          <cell r="H1500" t="str">
            <v>Công ty TNHH Thi Phuc</v>
          </cell>
        </row>
        <row r="1501">
          <cell r="A1501">
            <v>122025</v>
          </cell>
          <cell r="H1501" t="str">
            <v>Công ty TNHH Thi Phuc</v>
          </cell>
        </row>
        <row r="1502">
          <cell r="A1502">
            <v>122025</v>
          </cell>
          <cell r="H1502" t="str">
            <v>Vu Thi Thu Thuy</v>
          </cell>
        </row>
        <row r="1503">
          <cell r="A1503">
            <v>122025</v>
          </cell>
          <cell r="H1503" t="str">
            <v>Vu Thi Thu Thuy</v>
          </cell>
        </row>
        <row r="1504">
          <cell r="A1504">
            <v>122025</v>
          </cell>
          <cell r="H1504" t="str">
            <v>Bui Thi Huong</v>
          </cell>
        </row>
        <row r="1505">
          <cell r="A1505">
            <v>122025</v>
          </cell>
          <cell r="H1505" t="str">
            <v>Bui Thi Huong</v>
          </cell>
        </row>
        <row r="1506">
          <cell r="A1506">
            <v>122025</v>
          </cell>
          <cell r="H1506" t="str">
            <v>Công ty TNHH MTV Hop Nhat Thanh</v>
          </cell>
        </row>
        <row r="1507">
          <cell r="A1507">
            <v>122025</v>
          </cell>
          <cell r="H1507" t="str">
            <v>Công ty TNHH MTV Hop Nhat Thanh</v>
          </cell>
        </row>
        <row r="1508">
          <cell r="A1508">
            <v>122025</v>
          </cell>
          <cell r="H1508" t="str">
            <v>Vietcombank</v>
          </cell>
        </row>
        <row r="1509">
          <cell r="A1509">
            <v>122025</v>
          </cell>
          <cell r="H1509" t="str">
            <v>Vietcombank</v>
          </cell>
        </row>
        <row r="1510">
          <cell r="A1510">
            <v>122025</v>
          </cell>
          <cell r="H1510" t="str">
            <v>Vietcombank</v>
          </cell>
        </row>
        <row r="1511">
          <cell r="A1511">
            <v>122025</v>
          </cell>
          <cell r="H1511" t="str">
            <v>Service Center for Foreign Affairs</v>
          </cell>
        </row>
        <row r="1512">
          <cell r="A1512">
            <v>122025</v>
          </cell>
          <cell r="H1512" t="str">
            <v>Service Center for Foreign Affairs</v>
          </cell>
        </row>
        <row r="1513">
          <cell r="A1513">
            <v>122025</v>
          </cell>
          <cell r="H1513" t="str">
            <v>OSVN trainers and staffs</v>
          </cell>
        </row>
        <row r="1514">
          <cell r="A1514">
            <v>122025</v>
          </cell>
          <cell r="H1514" t="str">
            <v>OSVN trainers and staffs</v>
          </cell>
        </row>
        <row r="1515">
          <cell r="A1515">
            <v>122025</v>
          </cell>
          <cell r="H1515" t="str">
            <v>Bui Thi Huong</v>
          </cell>
          <cell r="BB1515">
            <v>11764000</v>
          </cell>
        </row>
        <row r="1516">
          <cell r="A1516">
            <v>122025</v>
          </cell>
          <cell r="H1516" t="str">
            <v>Tran Thi Que Chi</v>
          </cell>
        </row>
        <row r="1517">
          <cell r="A1517">
            <v>122025</v>
          </cell>
          <cell r="H1517" t="str">
            <v>Tran Thi Que Chi</v>
          </cell>
        </row>
        <row r="1518">
          <cell r="A1518">
            <v>122025</v>
          </cell>
          <cell r="H1518" t="str">
            <v>Tran Thi Que Chi</v>
          </cell>
        </row>
        <row r="1519">
          <cell r="A1519">
            <v>122025</v>
          </cell>
          <cell r="H1519" t="str">
            <v>Nguyen Thi Tram Anh</v>
          </cell>
        </row>
        <row r="1520">
          <cell r="A1520">
            <v>122025</v>
          </cell>
          <cell r="H1520" t="str">
            <v>Nguyen Thi Tram Anh</v>
          </cell>
        </row>
        <row r="1521">
          <cell r="A1521">
            <v>122025</v>
          </cell>
          <cell r="H1521" t="str">
            <v>Công ty TNHH MTV Hop Nhat Thanh</v>
          </cell>
        </row>
        <row r="1522">
          <cell r="A1522">
            <v>122025</v>
          </cell>
          <cell r="H1522" t="str">
            <v>Công ty TNHH MTV Hop Nhat Thanh</v>
          </cell>
        </row>
        <row r="1523">
          <cell r="A1523">
            <v>122025</v>
          </cell>
          <cell r="H1523" t="str">
            <v>Tran Thi Que Chi</v>
          </cell>
        </row>
        <row r="1524">
          <cell r="A1524">
            <v>122025</v>
          </cell>
          <cell r="H1524" t="str">
            <v>Tran Thi Que Chi</v>
          </cell>
        </row>
        <row r="1525">
          <cell r="A1525">
            <v>122025</v>
          </cell>
          <cell r="H1525" t="str">
            <v>Vu Thi Thu Thuy</v>
          </cell>
        </row>
        <row r="1526">
          <cell r="A1526">
            <v>122025</v>
          </cell>
          <cell r="H1526" t="str">
            <v>Vu Thi Thu Thuy</v>
          </cell>
        </row>
        <row r="1527">
          <cell r="A1527">
            <v>122025</v>
          </cell>
          <cell r="H1527" t="str">
            <v>Le Thi Thu Hanh</v>
          </cell>
        </row>
        <row r="1528">
          <cell r="A1528">
            <v>122025</v>
          </cell>
          <cell r="H1528" t="str">
            <v>Le Thi Thu Hanh</v>
          </cell>
        </row>
        <row r="1529">
          <cell r="A1529">
            <v>122025</v>
          </cell>
          <cell r="H1529" t="str">
            <v>Nguyen Thi Thanh Thanh</v>
          </cell>
        </row>
        <row r="1530">
          <cell r="A1530">
            <v>122025</v>
          </cell>
          <cell r="H1530" t="str">
            <v>Nguyen Thi Thanh Thanh</v>
          </cell>
        </row>
        <row r="1531">
          <cell r="A1531">
            <v>122025</v>
          </cell>
          <cell r="H1531" t="str">
            <v>Công ty TNHH MTV Hop Nhat Thanh</v>
          </cell>
        </row>
        <row r="1532">
          <cell r="A1532">
            <v>122025</v>
          </cell>
          <cell r="H1532" t="str">
            <v>Công ty TNHH MTV Hop Nhat Thanh</v>
          </cell>
        </row>
        <row r="1533">
          <cell r="A1533">
            <v>122025</v>
          </cell>
          <cell r="H1533" t="str">
            <v xml:space="preserve">Huỳnh Mỹ Ngọc </v>
          </cell>
        </row>
        <row r="1534">
          <cell r="A1534">
            <v>122025</v>
          </cell>
          <cell r="H1534" t="str">
            <v xml:space="preserve">Huỳnh Mỹ Ngọc </v>
          </cell>
        </row>
        <row r="1535">
          <cell r="A1535">
            <v>122025</v>
          </cell>
          <cell r="H1535" t="str">
            <v>Cong ty TNHH MTV A-X</v>
          </cell>
          <cell r="AR1535">
            <v>51987960</v>
          </cell>
        </row>
        <row r="1536">
          <cell r="A1536">
            <v>122025</v>
          </cell>
          <cell r="H1536" t="str">
            <v>Cong ty TNHH MTV A-X</v>
          </cell>
        </row>
        <row r="1537">
          <cell r="A1537">
            <v>122025</v>
          </cell>
          <cell r="H1537" t="str">
            <v>Nguyen Thi Thuc An</v>
          </cell>
        </row>
        <row r="1538">
          <cell r="A1538">
            <v>122025</v>
          </cell>
          <cell r="H1538" t="str">
            <v>Nguyen Thi Thuc An</v>
          </cell>
        </row>
        <row r="1539">
          <cell r="A1539">
            <v>122025</v>
          </cell>
          <cell r="H1539" t="str">
            <v>Cong ty TNHH TM&amp;DV Duc Chi Nguyen</v>
          </cell>
        </row>
        <row r="1540">
          <cell r="A1540">
            <v>122025</v>
          </cell>
          <cell r="H1540" t="str">
            <v>Cong ty TNHH TM&amp;DV Duc Chi Nguyen</v>
          </cell>
        </row>
        <row r="1541">
          <cell r="A1541">
            <v>122025</v>
          </cell>
          <cell r="H1541" t="str">
            <v>Viễn thông Đà Nẵng - Tập đoàn Bưu chính Viễn thông Việt Nam</v>
          </cell>
        </row>
        <row r="1542">
          <cell r="A1542">
            <v>122025</v>
          </cell>
          <cell r="H1542" t="str">
            <v>Viễn thông Đà Nẵng - Tập đoàn Bưu chính Viễn thông Việt Nam</v>
          </cell>
        </row>
        <row r="1543">
          <cell r="A1543">
            <v>122025</v>
          </cell>
          <cell r="H1543" t="str">
            <v>Le Ngoc Bich Hien</v>
          </cell>
        </row>
        <row r="1544">
          <cell r="A1544">
            <v>122025</v>
          </cell>
          <cell r="H1544" t="str">
            <v>Le Ngoc Bich Hien</v>
          </cell>
        </row>
        <row r="1545">
          <cell r="A1545">
            <v>122025</v>
          </cell>
          <cell r="H1545" t="str">
            <v>Công ty TNHH MTV Hop Nhat Thanh</v>
          </cell>
        </row>
        <row r="1546">
          <cell r="A1546">
            <v>122025</v>
          </cell>
          <cell r="H1546" t="str">
            <v>Công ty TNHH MTV Hop Nhat Thanh</v>
          </cell>
        </row>
        <row r="1547">
          <cell r="A1547">
            <v>122025</v>
          </cell>
          <cell r="H1547" t="str">
            <v>MOET staffs</v>
          </cell>
        </row>
        <row r="1548">
          <cell r="A1548">
            <v>122025</v>
          </cell>
          <cell r="H1548" t="str">
            <v>MOET staffs</v>
          </cell>
        </row>
        <row r="1549">
          <cell r="A1549">
            <v>122025</v>
          </cell>
          <cell r="H1549" t="str">
            <v>Cong ty TNHH Grab</v>
          </cell>
        </row>
        <row r="1550">
          <cell r="A1550">
            <v>122025</v>
          </cell>
          <cell r="H1550" t="str">
            <v>Cong ty TNHH Grab</v>
          </cell>
        </row>
        <row r="1551">
          <cell r="A1551">
            <v>122025</v>
          </cell>
          <cell r="H1551" t="str">
            <v>Cong ty TNHH 1983 MEDIA</v>
          </cell>
        </row>
        <row r="1552">
          <cell r="A1552">
            <v>122025</v>
          </cell>
          <cell r="H1552" t="str">
            <v>Cong ty TNHH 1983 MEDIA</v>
          </cell>
        </row>
        <row r="1553">
          <cell r="A1553">
            <v>122025</v>
          </cell>
          <cell r="H1553" t="str">
            <v>Chi nhánh Công ty Cổ phần Viễn thông FPT</v>
          </cell>
        </row>
        <row r="1554">
          <cell r="A1554">
            <v>122025</v>
          </cell>
          <cell r="H1554" t="str">
            <v>Chi nhánh Công ty Cổ phần Viễn thông FPT</v>
          </cell>
        </row>
        <row r="1555">
          <cell r="A1555">
            <v>122025</v>
          </cell>
          <cell r="H1555" t="str">
            <v>Uông Thị Mai Trang</v>
          </cell>
        </row>
        <row r="1556">
          <cell r="A1556">
            <v>122025</v>
          </cell>
          <cell r="H1556" t="str">
            <v>Uông Thị Mai Trang</v>
          </cell>
        </row>
        <row r="1557">
          <cell r="A1557">
            <v>122025</v>
          </cell>
          <cell r="H1557" t="str">
            <v>Nguyen Thi Minh Ngoc</v>
          </cell>
        </row>
        <row r="1558">
          <cell r="A1558">
            <v>122025</v>
          </cell>
          <cell r="H1558" t="str">
            <v>Nguyen Thi Minh Ngoc</v>
          </cell>
        </row>
        <row r="1559">
          <cell r="A1559">
            <v>122025</v>
          </cell>
          <cell r="H1559" t="str">
            <v>Nguyen Minh Huyen</v>
          </cell>
        </row>
        <row r="1560">
          <cell r="A1560">
            <v>122025</v>
          </cell>
          <cell r="H1560" t="str">
            <v>Nguyen Minh Huyen</v>
          </cell>
          <cell r="AX1560">
            <v>112744122</v>
          </cell>
        </row>
        <row r="1561">
          <cell r="A1561">
            <v>122025</v>
          </cell>
          <cell r="H1561" t="str">
            <v>Nguyen Minh Huyen</v>
          </cell>
        </row>
        <row r="1562">
          <cell r="A1562">
            <v>122025</v>
          </cell>
          <cell r="H1562" t="str">
            <v>Nguyen Mai Ngoc Hong Quyen</v>
          </cell>
        </row>
        <row r="1563">
          <cell r="A1563">
            <v>122025</v>
          </cell>
          <cell r="H1563" t="str">
            <v>Nguyen Mai Ngoc Hong Quyen</v>
          </cell>
        </row>
        <row r="1564">
          <cell r="A1564">
            <v>122025</v>
          </cell>
          <cell r="H1564" t="str">
            <v>Ho Lam Hong</v>
          </cell>
        </row>
        <row r="1565">
          <cell r="A1565">
            <v>122025</v>
          </cell>
          <cell r="H1565" t="str">
            <v>Ho Lam Hong</v>
          </cell>
        </row>
        <row r="1566">
          <cell r="A1566">
            <v>122025</v>
          </cell>
          <cell r="H1566" t="str">
            <v xml:space="preserve">Phan Đoàn Kim Nhung </v>
          </cell>
        </row>
        <row r="1567">
          <cell r="A1567">
            <v>122025</v>
          </cell>
          <cell r="H1567" t="str">
            <v xml:space="preserve">Phan Đoàn Kim Nhung </v>
          </cell>
        </row>
        <row r="1568">
          <cell r="A1568">
            <v>122025</v>
          </cell>
          <cell r="H1568" t="str">
            <v>Huynh My Ngoc</v>
          </cell>
        </row>
        <row r="1569">
          <cell r="A1569">
            <v>122025</v>
          </cell>
          <cell r="H1569" t="str">
            <v>Huynh My Ngoc</v>
          </cell>
        </row>
        <row r="1570">
          <cell r="A1570">
            <v>122025</v>
          </cell>
          <cell r="H1570" t="str">
            <v xml:space="preserve">Phan Đoàn Kim Nhung </v>
          </cell>
        </row>
        <row r="1571">
          <cell r="A1571">
            <v>122025</v>
          </cell>
          <cell r="H1571" t="str">
            <v xml:space="preserve">Phan Đoàn Kim Nhung </v>
          </cell>
        </row>
        <row r="1572">
          <cell r="A1572">
            <v>122025</v>
          </cell>
          <cell r="H1572" t="str">
            <v>Huynh My Ngoc</v>
          </cell>
        </row>
        <row r="1573">
          <cell r="A1573">
            <v>122025</v>
          </cell>
          <cell r="H1573" t="str">
            <v>Huynh My Ngoc</v>
          </cell>
        </row>
        <row r="1574">
          <cell r="A1574">
            <v>122025</v>
          </cell>
          <cell r="H1574" t="str">
            <v>Pham Thi Dieu Loan</v>
          </cell>
        </row>
        <row r="1575">
          <cell r="A1575">
            <v>122025</v>
          </cell>
          <cell r="H1575" t="str">
            <v>Pham Thi Dieu Loan</v>
          </cell>
        </row>
        <row r="1576">
          <cell r="A1576">
            <v>122025</v>
          </cell>
          <cell r="H1576" t="str">
            <v>Vu Thi Thu Thuy</v>
          </cell>
        </row>
        <row r="1577">
          <cell r="A1577">
            <v>122025</v>
          </cell>
          <cell r="H1577" t="str">
            <v>Vu Thi Thu Thuy</v>
          </cell>
        </row>
        <row r="1578">
          <cell r="A1578">
            <v>122025</v>
          </cell>
          <cell r="H1578" t="str">
            <v>Vo Thi Quynh Thi</v>
          </cell>
        </row>
        <row r="1579">
          <cell r="A1579">
            <v>122025</v>
          </cell>
          <cell r="H1579" t="str">
            <v>Vo Thi Quynh Thi</v>
          </cell>
        </row>
        <row r="1580">
          <cell r="A1580">
            <v>122025</v>
          </cell>
          <cell r="H1580" t="str">
            <v>Hai Duong DOET</v>
          </cell>
        </row>
        <row r="1581">
          <cell r="A1581">
            <v>122025</v>
          </cell>
          <cell r="H1581" t="str">
            <v>Hai Duong DOET</v>
          </cell>
        </row>
        <row r="1582">
          <cell r="A1582">
            <v>122025</v>
          </cell>
          <cell r="H1582" t="str">
            <v>Nguyen Thi Phuong</v>
          </cell>
        </row>
        <row r="1583">
          <cell r="A1583">
            <v>122025</v>
          </cell>
          <cell r="H1583" t="str">
            <v>Nguyen Thi Phuong</v>
          </cell>
        </row>
        <row r="1584">
          <cell r="A1584">
            <v>122025</v>
          </cell>
          <cell r="H1584" t="str">
            <v>Cong ty TNHH Thuong Mai va Du lich Noi Bai</v>
          </cell>
        </row>
        <row r="1585">
          <cell r="A1585">
            <v>122025</v>
          </cell>
          <cell r="H1585" t="str">
            <v>Cong ty TNHH Thuong Mai va Du lich Noi Bai</v>
          </cell>
        </row>
        <row r="1586">
          <cell r="A1586">
            <v>122025</v>
          </cell>
          <cell r="H1586" t="str">
            <v>CONG TY CO PHAN MP LOGISTIC</v>
          </cell>
        </row>
        <row r="1587">
          <cell r="A1587">
            <v>122025</v>
          </cell>
          <cell r="H1587" t="str">
            <v>CONG TY CO PHAN MP LOGISTIC</v>
          </cell>
        </row>
        <row r="1588">
          <cell r="A1588">
            <v>122025</v>
          </cell>
          <cell r="H1588" t="str">
            <v>Nguyen Thi My Hanh</v>
          </cell>
        </row>
        <row r="1589">
          <cell r="A1589">
            <v>122025</v>
          </cell>
          <cell r="H1589" t="str">
            <v>Nguyen Thi My Hanh</v>
          </cell>
        </row>
        <row r="1590">
          <cell r="A1590">
            <v>122025</v>
          </cell>
          <cell r="H1590" t="str">
            <v>Ho Thi Tuong Van</v>
          </cell>
        </row>
        <row r="1591">
          <cell r="A1591">
            <v>122025</v>
          </cell>
          <cell r="H1591" t="str">
            <v>Ho Thi Tuong Van</v>
          </cell>
        </row>
        <row r="1592">
          <cell r="A1592">
            <v>122025</v>
          </cell>
          <cell r="H1592" t="str">
            <v>Mac Thuy Linh</v>
          </cell>
        </row>
        <row r="1593">
          <cell r="A1593">
            <v>122025</v>
          </cell>
          <cell r="H1593" t="str">
            <v>Mac Thuy Linh</v>
          </cell>
        </row>
        <row r="1594">
          <cell r="A1594">
            <v>122025</v>
          </cell>
          <cell r="H1594" t="str">
            <v>Ho Thi Tuong Van</v>
          </cell>
        </row>
        <row r="1595">
          <cell r="A1595">
            <v>122025</v>
          </cell>
          <cell r="H1595" t="str">
            <v>Ho Thi Tuong Van</v>
          </cell>
        </row>
        <row r="1596">
          <cell r="A1596">
            <v>122025</v>
          </cell>
          <cell r="H1596" t="str">
            <v>Mac Thuy Linh</v>
          </cell>
        </row>
        <row r="1597">
          <cell r="A1597">
            <v>122025</v>
          </cell>
          <cell r="H1597" t="str">
            <v>Mac Thuy Linh</v>
          </cell>
        </row>
        <row r="1598">
          <cell r="A1598">
            <v>122025</v>
          </cell>
          <cell r="H1598" t="str">
            <v>ALOBAY</v>
          </cell>
        </row>
        <row r="1599">
          <cell r="A1599">
            <v>122025</v>
          </cell>
          <cell r="H1599" t="str">
            <v>ALOBAY</v>
          </cell>
        </row>
        <row r="1600">
          <cell r="A1600">
            <v>122025</v>
          </cell>
          <cell r="H1600" t="str">
            <v>Mac Thuy Linh</v>
          </cell>
        </row>
        <row r="1601">
          <cell r="A1601">
            <v>122025</v>
          </cell>
          <cell r="H1601" t="str">
            <v>Mac Thuy Linh</v>
          </cell>
        </row>
        <row r="1602">
          <cell r="A1602">
            <v>122025</v>
          </cell>
          <cell r="H1602" t="str">
            <v>Cong ty TNHH Thuong mai dich vu san xuat An Phu Thinh</v>
          </cell>
        </row>
        <row r="1603">
          <cell r="A1603">
            <v>122025</v>
          </cell>
          <cell r="H1603" t="str">
            <v>Cong ty TNHH Thuong mai dich vu san xuat An Phu Thinh</v>
          </cell>
        </row>
        <row r="1604">
          <cell r="A1604">
            <v>122025</v>
          </cell>
          <cell r="H1604" t="str">
            <v>Cong ty TNHH MTV Hop Nhat Thanh</v>
          </cell>
        </row>
        <row r="1605">
          <cell r="A1605">
            <v>122025</v>
          </cell>
          <cell r="H1605" t="str">
            <v>Cong ty TNHH MTV Hop Nhat Thanh</v>
          </cell>
        </row>
        <row r="1606">
          <cell r="A1606">
            <v>122025</v>
          </cell>
          <cell r="H1606" t="str">
            <v>Huynh My Ngoc</v>
          </cell>
        </row>
        <row r="1607">
          <cell r="A1607">
            <v>122025</v>
          </cell>
          <cell r="H1607" t="str">
            <v>Huynh My Ngoc</v>
          </cell>
        </row>
        <row r="1608">
          <cell r="A1608">
            <v>122025</v>
          </cell>
          <cell r="H1608" t="str">
            <v>Nguyen Mai Ngoc Hong Quyen</v>
          </cell>
        </row>
        <row r="1609">
          <cell r="A1609">
            <v>122025</v>
          </cell>
          <cell r="H1609" t="str">
            <v>Nguyen Mai Ngoc Hong Quyen</v>
          </cell>
        </row>
        <row r="1610">
          <cell r="A1610">
            <v>122025</v>
          </cell>
          <cell r="H1610" t="str">
            <v>Hai Duong DOET</v>
          </cell>
        </row>
        <row r="1611">
          <cell r="A1611">
            <v>122025</v>
          </cell>
          <cell r="H1611" t="str">
            <v>Huynh My Ngoc</v>
          </cell>
          <cell r="AZ1611">
            <v>58391990</v>
          </cell>
        </row>
        <row r="1612">
          <cell r="A1612">
            <v>122025</v>
          </cell>
          <cell r="H1612" t="str">
            <v>Huynh My Ngoc</v>
          </cell>
        </row>
        <row r="1613">
          <cell r="A1613">
            <v>122025</v>
          </cell>
          <cell r="H1613" t="str">
            <v>Ho Lam Hong</v>
          </cell>
        </row>
        <row r="1614">
          <cell r="A1614">
            <v>122025</v>
          </cell>
          <cell r="H1614" t="str">
            <v>Ho Lam Hong</v>
          </cell>
        </row>
        <row r="1615">
          <cell r="A1615">
            <v>122025</v>
          </cell>
          <cell r="H1615" t="str">
            <v>Nguyen Minh Huyen</v>
          </cell>
        </row>
        <row r="1616">
          <cell r="A1616">
            <v>122025</v>
          </cell>
          <cell r="H1616" t="str">
            <v>Nguyen Minh Huyen</v>
          </cell>
        </row>
        <row r="1617">
          <cell r="A1617">
            <v>122025</v>
          </cell>
          <cell r="H1617" t="str">
            <v>Huynh My Ngoc</v>
          </cell>
        </row>
        <row r="1618">
          <cell r="A1618">
            <v>122025</v>
          </cell>
          <cell r="H1618" t="str">
            <v>Huynh My Ngoc</v>
          </cell>
        </row>
        <row r="1619">
          <cell r="A1619">
            <v>122025</v>
          </cell>
          <cell r="H1619" t="str">
            <v>Cong ty TNHH MTV Hop Nhat Thanh</v>
          </cell>
        </row>
        <row r="1620">
          <cell r="A1620">
            <v>122025</v>
          </cell>
          <cell r="H1620" t="str">
            <v>Cong ty TNHH MTV Hop Nhat Thanh</v>
          </cell>
        </row>
        <row r="1621">
          <cell r="A1621">
            <v>122025</v>
          </cell>
          <cell r="H1621" t="str">
            <v>Tran Thi Que Chi</v>
          </cell>
        </row>
        <row r="1622">
          <cell r="A1622">
            <v>122025</v>
          </cell>
          <cell r="H1622" t="str">
            <v>Tran Thi Que Chi</v>
          </cell>
        </row>
        <row r="1623">
          <cell r="A1623">
            <v>122025</v>
          </cell>
          <cell r="H1623" t="str">
            <v xml:space="preserve">Vo Thi Hien </v>
          </cell>
        </row>
        <row r="1624">
          <cell r="A1624">
            <v>122025</v>
          </cell>
          <cell r="H1624" t="str">
            <v xml:space="preserve">Vo Thi Hien </v>
          </cell>
        </row>
        <row r="1625">
          <cell r="A1625">
            <v>122025</v>
          </cell>
          <cell r="H1625" t="str">
            <v xml:space="preserve">MP logistic </v>
          </cell>
        </row>
        <row r="1626">
          <cell r="A1626">
            <v>122025</v>
          </cell>
          <cell r="H1626" t="str">
            <v xml:space="preserve">MP logistic </v>
          </cell>
        </row>
        <row r="1627">
          <cell r="A1627">
            <v>122025</v>
          </cell>
          <cell r="H1627" t="str">
            <v xml:space="preserve">Vo Thi Hien </v>
          </cell>
        </row>
        <row r="1628">
          <cell r="A1628">
            <v>122025</v>
          </cell>
          <cell r="H1628" t="str">
            <v>Vietcombank</v>
          </cell>
        </row>
        <row r="1629">
          <cell r="A1629">
            <v>122025</v>
          </cell>
          <cell r="H1629" t="str">
            <v>Vietcombank</v>
          </cell>
        </row>
        <row r="1630">
          <cell r="A1630">
            <v>122025</v>
          </cell>
          <cell r="H1630" t="str">
            <v>Nguyen Hong Kim</v>
          </cell>
        </row>
        <row r="1631">
          <cell r="A1631">
            <v>122025</v>
          </cell>
          <cell r="H1631" t="str">
            <v>Nguyen Hong Kim</v>
          </cell>
        </row>
        <row r="1632">
          <cell r="A1632">
            <v>122025</v>
          </cell>
          <cell r="H1632" t="str">
            <v>Nguyen Hong Kim</v>
          </cell>
        </row>
        <row r="1633">
          <cell r="A1633">
            <v>122025</v>
          </cell>
          <cell r="H1633" t="str">
            <v>C15 - Truong mau giao Binh Phuc</v>
          </cell>
        </row>
        <row r="1634">
          <cell r="A1634">
            <v>122025</v>
          </cell>
          <cell r="H1634" t="str">
            <v>C15 - Truong Mau giao Binh Trung</v>
          </cell>
        </row>
        <row r="1635">
          <cell r="A1635">
            <v>122025</v>
          </cell>
          <cell r="H1635" t="str">
            <v>C15 - Truong Mau giao Dong Phu</v>
          </cell>
        </row>
        <row r="1636">
          <cell r="A1636">
            <v>122025</v>
          </cell>
          <cell r="H1636" t="str">
            <v>C15 - Truong Mau giao Ha Lam</v>
          </cell>
        </row>
        <row r="1637">
          <cell r="A1637">
            <v>122025</v>
          </cell>
          <cell r="H1637" t="str">
            <v>C15 - Truong mau giao Huong An</v>
          </cell>
        </row>
        <row r="1638">
          <cell r="A1638">
            <v>122025</v>
          </cell>
          <cell r="H1638" t="str">
            <v>C15 - Truong Mau giao Que Xuan 2</v>
          </cell>
        </row>
        <row r="1639">
          <cell r="A1639">
            <v>122025</v>
          </cell>
          <cell r="H1639" t="str">
            <v>PD6 - Truong Mam non 24/3</v>
          </cell>
        </row>
        <row r="1640">
          <cell r="A1640">
            <v>122025</v>
          </cell>
          <cell r="H1640" t="str">
            <v>PD6 - Truong Mau Giao Anh Dao (Phu Ninh 1)</v>
          </cell>
        </row>
        <row r="1641">
          <cell r="A1641">
            <v>122025</v>
          </cell>
          <cell r="H1641" t="str">
            <v>PD6 - Truong Mau Giao Anh Dao (Tam Ky 3)</v>
          </cell>
        </row>
        <row r="1642">
          <cell r="A1642">
            <v>122025</v>
          </cell>
          <cell r="H1642" t="str">
            <v>PD6 - Truong Mau Giao Anh Duong</v>
          </cell>
        </row>
        <row r="1643">
          <cell r="A1643">
            <v>122025</v>
          </cell>
          <cell r="H1643" t="str">
            <v>PD6 - Truong Mau giao Hoa Sen</v>
          </cell>
        </row>
        <row r="1644">
          <cell r="A1644">
            <v>122025</v>
          </cell>
          <cell r="H1644" t="str">
            <v>PD6 - Truong Mau giao Son Ca</v>
          </cell>
        </row>
        <row r="1645">
          <cell r="A1645">
            <v>122025</v>
          </cell>
          <cell r="H1645" t="str">
            <v>TOT2 - Truong Mau giao Ha Lam</v>
          </cell>
        </row>
        <row r="1646">
          <cell r="A1646">
            <v>122025</v>
          </cell>
          <cell r="H1646" t="str">
            <v>TOT2 - Truong Mau giao Son Ca</v>
          </cell>
        </row>
        <row r="1647">
          <cell r="A1647">
            <v>122025</v>
          </cell>
        </row>
        <row r="1648">
          <cell r="A1648">
            <v>122025</v>
          </cell>
        </row>
        <row r="1649">
          <cell r="A1649">
            <v>122025</v>
          </cell>
        </row>
        <row r="1650">
          <cell r="A1650">
            <v>122025</v>
          </cell>
          <cell r="BA1650">
            <v>0</v>
          </cell>
        </row>
        <row r="1651">
          <cell r="A1651">
            <v>122025</v>
          </cell>
          <cell r="H1651" t="str">
            <v>Hai Duong DOET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-155409188</v>
          </cell>
          <cell r="AW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</row>
        <row r="1652">
          <cell r="A1652">
            <v>122025</v>
          </cell>
          <cell r="H1652" t="str">
            <v>Tran Thi Que Chi</v>
          </cell>
          <cell r="AP1652">
            <v>0</v>
          </cell>
          <cell r="AQ1652">
            <v>0</v>
          </cell>
          <cell r="AR1652">
            <v>0</v>
          </cell>
          <cell r="AS1652">
            <v>-1613526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</row>
        <row r="1653">
          <cell r="A1653" t="str">
            <v>-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</row>
        <row r="1655">
          <cell r="H1655" t="str">
            <v>Vietcombank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</row>
        <row r="1656">
          <cell r="H1656" t="str">
            <v>So GD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</row>
        <row r="1657"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</row>
        <row r="1660">
          <cell r="AQ1660" t="str">
            <v>Approved by</v>
          </cell>
        </row>
      </sheetData>
      <sheetData sheetId="5"/>
      <sheetData sheetId="6"/>
      <sheetData sheetId="7"/>
      <sheetData sheetId="8"/>
      <sheetData sheetId="9">
        <row r="3">
          <cell r="E3" t="str">
            <v>VNELC</v>
          </cell>
        </row>
        <row r="6">
          <cell r="E6">
            <v>0.5</v>
          </cell>
          <cell r="F6">
            <v>0.1</v>
          </cell>
          <cell r="G6">
            <v>0.1</v>
          </cell>
          <cell r="H6">
            <v>0.1</v>
          </cell>
          <cell r="J6">
            <v>0.2</v>
          </cell>
        </row>
        <row r="7">
          <cell r="E7">
            <v>0</v>
          </cell>
          <cell r="F7">
            <v>0.2</v>
          </cell>
          <cell r="G7">
            <v>0.2</v>
          </cell>
          <cell r="H7">
            <v>0.2</v>
          </cell>
          <cell r="J7">
            <v>0.4</v>
          </cell>
        </row>
        <row r="8">
          <cell r="E8">
            <v>0</v>
          </cell>
          <cell r="F8">
            <v>0.2</v>
          </cell>
          <cell r="G8">
            <v>0.2</v>
          </cell>
          <cell r="H8">
            <v>0.2</v>
          </cell>
          <cell r="J8">
            <v>0.4</v>
          </cell>
        </row>
        <row r="9">
          <cell r="E9">
            <v>0</v>
          </cell>
          <cell r="F9">
            <v>0</v>
          </cell>
          <cell r="G9">
            <v>0</v>
          </cell>
          <cell r="H9">
            <v>0</v>
          </cell>
          <cell r="J9">
            <v>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J10">
            <v>1</v>
          </cell>
        </row>
        <row r="11">
          <cell r="E11">
            <v>0</v>
          </cell>
          <cell r="F11">
            <v>0.2</v>
          </cell>
          <cell r="G11">
            <v>0.2</v>
          </cell>
          <cell r="H11">
            <v>0.2</v>
          </cell>
          <cell r="J11">
            <v>0.4</v>
          </cell>
        </row>
        <row r="12">
          <cell r="E12">
            <v>0</v>
          </cell>
          <cell r="F12">
            <v>0.2</v>
          </cell>
          <cell r="G12">
            <v>0.2</v>
          </cell>
          <cell r="H12">
            <v>0.2</v>
          </cell>
          <cell r="J12">
            <v>0.4</v>
          </cell>
        </row>
        <row r="13">
          <cell r="E13">
            <v>0</v>
          </cell>
          <cell r="F13">
            <v>0.2</v>
          </cell>
          <cell r="G13">
            <v>0.2</v>
          </cell>
          <cell r="H13">
            <v>0.2</v>
          </cell>
          <cell r="J13">
            <v>0.4</v>
          </cell>
        </row>
        <row r="14">
          <cell r="F14">
            <v>0.1</v>
          </cell>
          <cell r="G14">
            <v>0.1</v>
          </cell>
          <cell r="H14">
            <v>0.1</v>
          </cell>
        </row>
        <row r="15">
          <cell r="E15">
            <v>0.15</v>
          </cell>
          <cell r="F15">
            <v>0.16999999999999998</v>
          </cell>
          <cell r="G15">
            <v>0.16999999999999998</v>
          </cell>
          <cell r="H15">
            <v>0.16999999999999998</v>
          </cell>
          <cell r="J15">
            <v>0.33999999999999997</v>
          </cell>
        </row>
        <row r="16">
          <cell r="E16">
            <v>0.5</v>
          </cell>
          <cell r="F16">
            <v>0.1</v>
          </cell>
          <cell r="G16">
            <v>0.1</v>
          </cell>
          <cell r="H16">
            <v>0.1</v>
          </cell>
          <cell r="J16">
            <v>0.2</v>
          </cell>
        </row>
        <row r="17">
          <cell r="E17">
            <v>0.15</v>
          </cell>
          <cell r="F17">
            <v>0.16999999999999998</v>
          </cell>
          <cell r="G17">
            <v>0.16999999999999998</v>
          </cell>
          <cell r="H17">
            <v>0.16999999999999998</v>
          </cell>
          <cell r="J17">
            <v>0.33999999999999997</v>
          </cell>
        </row>
        <row r="18">
          <cell r="E18">
            <v>0.15</v>
          </cell>
          <cell r="F18">
            <v>0.16999999999999998</v>
          </cell>
          <cell r="G18">
            <v>0.16999999999999998</v>
          </cell>
          <cell r="H18">
            <v>0.16999999999999998</v>
          </cell>
          <cell r="J18">
            <v>0.33999999999999997</v>
          </cell>
        </row>
        <row r="19">
          <cell r="E19">
            <v>0.15</v>
          </cell>
          <cell r="F19">
            <v>0.16999999999999998</v>
          </cell>
          <cell r="G19">
            <v>0.16999999999999998</v>
          </cell>
          <cell r="H19">
            <v>0.16999999999999998</v>
          </cell>
          <cell r="J19">
            <v>0.33999999999999997</v>
          </cell>
        </row>
        <row r="20">
          <cell r="E20">
            <v>0</v>
          </cell>
          <cell r="F20">
            <v>0.2</v>
          </cell>
          <cell r="G20">
            <v>0.2</v>
          </cell>
          <cell r="H20">
            <v>0.2</v>
          </cell>
          <cell r="J20">
            <v>0.4</v>
          </cell>
        </row>
        <row r="21">
          <cell r="E21">
            <v>0</v>
          </cell>
          <cell r="F21">
            <v>0.2</v>
          </cell>
          <cell r="G21">
            <v>0.2</v>
          </cell>
          <cell r="H21">
            <v>0.2</v>
          </cell>
          <cell r="J21">
            <v>0.4</v>
          </cell>
        </row>
        <row r="22">
          <cell r="E22">
            <v>1</v>
          </cell>
        </row>
      </sheetData>
      <sheetData sheetId="10"/>
      <sheetData sheetId="11">
        <row r="3">
          <cell r="E3" t="str">
            <v>VNELC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T+SI payment"/>
      <sheetName val="30 Bank VN Vietnam (VND)"/>
      <sheetName val="29 Bank VN Vietnam (USD)"/>
      <sheetName val="34 Bank VN Vietnam (VND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7513-B5C2-2C4C-B79D-212C1CC86E95}">
  <sheetPr>
    <pageSetUpPr fitToPage="1"/>
  </sheetPr>
  <dimension ref="A2:AK24"/>
  <sheetViews>
    <sheetView tabSelected="1" zoomScale="85" zoomScaleNormal="85" workbookViewId="0">
      <selection activeCell="G32" sqref="G32"/>
    </sheetView>
  </sheetViews>
  <sheetFormatPr baseColWidth="10" defaultColWidth="9" defaultRowHeight="15" x14ac:dyDescent="0.2"/>
  <cols>
    <col min="1" max="1" width="9" style="1"/>
    <col min="2" max="2" width="34" style="1" hidden="1" customWidth="1"/>
    <col min="3" max="3" width="7" style="1" hidden="1" customWidth="1"/>
    <col min="4" max="4" width="40.1640625" style="1" customWidth="1"/>
    <col min="5" max="8" width="9" style="1"/>
    <col min="9" max="9" width="0" style="1" hidden="1" customWidth="1"/>
    <col min="10" max="10" width="20.83203125" style="1" customWidth="1"/>
    <col min="11" max="11" width="9" style="1"/>
    <col min="12" max="12" width="11.1640625" style="1" customWidth="1"/>
    <col min="13" max="13" width="10" style="1" hidden="1" customWidth="1"/>
    <col min="14" max="14" width="0" style="1" hidden="1" customWidth="1"/>
    <col min="15" max="15" width="14.6640625" style="1" hidden="1" customWidth="1"/>
    <col min="16" max="16" width="12.5" style="1" hidden="1" customWidth="1"/>
    <col min="17" max="17" width="13.5" style="1" hidden="1" customWidth="1"/>
    <col min="18" max="23" width="13.6640625" style="1" hidden="1" customWidth="1"/>
    <col min="24" max="27" width="7.83203125" style="1" hidden="1" customWidth="1"/>
    <col min="28" max="28" width="10.83203125" style="1" hidden="1" customWidth="1"/>
    <col min="29" max="29" width="15.5" style="1" hidden="1" customWidth="1"/>
    <col min="30" max="34" width="14.1640625" style="1" hidden="1" customWidth="1"/>
    <col min="35" max="35" width="19" style="1" hidden="1" customWidth="1"/>
    <col min="36" max="36" width="16" style="1" hidden="1" customWidth="1"/>
    <col min="37" max="37" width="0" style="1" hidden="1" customWidth="1"/>
    <col min="38" max="16384" width="9" style="1"/>
  </cols>
  <sheetData>
    <row r="2" spans="1:37" x14ac:dyDescent="0.2">
      <c r="D2" s="1" t="s">
        <v>62</v>
      </c>
      <c r="E2" s="36"/>
      <c r="F2" s="36"/>
      <c r="G2" s="36"/>
      <c r="H2" s="36"/>
      <c r="I2" s="36"/>
      <c r="J2" s="36"/>
      <c r="K2" s="36"/>
    </row>
    <row r="3" spans="1:37" ht="32" x14ac:dyDescent="0.2">
      <c r="D3" s="35" t="s">
        <v>61</v>
      </c>
      <c r="E3" s="34" t="s">
        <v>60</v>
      </c>
      <c r="F3" s="34" t="s">
        <v>59</v>
      </c>
      <c r="G3" s="34" t="s">
        <v>58</v>
      </c>
      <c r="H3" s="34" t="s">
        <v>57</v>
      </c>
      <c r="I3" s="34" t="s">
        <v>56</v>
      </c>
      <c r="J3" s="34" t="s">
        <v>55</v>
      </c>
      <c r="K3" s="33"/>
      <c r="O3" s="1" t="str">
        <f>'[1]C&amp;G Ledger_allocation'!AP9</f>
        <v>ELC Operation</v>
      </c>
      <c r="P3" s="1" t="str">
        <f>'[1]C&amp;G Ledger_allocation'!AQ9</f>
        <v>ELC training</v>
      </c>
      <c r="Q3" s="1" t="str">
        <f>'[1]C&amp;G Ledger_allocation'!AR9</f>
        <v>In support</v>
      </c>
      <c r="R3" s="1" t="str">
        <f>'[1]C&amp;G Ledger_allocation'!AS9</f>
        <v>General VN</v>
      </c>
      <c r="S3" s="1" t="str">
        <f>'[1]C&amp;G Ledger_allocation'!AT9</f>
        <v>DN ICC</v>
      </c>
      <c r="T3" s="1" t="str">
        <f>'[1]C&amp;G Ledger_allocation'!AU9</f>
        <v>QN ICC</v>
      </c>
      <c r="U3" s="1" t="str">
        <f>'[1]C&amp;G Ledger_allocation'!AV9</f>
        <v>HD ICC</v>
      </c>
      <c r="V3" s="1" t="str">
        <f>'[1]C&amp;G Ledger_allocation'!AW9</f>
        <v>QNg ICC</v>
      </c>
      <c r="W3" s="1" t="str">
        <f>'[1]C&amp;G Ledger_allocation'!AX9</f>
        <v>MOET</v>
      </c>
      <c r="X3" s="1" t="str">
        <f>'[1]C&amp;G Ledger_allocation'!AY9</f>
        <v>MOET LA</v>
      </c>
      <c r="Y3" s="1" t="str">
        <f>'[1]C&amp;G Ledger_allocation'!AZ9</f>
        <v>MOET HCM</v>
      </c>
      <c r="Z3" s="1" t="str">
        <f>'[1]C&amp;G Ledger_allocation'!BA9</f>
        <v>MOET BD</v>
      </c>
      <c r="AA3" s="1" t="str">
        <f>'[1]C&amp;G Ledger_allocation'!BB9</f>
        <v>MOET BN</v>
      </c>
      <c r="AB3" s="1" t="str">
        <f>'[1]C&amp;G Ledger_allocation'!BC9</f>
        <v>MOET BG</v>
      </c>
    </row>
    <row r="4" spans="1:37" x14ac:dyDescent="0.2">
      <c r="E4" s="33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 t="s">
        <v>54</v>
      </c>
      <c r="O4" s="1" t="s">
        <v>53</v>
      </c>
      <c r="AD4" s="1" t="s">
        <v>52</v>
      </c>
    </row>
    <row r="5" spans="1:37" s="24" customFormat="1" ht="32" x14ac:dyDescent="0.2">
      <c r="A5" s="29" t="s">
        <v>51</v>
      </c>
      <c r="B5" s="32"/>
      <c r="C5" s="29" t="s">
        <v>50</v>
      </c>
      <c r="D5" s="29" t="s">
        <v>49</v>
      </c>
      <c r="E5" s="30" t="s">
        <v>3</v>
      </c>
      <c r="F5" s="30" t="s">
        <v>32</v>
      </c>
      <c r="G5" s="30" t="s">
        <v>31</v>
      </c>
      <c r="H5" s="30" t="s">
        <v>30</v>
      </c>
      <c r="I5" s="30" t="s">
        <v>29</v>
      </c>
      <c r="J5" s="31" t="s">
        <v>28</v>
      </c>
      <c r="K5" s="30" t="s">
        <v>27</v>
      </c>
      <c r="L5" s="29" t="s">
        <v>48</v>
      </c>
      <c r="M5" s="28" t="s">
        <v>47</v>
      </c>
      <c r="N5" s="27" t="s">
        <v>46</v>
      </c>
      <c r="O5" s="26" t="s">
        <v>45</v>
      </c>
      <c r="P5" s="26" t="s">
        <v>33</v>
      </c>
      <c r="Q5" s="26" t="s">
        <v>44</v>
      </c>
      <c r="R5" s="26" t="s">
        <v>43</v>
      </c>
      <c r="S5" s="26" t="s">
        <v>42</v>
      </c>
      <c r="T5" s="26" t="s">
        <v>41</v>
      </c>
      <c r="U5" s="26" t="s">
        <v>40</v>
      </c>
      <c r="V5" s="26" t="s">
        <v>39</v>
      </c>
      <c r="W5" s="26" t="s">
        <v>19</v>
      </c>
      <c r="X5" s="26" t="s">
        <v>38</v>
      </c>
      <c r="Y5" s="26" t="s">
        <v>37</v>
      </c>
      <c r="Z5" s="26" t="s">
        <v>36</v>
      </c>
      <c r="AA5" s="26" t="s">
        <v>35</v>
      </c>
      <c r="AB5" s="26" t="s">
        <v>34</v>
      </c>
      <c r="AC5" s="26" t="s">
        <v>27</v>
      </c>
      <c r="AD5" s="25" t="s">
        <v>33</v>
      </c>
      <c r="AE5" s="25" t="s">
        <v>32</v>
      </c>
      <c r="AF5" s="25" t="s">
        <v>31</v>
      </c>
      <c r="AG5" s="25" t="s">
        <v>30</v>
      </c>
      <c r="AH5" s="25" t="s">
        <v>29</v>
      </c>
      <c r="AI5" s="25" t="s">
        <v>28</v>
      </c>
      <c r="AJ5" s="25" t="s">
        <v>27</v>
      </c>
    </row>
    <row r="6" spans="1:37" ht="16" x14ac:dyDescent="0.2">
      <c r="A6" s="11">
        <v>1</v>
      </c>
      <c r="B6" s="18" t="s">
        <v>26</v>
      </c>
      <c r="C6" s="11" t="s">
        <v>10</v>
      </c>
      <c r="D6" s="11" t="s">
        <v>26</v>
      </c>
      <c r="E6" s="21">
        <v>0</v>
      </c>
      <c r="F6" s="21">
        <f>'[1]salary allocation'!F6</f>
        <v>0.1</v>
      </c>
      <c r="G6" s="21">
        <f>'[1]salary allocation'!G6</f>
        <v>0.1</v>
      </c>
      <c r="H6" s="21">
        <f>'[1]salary allocation'!H6</f>
        <v>0.1</v>
      </c>
      <c r="I6" s="21"/>
      <c r="J6" s="21">
        <f>'[1]salary allocation'!E6+'[1]salary allocation'!J6</f>
        <v>0.7</v>
      </c>
      <c r="K6" s="20">
        <f>SUM(E6:J6)</f>
        <v>1</v>
      </c>
      <c r="L6" s="11"/>
      <c r="M6" s="1">
        <v>5</v>
      </c>
      <c r="N6" s="1">
        <v>12024</v>
      </c>
      <c r="O6" s="23" t="e">
        <f>SUMIFS('[1]C&amp;G Ledger_allocation'!AP:AP,'[1]C&amp;G Ledger_allocation'!$H:$H,'salary allocation-v2'!$D6,'[1]C&amp;G Ledger_allocation'!$A:$A,'salary allocation-v2'!$N6)</f>
        <v>#VALUE!</v>
      </c>
      <c r="P6" s="23" t="e">
        <f>SUMIFS('[1]C&amp;G Ledger_allocation'!AQ:AQ,'[1]C&amp;G Ledger_allocation'!$H:$H,'salary allocation-v2'!$D6,'[1]C&amp;G Ledger_allocation'!$A:$A,'salary allocation-v2'!$N6)</f>
        <v>#VALUE!</v>
      </c>
      <c r="Q6" s="23" t="e">
        <f>SUMIFS('[1]C&amp;G Ledger_allocation'!AR:AR,'[1]C&amp;G Ledger_allocation'!$H:$H,'salary allocation-v2'!$D6,'[1]C&amp;G Ledger_allocation'!$A:$A,'salary allocation-v2'!$N6)</f>
        <v>#VALUE!</v>
      </c>
      <c r="R6" s="23" t="e">
        <f>SUMIFS('[1]C&amp;G Ledger_allocation'!AS:AS,'[1]C&amp;G Ledger_allocation'!$H:$H,'salary allocation-v2'!$D6,'[1]C&amp;G Ledger_allocation'!$A:$A,'salary allocation-v2'!$N6)</f>
        <v>#VALUE!</v>
      </c>
      <c r="S6" s="23" t="e">
        <f>SUMIFS('[1]C&amp;G Ledger_allocation'!AT:AT,'[1]C&amp;G Ledger_allocation'!$H:$H,'salary allocation-v2'!$D6,'[1]C&amp;G Ledger_allocation'!$A:$A,'salary allocation-v2'!$N6)</f>
        <v>#VALUE!</v>
      </c>
      <c r="T6" s="23" t="e">
        <f>SUMIFS('[1]C&amp;G Ledger_allocation'!AU:AU,'[1]C&amp;G Ledger_allocation'!$H:$H,'salary allocation-v2'!$D6,'[1]C&amp;G Ledger_allocation'!$A:$A,'salary allocation-v2'!$N6)</f>
        <v>#VALUE!</v>
      </c>
      <c r="U6" s="23" t="e">
        <f>SUMIFS('[1]C&amp;G Ledger_allocation'!AV:AV,'[1]C&amp;G Ledger_allocation'!$H:$H,'salary allocation-v2'!$D6,'[1]C&amp;G Ledger_allocation'!$A:$A,'salary allocation-v2'!$N6)</f>
        <v>#VALUE!</v>
      </c>
      <c r="V6" s="23" t="e">
        <f>SUMIFS('[1]C&amp;G Ledger_allocation'!AW:AW,'[1]C&amp;G Ledger_allocation'!$H:$H,'salary allocation-v2'!$D6,'[1]C&amp;G Ledger_allocation'!$A:$A,'salary allocation-v2'!$N6)</f>
        <v>#VALUE!</v>
      </c>
      <c r="W6" s="23" t="e">
        <f>SUMIFS('[1]C&amp;G Ledger_allocation'!AX:AX,'[1]C&amp;G Ledger_allocation'!$H:$H,'salary allocation-v2'!$D6,'[1]C&amp;G Ledger_allocation'!$A:$A,'salary allocation-v2'!$N6)</f>
        <v>#VALUE!</v>
      </c>
      <c r="X6" s="23" t="e">
        <f>SUMIFS('[1]C&amp;G Ledger_allocation'!AY:AY,'[1]C&amp;G Ledger_allocation'!$H:$H,'salary allocation-v2'!$D6,'[1]C&amp;G Ledger_allocation'!$A:$A,'salary allocation-v2'!$N6)</f>
        <v>#VALUE!</v>
      </c>
      <c r="Y6" s="23" t="e">
        <f>SUMIFS('[1]C&amp;G Ledger_allocation'!AZ:AZ,'[1]C&amp;G Ledger_allocation'!$H:$H,'salary allocation-v2'!$D6,'[1]C&amp;G Ledger_allocation'!$A:$A,'salary allocation-v2'!$N6)</f>
        <v>#VALUE!</v>
      </c>
      <c r="Z6" s="23" t="e">
        <f>SUMIFS('[1]C&amp;G Ledger_allocation'!BA:BA,'[1]C&amp;G Ledger_allocation'!$H:$H,'salary allocation-v2'!$D6,'[1]C&amp;G Ledger_allocation'!$A:$A,'salary allocation-v2'!$N6)</f>
        <v>#VALUE!</v>
      </c>
      <c r="AA6" s="23" t="e">
        <f>SUMIFS('[1]C&amp;G Ledger_allocation'!BB:BB,'[1]C&amp;G Ledger_allocation'!$H:$H,'salary allocation-v2'!$D6,'[1]C&amp;G Ledger_allocation'!$A:$A,'salary allocation-v2'!$N6)</f>
        <v>#VALUE!</v>
      </c>
      <c r="AB6" s="23" t="e">
        <f>SUMIFS('[1]C&amp;G Ledger_allocation'!BC:BC,'[1]C&amp;G Ledger_allocation'!$H:$H,'salary allocation-v2'!$D6,'[1]C&amp;G Ledger_allocation'!$A:$A,'salary allocation-v2'!$N6)</f>
        <v>#VALUE!</v>
      </c>
      <c r="AC6" s="22" t="e">
        <f>Q6</f>
        <v>#VALUE!</v>
      </c>
      <c r="AD6" s="23" t="e">
        <f>$AC6*E6</f>
        <v>#VALUE!</v>
      </c>
      <c r="AE6" s="23" t="e">
        <f>$AC6*F6</f>
        <v>#VALUE!</v>
      </c>
      <c r="AF6" s="23" t="e">
        <f>$AC6*G6</f>
        <v>#VALUE!</v>
      </c>
      <c r="AG6" s="23" t="e">
        <f>$AC6*H6</f>
        <v>#VALUE!</v>
      </c>
      <c r="AH6" s="23" t="e">
        <f>$AC6*I6</f>
        <v>#VALUE!</v>
      </c>
      <c r="AI6" s="23" t="e">
        <f>$AC6*J6</f>
        <v>#VALUE!</v>
      </c>
      <c r="AJ6" s="22" t="e">
        <f>SUM(AD6:AI6)</f>
        <v>#VALUE!</v>
      </c>
      <c r="AK6" s="19" t="e">
        <f>AC6-AJ6</f>
        <v>#VALUE!</v>
      </c>
    </row>
    <row r="7" spans="1:37" ht="15" customHeight="1" x14ac:dyDescent="0.2">
      <c r="A7" s="11">
        <f>A6+1</f>
        <v>2</v>
      </c>
      <c r="B7" s="18" t="s">
        <v>18</v>
      </c>
      <c r="C7" s="11" t="s">
        <v>10</v>
      </c>
      <c r="D7" s="11" t="s">
        <v>24</v>
      </c>
      <c r="E7" s="21">
        <v>0</v>
      </c>
      <c r="F7" s="21">
        <f>'[1]salary allocation'!F7</f>
        <v>0.2</v>
      </c>
      <c r="G7" s="21">
        <f>'[1]salary allocation'!G7</f>
        <v>0.2</v>
      </c>
      <c r="H7" s="21">
        <f>'[1]salary allocation'!H7</f>
        <v>0.2</v>
      </c>
      <c r="I7" s="21"/>
      <c r="J7" s="21">
        <f>'[1]salary allocation'!E7+'[1]salary allocation'!J7</f>
        <v>0.4</v>
      </c>
      <c r="K7" s="20">
        <f>SUM(E7:J7)</f>
        <v>1</v>
      </c>
      <c r="L7" s="11"/>
      <c r="M7" s="1">
        <v>5</v>
      </c>
      <c r="N7" s="1">
        <v>12024</v>
      </c>
      <c r="O7" s="13" t="e">
        <f>SUMIFS('[1]C&amp;G Ledger_allocation'!AP:AP,'[1]C&amp;G Ledger_allocation'!$H:$H,'salary allocation-v2'!$D7,'[1]C&amp;G Ledger_allocation'!$A:$A,'salary allocation-v2'!$N7)</f>
        <v>#VALUE!</v>
      </c>
      <c r="P7" s="13" t="e">
        <f>SUMIFS('[1]C&amp;G Ledger_allocation'!AQ:AQ,'[1]C&amp;G Ledger_allocation'!$H:$H,'salary allocation-v2'!$D7,'[1]C&amp;G Ledger_allocation'!$A:$A,'salary allocation-v2'!$N7)</f>
        <v>#VALUE!</v>
      </c>
      <c r="Q7" s="13" t="e">
        <f>SUMIFS('[1]C&amp;G Ledger_allocation'!AR:AR,'[1]C&amp;G Ledger_allocation'!$H:$H,'salary allocation-v2'!$D7,'[1]C&amp;G Ledger_allocation'!$A:$A,'salary allocation-v2'!$N7)</f>
        <v>#VALUE!</v>
      </c>
      <c r="R7" s="13" t="e">
        <f>SUMIFS('[1]C&amp;G Ledger_allocation'!AS:AS,'[1]C&amp;G Ledger_allocation'!$H:$H,'salary allocation-v2'!$D7,'[1]C&amp;G Ledger_allocation'!$A:$A,'salary allocation-v2'!$N7)</f>
        <v>#VALUE!</v>
      </c>
      <c r="S7" s="13" t="e">
        <f>SUMIFS('[1]C&amp;G Ledger_allocation'!AT:AT,'[1]C&amp;G Ledger_allocation'!$H:$H,'salary allocation-v2'!$D7,'[1]C&amp;G Ledger_allocation'!$A:$A,'salary allocation-v2'!$N7)</f>
        <v>#VALUE!</v>
      </c>
      <c r="T7" s="13" t="e">
        <f>SUMIFS('[1]C&amp;G Ledger_allocation'!AU:AU,'[1]C&amp;G Ledger_allocation'!$H:$H,'salary allocation-v2'!$D7,'[1]C&amp;G Ledger_allocation'!$A:$A,'salary allocation-v2'!$N7)</f>
        <v>#VALUE!</v>
      </c>
      <c r="U7" s="13" t="e">
        <f>SUMIFS('[1]C&amp;G Ledger_allocation'!AV:AV,'[1]C&amp;G Ledger_allocation'!$H:$H,'salary allocation-v2'!$D7,'[1]C&amp;G Ledger_allocation'!$A:$A,'salary allocation-v2'!$N7)</f>
        <v>#VALUE!</v>
      </c>
      <c r="V7" s="13" t="e">
        <f>SUMIFS('[1]C&amp;G Ledger_allocation'!AW:AW,'[1]C&amp;G Ledger_allocation'!$H:$H,'salary allocation-v2'!$D7,'[1]C&amp;G Ledger_allocation'!$A:$A,'salary allocation-v2'!$N7)</f>
        <v>#VALUE!</v>
      </c>
      <c r="W7" s="13" t="e">
        <f>SUMIFS('[1]C&amp;G Ledger_allocation'!AX:AX,'[1]C&amp;G Ledger_allocation'!$H:$H,'salary allocation-v2'!$D7,'[1]C&amp;G Ledger_allocation'!$A:$A,'salary allocation-v2'!$N7)</f>
        <v>#VALUE!</v>
      </c>
      <c r="X7" s="13" t="e">
        <f>SUMIFS('[1]C&amp;G Ledger_allocation'!AY:AY,'[1]C&amp;G Ledger_allocation'!$H:$H,'salary allocation-v2'!$D7,'[1]C&amp;G Ledger_allocation'!$A:$A,'salary allocation-v2'!$N7)</f>
        <v>#VALUE!</v>
      </c>
      <c r="Y7" s="13" t="e">
        <f>SUMIFS('[1]C&amp;G Ledger_allocation'!AZ:AZ,'[1]C&amp;G Ledger_allocation'!$H:$H,'salary allocation-v2'!$D7,'[1]C&amp;G Ledger_allocation'!$A:$A,'salary allocation-v2'!$N7)</f>
        <v>#VALUE!</v>
      </c>
      <c r="Z7" s="13" t="e">
        <f>SUMIFS('[1]C&amp;G Ledger_allocation'!BA:BA,'[1]C&amp;G Ledger_allocation'!$H:$H,'salary allocation-v2'!$D7,'[1]C&amp;G Ledger_allocation'!$A:$A,'salary allocation-v2'!$N7)</f>
        <v>#VALUE!</v>
      </c>
      <c r="AA7" s="13" t="e">
        <f>SUMIFS('[1]C&amp;G Ledger_allocation'!BB:BB,'[1]C&amp;G Ledger_allocation'!$H:$H,'salary allocation-v2'!$D7,'[1]C&amp;G Ledger_allocation'!$A:$A,'salary allocation-v2'!$N7)</f>
        <v>#VALUE!</v>
      </c>
      <c r="AB7" s="13" t="e">
        <f>SUMIFS('[1]C&amp;G Ledger_allocation'!BC:BC,'[1]C&amp;G Ledger_allocation'!$H:$H,'salary allocation-v2'!$D7,'[1]C&amp;G Ledger_allocation'!$A:$A,'salary allocation-v2'!$N7)</f>
        <v>#VALUE!</v>
      </c>
      <c r="AC7" s="12" t="e">
        <f>Q7</f>
        <v>#VALUE!</v>
      </c>
      <c r="AD7" s="13" t="e">
        <f>$AC7*E7</f>
        <v>#VALUE!</v>
      </c>
      <c r="AE7" s="13" t="e">
        <f>$AC7*F7</f>
        <v>#VALUE!</v>
      </c>
      <c r="AF7" s="13" t="e">
        <f>$AC7*G7</f>
        <v>#VALUE!</v>
      </c>
      <c r="AG7" s="13" t="e">
        <f>$AC7*H7</f>
        <v>#VALUE!</v>
      </c>
      <c r="AH7" s="13" t="e">
        <f>$AC7*I7</f>
        <v>#VALUE!</v>
      </c>
      <c r="AI7" s="13" t="e">
        <f>$AC7*J7</f>
        <v>#VALUE!</v>
      </c>
      <c r="AJ7" s="12" t="e">
        <f>SUM(AD7:AI7)</f>
        <v>#VALUE!</v>
      </c>
      <c r="AK7" s="19" t="e">
        <f>AC7-AJ7</f>
        <v>#VALUE!</v>
      </c>
    </row>
    <row r="8" spans="1:37" ht="16" x14ac:dyDescent="0.2">
      <c r="A8" s="11">
        <f>A7+1</f>
        <v>3</v>
      </c>
      <c r="B8" s="18" t="s">
        <v>25</v>
      </c>
      <c r="C8" s="11" t="s">
        <v>19</v>
      </c>
      <c r="D8" s="11" t="s">
        <v>15</v>
      </c>
      <c r="E8" s="21">
        <v>0</v>
      </c>
      <c r="F8" s="21">
        <f>'[1]salary allocation'!F8</f>
        <v>0.2</v>
      </c>
      <c r="G8" s="21">
        <f>'[1]salary allocation'!G8</f>
        <v>0.2</v>
      </c>
      <c r="H8" s="21">
        <f>'[1]salary allocation'!H8</f>
        <v>0.2</v>
      </c>
      <c r="I8" s="21"/>
      <c r="J8" s="21">
        <f>'[1]salary allocation'!E8+'[1]salary allocation'!J8</f>
        <v>0.4</v>
      </c>
      <c r="K8" s="20">
        <f>SUM(E8:J8)</f>
        <v>1</v>
      </c>
      <c r="L8" s="11"/>
      <c r="M8" s="1">
        <v>5</v>
      </c>
      <c r="N8" s="1">
        <v>12024</v>
      </c>
      <c r="O8" s="13" t="e">
        <f>SUMIFS('[1]C&amp;G Ledger_allocation'!AP:AP,'[1]C&amp;G Ledger_allocation'!$H:$H,'salary allocation-v2'!$D8,'[1]C&amp;G Ledger_allocation'!$A:$A,'salary allocation-v2'!$N8)</f>
        <v>#VALUE!</v>
      </c>
      <c r="P8" s="13" t="e">
        <f>SUMIFS('[1]C&amp;G Ledger_allocation'!AQ:AQ,'[1]C&amp;G Ledger_allocation'!$H:$H,'salary allocation-v2'!$D8,'[1]C&amp;G Ledger_allocation'!$A:$A,'salary allocation-v2'!$N8)</f>
        <v>#VALUE!</v>
      </c>
      <c r="Q8" s="13" t="e">
        <f>SUMIFS('[1]C&amp;G Ledger_allocation'!AR:AR,'[1]C&amp;G Ledger_allocation'!$H:$H,'salary allocation-v2'!$D8,'[1]C&amp;G Ledger_allocation'!$A:$A,'salary allocation-v2'!$N8)</f>
        <v>#VALUE!</v>
      </c>
      <c r="R8" s="13" t="e">
        <f>SUMIFS('[1]C&amp;G Ledger_allocation'!AS:AS,'[1]C&amp;G Ledger_allocation'!$H:$H,'salary allocation-v2'!$D8,'[1]C&amp;G Ledger_allocation'!$A:$A,'salary allocation-v2'!$N8)</f>
        <v>#VALUE!</v>
      </c>
      <c r="S8" s="13" t="e">
        <f>SUMIFS('[1]C&amp;G Ledger_allocation'!AT:AT,'[1]C&amp;G Ledger_allocation'!$H:$H,'salary allocation-v2'!$D8,'[1]C&amp;G Ledger_allocation'!$A:$A,'salary allocation-v2'!$N8)</f>
        <v>#VALUE!</v>
      </c>
      <c r="T8" s="13" t="e">
        <f>SUMIFS('[1]C&amp;G Ledger_allocation'!AU:AU,'[1]C&amp;G Ledger_allocation'!$H:$H,'salary allocation-v2'!$D8,'[1]C&amp;G Ledger_allocation'!$A:$A,'salary allocation-v2'!$N8)</f>
        <v>#VALUE!</v>
      </c>
      <c r="U8" s="13" t="e">
        <f>SUMIFS('[1]C&amp;G Ledger_allocation'!AV:AV,'[1]C&amp;G Ledger_allocation'!$H:$H,'salary allocation-v2'!$D8,'[1]C&amp;G Ledger_allocation'!$A:$A,'salary allocation-v2'!$N8)</f>
        <v>#VALUE!</v>
      </c>
      <c r="V8" s="13" t="e">
        <f>SUMIFS('[1]C&amp;G Ledger_allocation'!AW:AW,'[1]C&amp;G Ledger_allocation'!$H:$H,'salary allocation-v2'!$D8,'[1]C&amp;G Ledger_allocation'!$A:$A,'salary allocation-v2'!$N8)</f>
        <v>#VALUE!</v>
      </c>
      <c r="W8" s="13" t="e">
        <f>SUMIFS('[1]C&amp;G Ledger_allocation'!AX:AX,'[1]C&amp;G Ledger_allocation'!$H:$H,'salary allocation-v2'!$D8,'[1]C&amp;G Ledger_allocation'!$A:$A,'salary allocation-v2'!$N8)</f>
        <v>#VALUE!</v>
      </c>
      <c r="X8" s="13" t="e">
        <f>SUMIFS('[1]C&amp;G Ledger_allocation'!AY:AY,'[1]C&amp;G Ledger_allocation'!$H:$H,'salary allocation-v2'!$D8,'[1]C&amp;G Ledger_allocation'!$A:$A,'salary allocation-v2'!$N8)</f>
        <v>#VALUE!</v>
      </c>
      <c r="Y8" s="13" t="e">
        <f>SUMIFS('[1]C&amp;G Ledger_allocation'!AZ:AZ,'[1]C&amp;G Ledger_allocation'!$H:$H,'salary allocation-v2'!$D8,'[1]C&amp;G Ledger_allocation'!$A:$A,'salary allocation-v2'!$N8)</f>
        <v>#VALUE!</v>
      </c>
      <c r="Z8" s="13" t="e">
        <f>SUMIFS('[1]C&amp;G Ledger_allocation'!BA:BA,'[1]C&amp;G Ledger_allocation'!$H:$H,'salary allocation-v2'!$D8,'[1]C&amp;G Ledger_allocation'!$A:$A,'salary allocation-v2'!$N8)</f>
        <v>#VALUE!</v>
      </c>
      <c r="AA8" s="13" t="e">
        <f>SUMIFS('[1]C&amp;G Ledger_allocation'!BB:BB,'[1]C&amp;G Ledger_allocation'!$H:$H,'salary allocation-v2'!$D8,'[1]C&amp;G Ledger_allocation'!$A:$A,'salary allocation-v2'!$N8)</f>
        <v>#VALUE!</v>
      </c>
      <c r="AB8" s="13" t="e">
        <f>SUMIFS('[1]C&amp;G Ledger_allocation'!BC:BC,'[1]C&amp;G Ledger_allocation'!$H:$H,'salary allocation-v2'!$D8,'[1]C&amp;G Ledger_allocation'!$A:$A,'salary allocation-v2'!$N8)</f>
        <v>#VALUE!</v>
      </c>
      <c r="AC8" s="12" t="e">
        <f>W8</f>
        <v>#VALUE!</v>
      </c>
      <c r="AD8" s="13" t="e">
        <f>$AC8*E8</f>
        <v>#VALUE!</v>
      </c>
      <c r="AE8" s="13" t="e">
        <f>$AC8*F8</f>
        <v>#VALUE!</v>
      </c>
      <c r="AF8" s="13" t="e">
        <f>$AC8*G8</f>
        <v>#VALUE!</v>
      </c>
      <c r="AG8" s="13" t="e">
        <f>$AC8*H8</f>
        <v>#VALUE!</v>
      </c>
      <c r="AH8" s="13" t="e">
        <f>$AC8*I8</f>
        <v>#VALUE!</v>
      </c>
      <c r="AI8" s="13" t="e">
        <f>$AC8*J8</f>
        <v>#VALUE!</v>
      </c>
      <c r="AJ8" s="12" t="e">
        <f>SUM(AD8:AI8)</f>
        <v>#VALUE!</v>
      </c>
      <c r="AK8" s="19" t="e">
        <f>AC8-AJ8</f>
        <v>#VALUE!</v>
      </c>
    </row>
    <row r="9" spans="1:37" ht="16" x14ac:dyDescent="0.2">
      <c r="A9" s="11">
        <f>A8+1</f>
        <v>4</v>
      </c>
      <c r="B9" s="18" t="s">
        <v>17</v>
      </c>
      <c r="C9" s="11" t="s">
        <v>19</v>
      </c>
      <c r="D9" s="11" t="s">
        <v>11</v>
      </c>
      <c r="E9" s="21">
        <v>0</v>
      </c>
      <c r="F9" s="21">
        <f>'[1]salary allocation'!F9</f>
        <v>0</v>
      </c>
      <c r="G9" s="21">
        <f>'[1]salary allocation'!G9</f>
        <v>0</v>
      </c>
      <c r="H9" s="21">
        <f>'[1]salary allocation'!H9</f>
        <v>0</v>
      </c>
      <c r="I9" s="21"/>
      <c r="J9" s="21">
        <f>'[1]salary allocation'!E9+'[1]salary allocation'!J9</f>
        <v>1</v>
      </c>
      <c r="K9" s="20">
        <f>SUM(E9:J9)</f>
        <v>1</v>
      </c>
      <c r="L9" s="11"/>
      <c r="M9" s="1" t="s">
        <v>23</v>
      </c>
      <c r="N9" s="1">
        <v>12024</v>
      </c>
      <c r="O9" s="13" t="e">
        <f>SUMIFS('[1]C&amp;G Ledger_allocation'!AP:AP,'[1]C&amp;G Ledger_allocation'!$H:$H,'salary allocation-v2'!$D9,'[1]C&amp;G Ledger_allocation'!$A:$A,'salary allocation-v2'!$N9)</f>
        <v>#VALUE!</v>
      </c>
      <c r="P9" s="13" t="e">
        <f>SUMIFS('[1]C&amp;G Ledger_allocation'!AQ:AQ,'[1]C&amp;G Ledger_allocation'!$H:$H,'salary allocation-v2'!$D9,'[1]C&amp;G Ledger_allocation'!$A:$A,'salary allocation-v2'!$N9)</f>
        <v>#VALUE!</v>
      </c>
      <c r="Q9" s="13" t="e">
        <f>SUMIFS('[1]C&amp;G Ledger_allocation'!AR:AR,'[1]C&amp;G Ledger_allocation'!$H:$H,'salary allocation-v2'!$D9,'[1]C&amp;G Ledger_allocation'!$A:$A,'salary allocation-v2'!$N9)</f>
        <v>#VALUE!</v>
      </c>
      <c r="R9" s="13" t="e">
        <f>SUMIFS('[1]C&amp;G Ledger_allocation'!AS:AS,'[1]C&amp;G Ledger_allocation'!$H:$H,'salary allocation-v2'!$D9,'[1]C&amp;G Ledger_allocation'!$A:$A,'salary allocation-v2'!$N9)</f>
        <v>#VALUE!</v>
      </c>
      <c r="S9" s="13" t="e">
        <f>SUMIFS('[1]C&amp;G Ledger_allocation'!AT:AT,'[1]C&amp;G Ledger_allocation'!$H:$H,'salary allocation-v2'!$D9,'[1]C&amp;G Ledger_allocation'!$A:$A,'salary allocation-v2'!$N9)</f>
        <v>#VALUE!</v>
      </c>
      <c r="T9" s="13" t="e">
        <f>SUMIFS('[1]C&amp;G Ledger_allocation'!AU:AU,'[1]C&amp;G Ledger_allocation'!$H:$H,'salary allocation-v2'!$D9,'[1]C&amp;G Ledger_allocation'!$A:$A,'salary allocation-v2'!$N9)</f>
        <v>#VALUE!</v>
      </c>
      <c r="U9" s="13" t="e">
        <f>SUMIFS('[1]C&amp;G Ledger_allocation'!AV:AV,'[1]C&amp;G Ledger_allocation'!$H:$H,'salary allocation-v2'!$D9,'[1]C&amp;G Ledger_allocation'!$A:$A,'salary allocation-v2'!$N9)</f>
        <v>#VALUE!</v>
      </c>
      <c r="V9" s="13" t="e">
        <f>SUMIFS('[1]C&amp;G Ledger_allocation'!AW:AW,'[1]C&amp;G Ledger_allocation'!$H:$H,'salary allocation-v2'!$D9,'[1]C&amp;G Ledger_allocation'!$A:$A,'salary allocation-v2'!$N9)</f>
        <v>#VALUE!</v>
      </c>
      <c r="W9" s="13" t="e">
        <f>SUMIFS('[1]C&amp;G Ledger_allocation'!AX:AX,'[1]C&amp;G Ledger_allocation'!$H:$H,'salary allocation-v2'!$D9,'[1]C&amp;G Ledger_allocation'!$A:$A,'salary allocation-v2'!$N9)</f>
        <v>#VALUE!</v>
      </c>
      <c r="X9" s="13" t="e">
        <f>SUMIFS('[1]C&amp;G Ledger_allocation'!AY:AY,'[1]C&amp;G Ledger_allocation'!$H:$H,'salary allocation-v2'!$D9,'[1]C&amp;G Ledger_allocation'!$A:$A,'salary allocation-v2'!$N9)</f>
        <v>#VALUE!</v>
      </c>
      <c r="Y9" s="13" t="e">
        <f>SUMIFS('[1]C&amp;G Ledger_allocation'!AZ:AZ,'[1]C&amp;G Ledger_allocation'!$H:$H,'salary allocation-v2'!$D9,'[1]C&amp;G Ledger_allocation'!$A:$A,'salary allocation-v2'!$N9)</f>
        <v>#VALUE!</v>
      </c>
      <c r="Z9" s="13" t="e">
        <f>SUMIFS('[1]C&amp;G Ledger_allocation'!BA:BA,'[1]C&amp;G Ledger_allocation'!$H:$H,'salary allocation-v2'!$D9,'[1]C&amp;G Ledger_allocation'!$A:$A,'salary allocation-v2'!$N9)</f>
        <v>#VALUE!</v>
      </c>
      <c r="AA9" s="13" t="e">
        <f>SUMIFS('[1]C&amp;G Ledger_allocation'!BB:BB,'[1]C&amp;G Ledger_allocation'!$H:$H,'salary allocation-v2'!$D9,'[1]C&amp;G Ledger_allocation'!$A:$A,'salary allocation-v2'!$N9)</f>
        <v>#VALUE!</v>
      </c>
      <c r="AB9" s="13" t="e">
        <f>SUMIFS('[1]C&amp;G Ledger_allocation'!BC:BC,'[1]C&amp;G Ledger_allocation'!$H:$H,'salary allocation-v2'!$D9,'[1]C&amp;G Ledger_allocation'!$A:$A,'salary allocation-v2'!$N9)</f>
        <v>#VALUE!</v>
      </c>
      <c r="AC9" s="12" t="e">
        <f>W9</f>
        <v>#VALUE!</v>
      </c>
      <c r="AD9" s="13" t="e">
        <f>$AC9*E9</f>
        <v>#VALUE!</v>
      </c>
      <c r="AE9" s="13" t="e">
        <f>$AC9*F9</f>
        <v>#VALUE!</v>
      </c>
      <c r="AF9" s="13" t="e">
        <f>$AC9*G9</f>
        <v>#VALUE!</v>
      </c>
      <c r="AG9" s="13" t="e">
        <f>$AC9*H9</f>
        <v>#VALUE!</v>
      </c>
      <c r="AH9" s="13" t="e">
        <f>$AC9*I9</f>
        <v>#VALUE!</v>
      </c>
      <c r="AI9" s="13" t="e">
        <f>$AC9*J9</f>
        <v>#VALUE!</v>
      </c>
      <c r="AJ9" s="12" t="e">
        <f>SUM(AD9:AI9)</f>
        <v>#VALUE!</v>
      </c>
      <c r="AK9" s="19" t="e">
        <f>AC9-AJ9</f>
        <v>#VALUE!</v>
      </c>
    </row>
    <row r="10" spans="1:37" ht="16" x14ac:dyDescent="0.2">
      <c r="A10" s="11">
        <f>A9+1</f>
        <v>5</v>
      </c>
      <c r="B10" s="18" t="s">
        <v>24</v>
      </c>
      <c r="C10" s="11" t="s">
        <v>19</v>
      </c>
      <c r="D10" s="11" t="s">
        <v>8</v>
      </c>
      <c r="E10" s="21">
        <v>0</v>
      </c>
      <c r="F10" s="21">
        <f>'[1]salary allocation'!F10</f>
        <v>0</v>
      </c>
      <c r="G10" s="21">
        <f>'[1]salary allocation'!G10</f>
        <v>0</v>
      </c>
      <c r="H10" s="21">
        <f>'[1]salary allocation'!H10</f>
        <v>0</v>
      </c>
      <c r="I10" s="21"/>
      <c r="J10" s="21">
        <f>'[1]salary allocation'!E10+'[1]salary allocation'!J10</f>
        <v>1</v>
      </c>
      <c r="K10" s="20">
        <f>SUM(E10:J10)</f>
        <v>1</v>
      </c>
      <c r="L10" s="11"/>
      <c r="M10" s="1" t="s">
        <v>23</v>
      </c>
      <c r="N10" s="1">
        <v>12024</v>
      </c>
      <c r="O10" s="13" t="e">
        <f>SUMIFS('[1]C&amp;G Ledger_allocation'!AP:AP,'[1]C&amp;G Ledger_allocation'!$H:$H,'salary allocation-v2'!$D10,'[1]C&amp;G Ledger_allocation'!$A:$A,'salary allocation-v2'!$N10)</f>
        <v>#VALUE!</v>
      </c>
      <c r="P10" s="13" t="e">
        <f>SUMIFS('[1]C&amp;G Ledger_allocation'!AQ:AQ,'[1]C&amp;G Ledger_allocation'!$H:$H,'salary allocation-v2'!$D10,'[1]C&amp;G Ledger_allocation'!$A:$A,'salary allocation-v2'!$N10)</f>
        <v>#VALUE!</v>
      </c>
      <c r="Q10" s="13" t="e">
        <f>SUMIFS('[1]C&amp;G Ledger_allocation'!AR:AR,'[1]C&amp;G Ledger_allocation'!$H:$H,'salary allocation-v2'!$D10,'[1]C&amp;G Ledger_allocation'!$A:$A,'salary allocation-v2'!$N10)</f>
        <v>#VALUE!</v>
      </c>
      <c r="R10" s="13" t="e">
        <f>SUMIFS('[1]C&amp;G Ledger_allocation'!AS:AS,'[1]C&amp;G Ledger_allocation'!$H:$H,'salary allocation-v2'!$D10,'[1]C&amp;G Ledger_allocation'!$A:$A,'salary allocation-v2'!$N10)</f>
        <v>#VALUE!</v>
      </c>
      <c r="S10" s="13" t="e">
        <f>SUMIFS('[1]C&amp;G Ledger_allocation'!AT:AT,'[1]C&amp;G Ledger_allocation'!$H:$H,'salary allocation-v2'!$D10,'[1]C&amp;G Ledger_allocation'!$A:$A,'salary allocation-v2'!$N10)</f>
        <v>#VALUE!</v>
      </c>
      <c r="T10" s="13" t="e">
        <f>SUMIFS('[1]C&amp;G Ledger_allocation'!AU:AU,'[1]C&amp;G Ledger_allocation'!$H:$H,'salary allocation-v2'!$D10,'[1]C&amp;G Ledger_allocation'!$A:$A,'salary allocation-v2'!$N10)</f>
        <v>#VALUE!</v>
      </c>
      <c r="U10" s="13" t="e">
        <f>SUMIFS('[1]C&amp;G Ledger_allocation'!AV:AV,'[1]C&amp;G Ledger_allocation'!$H:$H,'salary allocation-v2'!$D10,'[1]C&amp;G Ledger_allocation'!$A:$A,'salary allocation-v2'!$N10)</f>
        <v>#VALUE!</v>
      </c>
      <c r="V10" s="13" t="e">
        <f>SUMIFS('[1]C&amp;G Ledger_allocation'!AW:AW,'[1]C&amp;G Ledger_allocation'!$H:$H,'salary allocation-v2'!$D10,'[1]C&amp;G Ledger_allocation'!$A:$A,'salary allocation-v2'!$N10)</f>
        <v>#VALUE!</v>
      </c>
      <c r="W10" s="13" t="e">
        <f>SUMIFS('[1]C&amp;G Ledger_allocation'!AX:AX,'[1]C&amp;G Ledger_allocation'!$H:$H,'salary allocation-v2'!$D10,'[1]C&amp;G Ledger_allocation'!$A:$A,'salary allocation-v2'!$N10)</f>
        <v>#VALUE!</v>
      </c>
      <c r="X10" s="13" t="e">
        <f>SUMIFS('[1]C&amp;G Ledger_allocation'!AY:AY,'[1]C&amp;G Ledger_allocation'!$H:$H,'salary allocation-v2'!$D10,'[1]C&amp;G Ledger_allocation'!$A:$A,'salary allocation-v2'!$N10)</f>
        <v>#VALUE!</v>
      </c>
      <c r="Y10" s="13" t="e">
        <f>SUMIFS('[1]C&amp;G Ledger_allocation'!AZ:AZ,'[1]C&amp;G Ledger_allocation'!$H:$H,'salary allocation-v2'!$D10,'[1]C&amp;G Ledger_allocation'!$A:$A,'salary allocation-v2'!$N10)</f>
        <v>#VALUE!</v>
      </c>
      <c r="Z10" s="13" t="e">
        <f>SUMIFS('[1]C&amp;G Ledger_allocation'!BA:BA,'[1]C&amp;G Ledger_allocation'!$H:$H,'salary allocation-v2'!$D10,'[1]C&amp;G Ledger_allocation'!$A:$A,'salary allocation-v2'!$N10)</f>
        <v>#VALUE!</v>
      </c>
      <c r="AA10" s="13" t="e">
        <f>SUMIFS('[1]C&amp;G Ledger_allocation'!BB:BB,'[1]C&amp;G Ledger_allocation'!$H:$H,'salary allocation-v2'!$D10,'[1]C&amp;G Ledger_allocation'!$A:$A,'salary allocation-v2'!$N10)</f>
        <v>#VALUE!</v>
      </c>
      <c r="AB10" s="13" t="e">
        <f>SUMIFS('[1]C&amp;G Ledger_allocation'!BC:BC,'[1]C&amp;G Ledger_allocation'!$H:$H,'salary allocation-v2'!$D10,'[1]C&amp;G Ledger_allocation'!$A:$A,'salary allocation-v2'!$N10)</f>
        <v>#VALUE!</v>
      </c>
      <c r="AC10" s="12" t="e">
        <f>W10</f>
        <v>#VALUE!</v>
      </c>
      <c r="AD10" s="13" t="e">
        <f>$AC10*E10</f>
        <v>#VALUE!</v>
      </c>
      <c r="AE10" s="13" t="e">
        <f>$AC10*F10</f>
        <v>#VALUE!</v>
      </c>
      <c r="AF10" s="13" t="e">
        <f>$AC10*G10</f>
        <v>#VALUE!</v>
      </c>
      <c r="AG10" s="13" t="e">
        <f>$AC10*H10</f>
        <v>#VALUE!</v>
      </c>
      <c r="AH10" s="13" t="e">
        <f>$AC10*I10</f>
        <v>#VALUE!</v>
      </c>
      <c r="AI10" s="13" t="e">
        <f>$AC10*J10</f>
        <v>#VALUE!</v>
      </c>
      <c r="AJ10" s="12" t="e">
        <f>SUM(AD10:AI10)</f>
        <v>#VALUE!</v>
      </c>
      <c r="AK10" s="19" t="e">
        <f>AC10-AJ10</f>
        <v>#VALUE!</v>
      </c>
    </row>
    <row r="11" spans="1:37" ht="16" x14ac:dyDescent="0.2">
      <c r="A11" s="11">
        <f>A10+1</f>
        <v>6</v>
      </c>
      <c r="B11" s="18" t="s">
        <v>16</v>
      </c>
      <c r="C11" s="11" t="s">
        <v>6</v>
      </c>
      <c r="D11" s="11" t="s">
        <v>22</v>
      </c>
      <c r="E11" s="21">
        <v>0</v>
      </c>
      <c r="F11" s="21">
        <f>'[1]salary allocation'!F11</f>
        <v>0.2</v>
      </c>
      <c r="G11" s="21">
        <f>'[1]salary allocation'!G11</f>
        <v>0.2</v>
      </c>
      <c r="H11" s="21">
        <f>'[1]salary allocation'!H11</f>
        <v>0.2</v>
      </c>
      <c r="I11" s="21"/>
      <c r="J11" s="21">
        <f>'[1]salary allocation'!E11+'[1]salary allocation'!J11</f>
        <v>0.4</v>
      </c>
      <c r="K11" s="20">
        <f>SUM(E11:J11)</f>
        <v>1</v>
      </c>
      <c r="L11" s="11" t="s">
        <v>21</v>
      </c>
      <c r="M11" s="1">
        <v>5</v>
      </c>
      <c r="N11" s="1">
        <v>12024</v>
      </c>
      <c r="O11" s="13" t="e">
        <f>SUMIFS('[1]C&amp;G Ledger_allocation'!AP:AP,'[1]C&amp;G Ledger_allocation'!$H:$H,'salary allocation-v2'!$D11,'[1]C&amp;G Ledger_allocation'!$A:$A,'salary allocation-v2'!$N11)</f>
        <v>#VALUE!</v>
      </c>
      <c r="P11" s="13" t="e">
        <f>SUMIFS('[1]C&amp;G Ledger_allocation'!AQ:AQ,'[1]C&amp;G Ledger_allocation'!$H:$H,'salary allocation-v2'!$D11,'[1]C&amp;G Ledger_allocation'!$A:$A,'salary allocation-v2'!$N11)</f>
        <v>#VALUE!</v>
      </c>
      <c r="Q11" s="13" t="e">
        <f>SUMIFS('[1]C&amp;G Ledger_allocation'!AR:AR,'[1]C&amp;G Ledger_allocation'!$H:$H,'salary allocation-v2'!$D11,'[1]C&amp;G Ledger_allocation'!$A:$A,'salary allocation-v2'!$N11)</f>
        <v>#VALUE!</v>
      </c>
      <c r="R11" s="13" t="e">
        <f>SUMIFS('[1]C&amp;G Ledger_allocation'!AS:AS,'[1]C&amp;G Ledger_allocation'!$H:$H,'salary allocation-v2'!$D11,'[1]C&amp;G Ledger_allocation'!$A:$A,'salary allocation-v2'!$N11)</f>
        <v>#VALUE!</v>
      </c>
      <c r="S11" s="13" t="e">
        <f>SUMIFS('[1]C&amp;G Ledger_allocation'!AT:AT,'[1]C&amp;G Ledger_allocation'!$H:$H,'salary allocation-v2'!$D11,'[1]C&amp;G Ledger_allocation'!$A:$A,'salary allocation-v2'!$N11)</f>
        <v>#VALUE!</v>
      </c>
      <c r="T11" s="13" t="e">
        <f>SUMIFS('[1]C&amp;G Ledger_allocation'!AU:AU,'[1]C&amp;G Ledger_allocation'!$H:$H,'salary allocation-v2'!$D11,'[1]C&amp;G Ledger_allocation'!$A:$A,'salary allocation-v2'!$N11)</f>
        <v>#VALUE!</v>
      </c>
      <c r="U11" s="13" t="e">
        <f>SUMIFS('[1]C&amp;G Ledger_allocation'!AV:AV,'[1]C&amp;G Ledger_allocation'!$H:$H,'salary allocation-v2'!$D11,'[1]C&amp;G Ledger_allocation'!$A:$A,'salary allocation-v2'!$N11)</f>
        <v>#VALUE!</v>
      </c>
      <c r="V11" s="13" t="e">
        <f>SUMIFS('[1]C&amp;G Ledger_allocation'!AW:AW,'[1]C&amp;G Ledger_allocation'!$H:$H,'salary allocation-v2'!$D11,'[1]C&amp;G Ledger_allocation'!$A:$A,'salary allocation-v2'!$N11)</f>
        <v>#VALUE!</v>
      </c>
      <c r="W11" s="13" t="e">
        <f>SUMIFS('[1]C&amp;G Ledger_allocation'!AX:AX,'[1]C&amp;G Ledger_allocation'!$H:$H,'salary allocation-v2'!$D11,'[1]C&amp;G Ledger_allocation'!$A:$A,'salary allocation-v2'!$N11)</f>
        <v>#VALUE!</v>
      </c>
      <c r="X11" s="13" t="e">
        <f>SUMIFS('[1]C&amp;G Ledger_allocation'!AY:AY,'[1]C&amp;G Ledger_allocation'!$H:$H,'salary allocation-v2'!$D11,'[1]C&amp;G Ledger_allocation'!$A:$A,'salary allocation-v2'!$N11)</f>
        <v>#VALUE!</v>
      </c>
      <c r="Y11" s="13" t="e">
        <f>SUMIFS('[1]C&amp;G Ledger_allocation'!AZ:AZ,'[1]C&amp;G Ledger_allocation'!$H:$H,'salary allocation-v2'!$D11,'[1]C&amp;G Ledger_allocation'!$A:$A,'salary allocation-v2'!$N11)</f>
        <v>#VALUE!</v>
      </c>
      <c r="Z11" s="13" t="e">
        <f>SUMIFS('[1]C&amp;G Ledger_allocation'!BA:BA,'[1]C&amp;G Ledger_allocation'!$H:$H,'salary allocation-v2'!$D11,'[1]C&amp;G Ledger_allocation'!$A:$A,'salary allocation-v2'!$N11)</f>
        <v>#VALUE!</v>
      </c>
      <c r="AA11" s="13" t="e">
        <f>SUMIFS('[1]C&amp;G Ledger_allocation'!BB:BB,'[1]C&amp;G Ledger_allocation'!$H:$H,'salary allocation-v2'!$D11,'[1]C&amp;G Ledger_allocation'!$A:$A,'salary allocation-v2'!$N11)</f>
        <v>#VALUE!</v>
      </c>
      <c r="AB11" s="13" t="e">
        <f>SUMIFS('[1]C&amp;G Ledger_allocation'!BC:BC,'[1]C&amp;G Ledger_allocation'!$H:$H,'salary allocation-v2'!$D11,'[1]C&amp;G Ledger_allocation'!$A:$A,'salary allocation-v2'!$N11)</f>
        <v>#VALUE!</v>
      </c>
      <c r="AC11" s="12" t="e">
        <f>R11</f>
        <v>#VALUE!</v>
      </c>
      <c r="AD11" s="13" t="e">
        <f>$AC11*E11</f>
        <v>#VALUE!</v>
      </c>
      <c r="AE11" s="13" t="e">
        <f>$AC11*F11</f>
        <v>#VALUE!</v>
      </c>
      <c r="AF11" s="13" t="e">
        <f>$AC11*G11</f>
        <v>#VALUE!</v>
      </c>
      <c r="AG11" s="13" t="e">
        <f>$AC11*H11</f>
        <v>#VALUE!</v>
      </c>
      <c r="AH11" s="13" t="e">
        <f>$AC11*I11</f>
        <v>#VALUE!</v>
      </c>
      <c r="AI11" s="13" t="e">
        <f>$AC11*J11</f>
        <v>#VALUE!</v>
      </c>
      <c r="AJ11" s="12" t="e">
        <f>SUM(AD11:AI11)</f>
        <v>#VALUE!</v>
      </c>
      <c r="AK11" s="19" t="e">
        <f>AC11-AJ11</f>
        <v>#VALUE!</v>
      </c>
    </row>
    <row r="12" spans="1:37" ht="16" x14ac:dyDescent="0.2">
      <c r="A12" s="11">
        <f>A11+1</f>
        <v>7</v>
      </c>
      <c r="B12" s="18" t="s">
        <v>22</v>
      </c>
      <c r="C12" s="11" t="s">
        <v>6</v>
      </c>
      <c r="D12" s="11" t="s">
        <v>20</v>
      </c>
      <c r="E12" s="21">
        <v>0</v>
      </c>
      <c r="F12" s="21">
        <f>'[1]salary allocation'!F12</f>
        <v>0.2</v>
      </c>
      <c r="G12" s="21">
        <f>'[1]salary allocation'!G12</f>
        <v>0.2</v>
      </c>
      <c r="H12" s="21">
        <f>'[1]salary allocation'!H12</f>
        <v>0.2</v>
      </c>
      <c r="I12" s="21"/>
      <c r="J12" s="21">
        <f>'[1]salary allocation'!E12+'[1]salary allocation'!J12</f>
        <v>0.4</v>
      </c>
      <c r="K12" s="20">
        <f>SUM(E12:J12)</f>
        <v>1</v>
      </c>
      <c r="L12" s="11" t="s">
        <v>21</v>
      </c>
      <c r="M12" s="1">
        <v>5</v>
      </c>
      <c r="N12" s="1">
        <v>12024</v>
      </c>
      <c r="O12" s="13" t="e">
        <f>SUMIFS('[1]C&amp;G Ledger_allocation'!AP:AP,'[1]C&amp;G Ledger_allocation'!$H:$H,'salary allocation-v2'!$D12,'[1]C&amp;G Ledger_allocation'!$A:$A,'salary allocation-v2'!$N12)</f>
        <v>#VALUE!</v>
      </c>
      <c r="P12" s="13" t="e">
        <f>SUMIFS('[1]C&amp;G Ledger_allocation'!AQ:AQ,'[1]C&amp;G Ledger_allocation'!$H:$H,'salary allocation-v2'!$D12,'[1]C&amp;G Ledger_allocation'!$A:$A,'salary allocation-v2'!$N12)</f>
        <v>#VALUE!</v>
      </c>
      <c r="Q12" s="13" t="e">
        <f>SUMIFS('[1]C&amp;G Ledger_allocation'!AR:AR,'[1]C&amp;G Ledger_allocation'!$H:$H,'salary allocation-v2'!$D12,'[1]C&amp;G Ledger_allocation'!$A:$A,'salary allocation-v2'!$N12)</f>
        <v>#VALUE!</v>
      </c>
      <c r="R12" s="13" t="e">
        <f>SUMIFS('[1]C&amp;G Ledger_allocation'!AS:AS,'[1]C&amp;G Ledger_allocation'!$H:$H,'salary allocation-v2'!$D12,'[1]C&amp;G Ledger_allocation'!$A:$A,'salary allocation-v2'!$N12)</f>
        <v>#VALUE!</v>
      </c>
      <c r="S12" s="13" t="e">
        <f>SUMIFS('[1]C&amp;G Ledger_allocation'!AT:AT,'[1]C&amp;G Ledger_allocation'!$H:$H,'salary allocation-v2'!$D12,'[1]C&amp;G Ledger_allocation'!$A:$A,'salary allocation-v2'!$N12)</f>
        <v>#VALUE!</v>
      </c>
      <c r="T12" s="13" t="e">
        <f>SUMIFS('[1]C&amp;G Ledger_allocation'!AU:AU,'[1]C&amp;G Ledger_allocation'!$H:$H,'salary allocation-v2'!$D12,'[1]C&amp;G Ledger_allocation'!$A:$A,'salary allocation-v2'!$N12)</f>
        <v>#VALUE!</v>
      </c>
      <c r="U12" s="13" t="e">
        <f>SUMIFS('[1]C&amp;G Ledger_allocation'!AV:AV,'[1]C&amp;G Ledger_allocation'!$H:$H,'salary allocation-v2'!$D12,'[1]C&amp;G Ledger_allocation'!$A:$A,'salary allocation-v2'!$N12)</f>
        <v>#VALUE!</v>
      </c>
      <c r="V12" s="13" t="e">
        <f>SUMIFS('[1]C&amp;G Ledger_allocation'!AW:AW,'[1]C&amp;G Ledger_allocation'!$H:$H,'salary allocation-v2'!$D12,'[1]C&amp;G Ledger_allocation'!$A:$A,'salary allocation-v2'!$N12)</f>
        <v>#VALUE!</v>
      </c>
      <c r="W12" s="13" t="e">
        <f>SUMIFS('[1]C&amp;G Ledger_allocation'!AX:AX,'[1]C&amp;G Ledger_allocation'!$H:$H,'salary allocation-v2'!$D12,'[1]C&amp;G Ledger_allocation'!$A:$A,'salary allocation-v2'!$N12)</f>
        <v>#VALUE!</v>
      </c>
      <c r="X12" s="13" t="e">
        <f>SUMIFS('[1]C&amp;G Ledger_allocation'!AY:AY,'[1]C&amp;G Ledger_allocation'!$H:$H,'salary allocation-v2'!$D12,'[1]C&amp;G Ledger_allocation'!$A:$A,'salary allocation-v2'!$N12)</f>
        <v>#VALUE!</v>
      </c>
      <c r="Y12" s="13" t="e">
        <f>SUMIFS('[1]C&amp;G Ledger_allocation'!AZ:AZ,'[1]C&amp;G Ledger_allocation'!$H:$H,'salary allocation-v2'!$D12,'[1]C&amp;G Ledger_allocation'!$A:$A,'salary allocation-v2'!$N12)</f>
        <v>#VALUE!</v>
      </c>
      <c r="Z12" s="13" t="e">
        <f>SUMIFS('[1]C&amp;G Ledger_allocation'!BA:BA,'[1]C&amp;G Ledger_allocation'!$H:$H,'salary allocation-v2'!$D12,'[1]C&amp;G Ledger_allocation'!$A:$A,'salary allocation-v2'!$N12)</f>
        <v>#VALUE!</v>
      </c>
      <c r="AA12" s="13" t="e">
        <f>SUMIFS('[1]C&amp;G Ledger_allocation'!BB:BB,'[1]C&amp;G Ledger_allocation'!$H:$H,'salary allocation-v2'!$D12,'[1]C&amp;G Ledger_allocation'!$A:$A,'salary allocation-v2'!$N12)</f>
        <v>#VALUE!</v>
      </c>
      <c r="AB12" s="13" t="e">
        <f>SUMIFS('[1]C&amp;G Ledger_allocation'!BC:BC,'[1]C&amp;G Ledger_allocation'!$H:$H,'salary allocation-v2'!$D12,'[1]C&amp;G Ledger_allocation'!$A:$A,'salary allocation-v2'!$N12)</f>
        <v>#VALUE!</v>
      </c>
      <c r="AC12" s="12" t="e">
        <f>R12</f>
        <v>#VALUE!</v>
      </c>
      <c r="AD12" s="13" t="e">
        <f>$AC12*E12</f>
        <v>#VALUE!</v>
      </c>
      <c r="AE12" s="13" t="e">
        <f>$AC12*F12</f>
        <v>#VALUE!</v>
      </c>
      <c r="AF12" s="13" t="e">
        <f>$AC12*G12</f>
        <v>#VALUE!</v>
      </c>
      <c r="AG12" s="13" t="e">
        <f>$AC12*H12</f>
        <v>#VALUE!</v>
      </c>
      <c r="AH12" s="13" t="e">
        <f>$AC12*I12</f>
        <v>#VALUE!</v>
      </c>
      <c r="AI12" s="13" t="e">
        <f>$AC12*J12</f>
        <v>#VALUE!</v>
      </c>
      <c r="AJ12" s="12" t="e">
        <f>SUM(AD12:AI12)</f>
        <v>#VALUE!</v>
      </c>
      <c r="AK12" s="19" t="e">
        <f>AC12-AJ12</f>
        <v>#VALUE!</v>
      </c>
    </row>
    <row r="13" spans="1:37" ht="16" x14ac:dyDescent="0.2">
      <c r="A13" s="11">
        <f>A12+1</f>
        <v>8</v>
      </c>
      <c r="B13" s="18" t="s">
        <v>20</v>
      </c>
      <c r="C13" s="11" t="s">
        <v>19</v>
      </c>
      <c r="D13" s="11" t="s">
        <v>13</v>
      </c>
      <c r="E13" s="21">
        <v>0</v>
      </c>
      <c r="F13" s="21">
        <f>'[1]salary allocation'!F13</f>
        <v>0.2</v>
      </c>
      <c r="G13" s="21">
        <f>'[1]salary allocation'!G13</f>
        <v>0.2</v>
      </c>
      <c r="H13" s="21">
        <f>'[1]salary allocation'!H13</f>
        <v>0.2</v>
      </c>
      <c r="I13" s="21"/>
      <c r="J13" s="21">
        <f>'[1]salary allocation'!E13+'[1]salary allocation'!J13</f>
        <v>0.4</v>
      </c>
      <c r="K13" s="20">
        <f>SUM(E13:J13)</f>
        <v>1</v>
      </c>
      <c r="L13" s="11"/>
      <c r="M13" s="1">
        <v>5</v>
      </c>
      <c r="N13" s="1">
        <v>12024</v>
      </c>
      <c r="O13" s="13" t="e">
        <f>SUMIFS('[1]C&amp;G Ledger_allocation'!AP:AP,'[1]C&amp;G Ledger_allocation'!$H:$H,'salary allocation-v2'!$D13,'[1]C&amp;G Ledger_allocation'!$A:$A,'salary allocation-v2'!$N13)</f>
        <v>#VALUE!</v>
      </c>
      <c r="P13" s="13" t="e">
        <f>SUMIFS('[1]C&amp;G Ledger_allocation'!AQ:AQ,'[1]C&amp;G Ledger_allocation'!$H:$H,'salary allocation-v2'!$D13,'[1]C&amp;G Ledger_allocation'!$A:$A,'salary allocation-v2'!$N13)</f>
        <v>#VALUE!</v>
      </c>
      <c r="Q13" s="13" t="e">
        <f>SUMIFS('[1]C&amp;G Ledger_allocation'!AR:AR,'[1]C&amp;G Ledger_allocation'!$H:$H,'salary allocation-v2'!$D13,'[1]C&amp;G Ledger_allocation'!$A:$A,'salary allocation-v2'!$N13)</f>
        <v>#VALUE!</v>
      </c>
      <c r="R13" s="13" t="e">
        <f>SUMIFS('[1]C&amp;G Ledger_allocation'!AS:AS,'[1]C&amp;G Ledger_allocation'!$H:$H,'salary allocation-v2'!$D13,'[1]C&amp;G Ledger_allocation'!$A:$A,'salary allocation-v2'!$N13)</f>
        <v>#VALUE!</v>
      </c>
      <c r="S13" s="13" t="e">
        <f>SUMIFS('[1]C&amp;G Ledger_allocation'!AT:AT,'[1]C&amp;G Ledger_allocation'!$H:$H,'salary allocation-v2'!$D13,'[1]C&amp;G Ledger_allocation'!$A:$A,'salary allocation-v2'!$N13)</f>
        <v>#VALUE!</v>
      </c>
      <c r="T13" s="13" t="e">
        <f>SUMIFS('[1]C&amp;G Ledger_allocation'!AU:AU,'[1]C&amp;G Ledger_allocation'!$H:$H,'salary allocation-v2'!$D13,'[1]C&amp;G Ledger_allocation'!$A:$A,'salary allocation-v2'!$N13)</f>
        <v>#VALUE!</v>
      </c>
      <c r="U13" s="13" t="e">
        <f>SUMIFS('[1]C&amp;G Ledger_allocation'!AV:AV,'[1]C&amp;G Ledger_allocation'!$H:$H,'salary allocation-v2'!$D13,'[1]C&amp;G Ledger_allocation'!$A:$A,'salary allocation-v2'!$N13)</f>
        <v>#VALUE!</v>
      </c>
      <c r="V13" s="13" t="e">
        <f>SUMIFS('[1]C&amp;G Ledger_allocation'!AW:AW,'[1]C&amp;G Ledger_allocation'!$H:$H,'salary allocation-v2'!$D13,'[1]C&amp;G Ledger_allocation'!$A:$A,'salary allocation-v2'!$N13)</f>
        <v>#VALUE!</v>
      </c>
      <c r="W13" s="13" t="e">
        <f>SUMIFS('[1]C&amp;G Ledger_allocation'!AX:AX,'[1]C&amp;G Ledger_allocation'!$H:$H,'salary allocation-v2'!$D13,'[1]C&amp;G Ledger_allocation'!$A:$A,'salary allocation-v2'!$N13)</f>
        <v>#VALUE!</v>
      </c>
      <c r="X13" s="13" t="e">
        <f>SUMIFS('[1]C&amp;G Ledger_allocation'!AY:AY,'[1]C&amp;G Ledger_allocation'!$H:$H,'salary allocation-v2'!$D13,'[1]C&amp;G Ledger_allocation'!$A:$A,'salary allocation-v2'!$N13)</f>
        <v>#VALUE!</v>
      </c>
      <c r="Y13" s="13" t="e">
        <f>SUMIFS('[1]C&amp;G Ledger_allocation'!AZ:AZ,'[1]C&amp;G Ledger_allocation'!$H:$H,'salary allocation-v2'!$D13,'[1]C&amp;G Ledger_allocation'!$A:$A,'salary allocation-v2'!$N13)</f>
        <v>#VALUE!</v>
      </c>
      <c r="Z13" s="13" t="e">
        <f>SUMIFS('[1]C&amp;G Ledger_allocation'!BA:BA,'[1]C&amp;G Ledger_allocation'!$H:$H,'salary allocation-v2'!$D13,'[1]C&amp;G Ledger_allocation'!$A:$A,'salary allocation-v2'!$N13)</f>
        <v>#VALUE!</v>
      </c>
      <c r="AA13" s="13" t="e">
        <f>SUMIFS('[1]C&amp;G Ledger_allocation'!BB:BB,'[1]C&amp;G Ledger_allocation'!$H:$H,'salary allocation-v2'!$D13,'[1]C&amp;G Ledger_allocation'!$A:$A,'salary allocation-v2'!$N13)</f>
        <v>#VALUE!</v>
      </c>
      <c r="AB13" s="13" t="e">
        <f>SUMIFS('[1]C&amp;G Ledger_allocation'!BC:BC,'[1]C&amp;G Ledger_allocation'!$H:$H,'salary allocation-v2'!$D13,'[1]C&amp;G Ledger_allocation'!$A:$A,'salary allocation-v2'!$N13)</f>
        <v>#VALUE!</v>
      </c>
      <c r="AC13" s="12" t="e">
        <f>W13</f>
        <v>#VALUE!</v>
      </c>
      <c r="AD13" s="13" t="e">
        <f>$AC13*E13</f>
        <v>#VALUE!</v>
      </c>
      <c r="AE13" s="13" t="e">
        <f>$AC13*F13</f>
        <v>#VALUE!</v>
      </c>
      <c r="AF13" s="13" t="e">
        <f>$AC13*G13</f>
        <v>#VALUE!</v>
      </c>
      <c r="AG13" s="13" t="e">
        <f>$AC13*H13</f>
        <v>#VALUE!</v>
      </c>
      <c r="AH13" s="13" t="e">
        <f>$AC13*I13</f>
        <v>#VALUE!</v>
      </c>
      <c r="AI13" s="13" t="e">
        <f>$AC13*J13</f>
        <v>#VALUE!</v>
      </c>
      <c r="AJ13" s="12" t="e">
        <f>SUM(AD13:AI13)</f>
        <v>#VALUE!</v>
      </c>
      <c r="AK13" s="19" t="e">
        <f>AC13-AJ13</f>
        <v>#VALUE!</v>
      </c>
    </row>
    <row r="14" spans="1:37" ht="16" x14ac:dyDescent="0.2">
      <c r="A14" s="11">
        <f>A13+1</f>
        <v>9</v>
      </c>
      <c r="B14" s="18" t="s">
        <v>5</v>
      </c>
      <c r="C14" s="11" t="s">
        <v>10</v>
      </c>
      <c r="D14" s="11" t="s">
        <v>18</v>
      </c>
      <c r="E14" s="21">
        <v>0.5</v>
      </c>
      <c r="F14" s="21">
        <f>'[1]salary allocation'!F14</f>
        <v>0.1</v>
      </c>
      <c r="G14" s="21">
        <f>'[1]salary allocation'!G14</f>
        <v>0.1</v>
      </c>
      <c r="H14" s="21">
        <f>'[1]salary allocation'!H14</f>
        <v>0.1</v>
      </c>
      <c r="I14" s="21"/>
      <c r="J14" s="21">
        <v>0.2</v>
      </c>
      <c r="K14" s="20">
        <f>SUM(E14:J14)</f>
        <v>1</v>
      </c>
      <c r="L14" s="11"/>
      <c r="M14" s="1">
        <v>5</v>
      </c>
      <c r="N14" s="1">
        <v>12024</v>
      </c>
      <c r="O14" s="13" t="e">
        <f>SUMIFS('[1]C&amp;G Ledger_allocation'!AP:AP,'[1]C&amp;G Ledger_allocation'!$H:$H,'salary allocation-v2'!$D14,'[1]C&amp;G Ledger_allocation'!$A:$A,'salary allocation-v2'!$N14)</f>
        <v>#VALUE!</v>
      </c>
      <c r="P14" s="13" t="e">
        <f>SUMIFS('[1]C&amp;G Ledger_allocation'!AQ:AQ,'[1]C&amp;G Ledger_allocation'!$H:$H,'salary allocation-v2'!$D14,'[1]C&amp;G Ledger_allocation'!$A:$A,'salary allocation-v2'!$N14)</f>
        <v>#VALUE!</v>
      </c>
      <c r="Q14" s="13" t="e">
        <f>SUMIFS('[1]C&amp;G Ledger_allocation'!AR:AR,'[1]C&amp;G Ledger_allocation'!$H:$H,'salary allocation-v2'!$D14,'[1]C&amp;G Ledger_allocation'!$A:$A,'salary allocation-v2'!$N14)</f>
        <v>#VALUE!</v>
      </c>
      <c r="R14" s="13" t="e">
        <f>SUMIFS('[1]C&amp;G Ledger_allocation'!AS:AS,'[1]C&amp;G Ledger_allocation'!$H:$H,'salary allocation-v2'!$D14,'[1]C&amp;G Ledger_allocation'!$A:$A,'salary allocation-v2'!$N14)</f>
        <v>#VALUE!</v>
      </c>
      <c r="S14" s="13" t="e">
        <f>SUMIFS('[1]C&amp;G Ledger_allocation'!AT:AT,'[1]C&amp;G Ledger_allocation'!$H:$H,'salary allocation-v2'!$D14,'[1]C&amp;G Ledger_allocation'!$A:$A,'salary allocation-v2'!$N14)</f>
        <v>#VALUE!</v>
      </c>
      <c r="T14" s="13" t="e">
        <f>SUMIFS('[1]C&amp;G Ledger_allocation'!AU:AU,'[1]C&amp;G Ledger_allocation'!$H:$H,'salary allocation-v2'!$D14,'[1]C&amp;G Ledger_allocation'!$A:$A,'salary allocation-v2'!$N14)</f>
        <v>#VALUE!</v>
      </c>
      <c r="U14" s="13" t="e">
        <f>SUMIFS('[1]C&amp;G Ledger_allocation'!AV:AV,'[1]C&amp;G Ledger_allocation'!$H:$H,'salary allocation-v2'!$D14,'[1]C&amp;G Ledger_allocation'!$A:$A,'salary allocation-v2'!$N14)</f>
        <v>#VALUE!</v>
      </c>
      <c r="V14" s="13" t="e">
        <f>SUMIFS('[1]C&amp;G Ledger_allocation'!AW:AW,'[1]C&amp;G Ledger_allocation'!$H:$H,'salary allocation-v2'!$D14,'[1]C&amp;G Ledger_allocation'!$A:$A,'salary allocation-v2'!$N14)</f>
        <v>#VALUE!</v>
      </c>
      <c r="W14" s="13" t="e">
        <f>SUMIFS('[1]C&amp;G Ledger_allocation'!AX:AX,'[1]C&amp;G Ledger_allocation'!$H:$H,'salary allocation-v2'!$D14,'[1]C&amp;G Ledger_allocation'!$A:$A,'salary allocation-v2'!$N14)</f>
        <v>#VALUE!</v>
      </c>
      <c r="X14" s="13" t="e">
        <f>SUMIFS('[1]C&amp;G Ledger_allocation'!AY:AY,'[1]C&amp;G Ledger_allocation'!$H:$H,'salary allocation-v2'!$D14,'[1]C&amp;G Ledger_allocation'!$A:$A,'salary allocation-v2'!$N14)</f>
        <v>#VALUE!</v>
      </c>
      <c r="Y14" s="13" t="e">
        <f>SUMIFS('[1]C&amp;G Ledger_allocation'!AZ:AZ,'[1]C&amp;G Ledger_allocation'!$H:$H,'salary allocation-v2'!$D14,'[1]C&amp;G Ledger_allocation'!$A:$A,'salary allocation-v2'!$N14)</f>
        <v>#VALUE!</v>
      </c>
      <c r="Z14" s="13" t="e">
        <f>SUMIFS('[1]C&amp;G Ledger_allocation'!BA:BA,'[1]C&amp;G Ledger_allocation'!$H:$H,'salary allocation-v2'!$D14,'[1]C&amp;G Ledger_allocation'!$A:$A,'salary allocation-v2'!$N14)</f>
        <v>#VALUE!</v>
      </c>
      <c r="AA14" s="13" t="e">
        <f>SUMIFS('[1]C&amp;G Ledger_allocation'!BB:BB,'[1]C&amp;G Ledger_allocation'!$H:$H,'salary allocation-v2'!$D14,'[1]C&amp;G Ledger_allocation'!$A:$A,'salary allocation-v2'!$N14)</f>
        <v>#VALUE!</v>
      </c>
      <c r="AB14" s="13" t="e">
        <f>SUMIFS('[1]C&amp;G Ledger_allocation'!BC:BC,'[1]C&amp;G Ledger_allocation'!$H:$H,'salary allocation-v2'!$D14,'[1]C&amp;G Ledger_allocation'!$A:$A,'salary allocation-v2'!$N14)</f>
        <v>#VALUE!</v>
      </c>
      <c r="AC14" s="12" t="e">
        <f>Q14</f>
        <v>#VALUE!</v>
      </c>
      <c r="AD14" s="13" t="e">
        <f>$AC14*E14</f>
        <v>#VALUE!</v>
      </c>
      <c r="AE14" s="13" t="e">
        <f>$AC14*F14</f>
        <v>#VALUE!</v>
      </c>
      <c r="AF14" s="13" t="e">
        <f>$AC14*G14</f>
        <v>#VALUE!</v>
      </c>
      <c r="AG14" s="13" t="e">
        <f>$AC14*H14</f>
        <v>#VALUE!</v>
      </c>
      <c r="AH14" s="13" t="e">
        <f>$AC14*I14</f>
        <v>#VALUE!</v>
      </c>
      <c r="AI14" s="13" t="e">
        <f>$AC14*J14</f>
        <v>#VALUE!</v>
      </c>
      <c r="AJ14" s="12" t="e">
        <f>SUM(AD14:AI14)</f>
        <v>#VALUE!</v>
      </c>
      <c r="AK14" s="19" t="e">
        <f>AC14-AJ14</f>
        <v>#VALUE!</v>
      </c>
    </row>
    <row r="15" spans="1:37" ht="16" x14ac:dyDescent="0.2">
      <c r="A15" s="11">
        <f>A14+1</f>
        <v>10</v>
      </c>
      <c r="B15" s="18" t="s">
        <v>14</v>
      </c>
      <c r="C15" s="11" t="s">
        <v>10</v>
      </c>
      <c r="D15" s="11" t="s">
        <v>17</v>
      </c>
      <c r="E15" s="21">
        <v>0</v>
      </c>
      <c r="F15" s="21">
        <f>'[1]salary allocation'!F15</f>
        <v>0.16999999999999998</v>
      </c>
      <c r="G15" s="21">
        <f>'[1]salary allocation'!G15</f>
        <v>0.16999999999999998</v>
      </c>
      <c r="H15" s="21">
        <f>'[1]salary allocation'!H15</f>
        <v>0.16999999999999998</v>
      </c>
      <c r="I15" s="21"/>
      <c r="J15" s="21">
        <f>'[1]salary allocation'!E15+'[1]salary allocation'!J15</f>
        <v>0.49</v>
      </c>
      <c r="K15" s="20">
        <f>SUM(E15:J15)</f>
        <v>1</v>
      </c>
      <c r="L15" s="11"/>
      <c r="M15" s="1">
        <v>6</v>
      </c>
      <c r="N15" s="1">
        <v>12024</v>
      </c>
      <c r="O15" s="13" t="e">
        <f>SUMIFS('[1]C&amp;G Ledger_allocation'!AP:AP,'[1]C&amp;G Ledger_allocation'!$H:$H,'salary allocation-v2'!$D15,'[1]C&amp;G Ledger_allocation'!$A:$A,'salary allocation-v2'!$N15)</f>
        <v>#VALUE!</v>
      </c>
      <c r="P15" s="13" t="e">
        <f>SUMIFS('[1]C&amp;G Ledger_allocation'!AQ:AQ,'[1]C&amp;G Ledger_allocation'!$H:$H,'salary allocation-v2'!$D15,'[1]C&amp;G Ledger_allocation'!$A:$A,'salary allocation-v2'!$N15)</f>
        <v>#VALUE!</v>
      </c>
      <c r="Q15" s="13" t="e">
        <f>SUMIFS('[1]C&amp;G Ledger_allocation'!AR:AR,'[1]C&amp;G Ledger_allocation'!$H:$H,'salary allocation-v2'!$D15,'[1]C&amp;G Ledger_allocation'!$A:$A,'salary allocation-v2'!$N15)</f>
        <v>#VALUE!</v>
      </c>
      <c r="R15" s="13" t="e">
        <f>SUMIFS('[1]C&amp;G Ledger_allocation'!AS:AS,'[1]C&amp;G Ledger_allocation'!$H:$H,'salary allocation-v2'!$D15,'[1]C&amp;G Ledger_allocation'!$A:$A,'salary allocation-v2'!$N15)</f>
        <v>#VALUE!</v>
      </c>
      <c r="S15" s="13" t="e">
        <f>SUMIFS('[1]C&amp;G Ledger_allocation'!AT:AT,'[1]C&amp;G Ledger_allocation'!$H:$H,'salary allocation-v2'!$D15,'[1]C&amp;G Ledger_allocation'!$A:$A,'salary allocation-v2'!$N15)</f>
        <v>#VALUE!</v>
      </c>
      <c r="T15" s="13" t="e">
        <f>SUMIFS('[1]C&amp;G Ledger_allocation'!AU:AU,'[1]C&amp;G Ledger_allocation'!$H:$H,'salary allocation-v2'!$D15,'[1]C&amp;G Ledger_allocation'!$A:$A,'salary allocation-v2'!$N15)</f>
        <v>#VALUE!</v>
      </c>
      <c r="U15" s="13" t="e">
        <f>SUMIFS('[1]C&amp;G Ledger_allocation'!AV:AV,'[1]C&amp;G Ledger_allocation'!$H:$H,'salary allocation-v2'!$D15,'[1]C&amp;G Ledger_allocation'!$A:$A,'salary allocation-v2'!$N15)</f>
        <v>#VALUE!</v>
      </c>
      <c r="V15" s="13" t="e">
        <f>SUMIFS('[1]C&amp;G Ledger_allocation'!AW:AW,'[1]C&amp;G Ledger_allocation'!$H:$H,'salary allocation-v2'!$D15,'[1]C&amp;G Ledger_allocation'!$A:$A,'salary allocation-v2'!$N15)</f>
        <v>#VALUE!</v>
      </c>
      <c r="W15" s="13" t="e">
        <f>SUMIFS('[1]C&amp;G Ledger_allocation'!AX:AX,'[1]C&amp;G Ledger_allocation'!$H:$H,'salary allocation-v2'!$D15,'[1]C&amp;G Ledger_allocation'!$A:$A,'salary allocation-v2'!$N15)</f>
        <v>#VALUE!</v>
      </c>
      <c r="X15" s="13" t="e">
        <f>SUMIFS('[1]C&amp;G Ledger_allocation'!AY:AY,'[1]C&amp;G Ledger_allocation'!$H:$H,'salary allocation-v2'!$D15,'[1]C&amp;G Ledger_allocation'!$A:$A,'salary allocation-v2'!$N15)</f>
        <v>#VALUE!</v>
      </c>
      <c r="Y15" s="13" t="e">
        <f>SUMIFS('[1]C&amp;G Ledger_allocation'!AZ:AZ,'[1]C&amp;G Ledger_allocation'!$H:$H,'salary allocation-v2'!$D15,'[1]C&amp;G Ledger_allocation'!$A:$A,'salary allocation-v2'!$N15)</f>
        <v>#VALUE!</v>
      </c>
      <c r="Z15" s="13" t="e">
        <f>SUMIFS('[1]C&amp;G Ledger_allocation'!BA:BA,'[1]C&amp;G Ledger_allocation'!$H:$H,'salary allocation-v2'!$D15,'[1]C&amp;G Ledger_allocation'!$A:$A,'salary allocation-v2'!$N15)</f>
        <v>#VALUE!</v>
      </c>
      <c r="AA15" s="13" t="e">
        <f>SUMIFS('[1]C&amp;G Ledger_allocation'!BB:BB,'[1]C&amp;G Ledger_allocation'!$H:$H,'salary allocation-v2'!$D15,'[1]C&amp;G Ledger_allocation'!$A:$A,'salary allocation-v2'!$N15)</f>
        <v>#VALUE!</v>
      </c>
      <c r="AB15" s="13" t="e">
        <f>SUMIFS('[1]C&amp;G Ledger_allocation'!BC:BC,'[1]C&amp;G Ledger_allocation'!$H:$H,'salary allocation-v2'!$D15,'[1]C&amp;G Ledger_allocation'!$A:$A,'salary allocation-v2'!$N15)</f>
        <v>#VALUE!</v>
      </c>
      <c r="AC15" s="12" t="e">
        <f>Q15</f>
        <v>#VALUE!</v>
      </c>
      <c r="AD15" s="13" t="e">
        <f>$AC15*E15</f>
        <v>#VALUE!</v>
      </c>
      <c r="AE15" s="13" t="e">
        <f>$AC15*F15</f>
        <v>#VALUE!</v>
      </c>
      <c r="AF15" s="13" t="e">
        <f>$AC15*G15</f>
        <v>#VALUE!</v>
      </c>
      <c r="AG15" s="13" t="e">
        <f>$AC15*H15</f>
        <v>#VALUE!</v>
      </c>
      <c r="AH15" s="13" t="e">
        <f>$AC15*I15</f>
        <v>#VALUE!</v>
      </c>
      <c r="AI15" s="13" t="e">
        <f>$AC15*J15</f>
        <v>#VALUE!</v>
      </c>
      <c r="AJ15" s="12" t="e">
        <f>SUM(AD15:AI15)</f>
        <v>#VALUE!</v>
      </c>
      <c r="AK15" s="19" t="e">
        <f>AC15-AJ15</f>
        <v>#VALUE!</v>
      </c>
    </row>
    <row r="16" spans="1:37" ht="16" x14ac:dyDescent="0.2">
      <c r="A16" s="11">
        <f>A15+1</f>
        <v>11</v>
      </c>
      <c r="B16" s="18" t="s">
        <v>2</v>
      </c>
      <c r="C16" s="11" t="s">
        <v>10</v>
      </c>
      <c r="D16" s="11" t="s">
        <v>16</v>
      </c>
      <c r="E16" s="21">
        <v>0</v>
      </c>
      <c r="F16" s="21">
        <f>'[1]salary allocation'!F16</f>
        <v>0.1</v>
      </c>
      <c r="G16" s="21">
        <f>'[1]salary allocation'!G16</f>
        <v>0.1</v>
      </c>
      <c r="H16" s="21">
        <f>'[1]salary allocation'!H16</f>
        <v>0.1</v>
      </c>
      <c r="I16" s="21"/>
      <c r="J16" s="21">
        <f>'[1]salary allocation'!E16+'[1]salary allocation'!J16</f>
        <v>0.7</v>
      </c>
      <c r="K16" s="20">
        <f>SUM(E16:J16)</f>
        <v>1</v>
      </c>
      <c r="L16" s="11"/>
      <c r="M16" s="1">
        <v>5</v>
      </c>
      <c r="N16" s="1">
        <v>12024</v>
      </c>
      <c r="O16" s="13" t="e">
        <f>SUMIFS('[1]C&amp;G Ledger_allocation'!AP:AP,'[1]C&amp;G Ledger_allocation'!$H:$H,'salary allocation-v2'!$D16,'[1]C&amp;G Ledger_allocation'!$A:$A,'salary allocation-v2'!$N16)</f>
        <v>#VALUE!</v>
      </c>
      <c r="P16" s="13" t="e">
        <f>SUMIFS('[1]C&amp;G Ledger_allocation'!AQ:AQ,'[1]C&amp;G Ledger_allocation'!$H:$H,'salary allocation-v2'!$D16,'[1]C&amp;G Ledger_allocation'!$A:$A,'salary allocation-v2'!$N16)</f>
        <v>#VALUE!</v>
      </c>
      <c r="Q16" s="13" t="e">
        <f>SUMIFS('[1]C&amp;G Ledger_allocation'!AR:AR,'[1]C&amp;G Ledger_allocation'!$H:$H,'salary allocation-v2'!$D16,'[1]C&amp;G Ledger_allocation'!$A:$A,'salary allocation-v2'!$N16)</f>
        <v>#VALUE!</v>
      </c>
      <c r="R16" s="13" t="e">
        <f>SUMIFS('[1]C&amp;G Ledger_allocation'!AS:AS,'[1]C&amp;G Ledger_allocation'!$H:$H,'salary allocation-v2'!$D16,'[1]C&amp;G Ledger_allocation'!$A:$A,'salary allocation-v2'!$N16)</f>
        <v>#VALUE!</v>
      </c>
      <c r="S16" s="13" t="e">
        <f>SUMIFS('[1]C&amp;G Ledger_allocation'!AT:AT,'[1]C&amp;G Ledger_allocation'!$H:$H,'salary allocation-v2'!$D16,'[1]C&amp;G Ledger_allocation'!$A:$A,'salary allocation-v2'!$N16)</f>
        <v>#VALUE!</v>
      </c>
      <c r="T16" s="13" t="e">
        <f>SUMIFS('[1]C&amp;G Ledger_allocation'!AU:AU,'[1]C&amp;G Ledger_allocation'!$H:$H,'salary allocation-v2'!$D16,'[1]C&amp;G Ledger_allocation'!$A:$A,'salary allocation-v2'!$N16)</f>
        <v>#VALUE!</v>
      </c>
      <c r="U16" s="13" t="e">
        <f>SUMIFS('[1]C&amp;G Ledger_allocation'!AV:AV,'[1]C&amp;G Ledger_allocation'!$H:$H,'salary allocation-v2'!$D16,'[1]C&amp;G Ledger_allocation'!$A:$A,'salary allocation-v2'!$N16)</f>
        <v>#VALUE!</v>
      </c>
      <c r="V16" s="13" t="e">
        <f>SUMIFS('[1]C&amp;G Ledger_allocation'!AW:AW,'[1]C&amp;G Ledger_allocation'!$H:$H,'salary allocation-v2'!$D16,'[1]C&amp;G Ledger_allocation'!$A:$A,'salary allocation-v2'!$N16)</f>
        <v>#VALUE!</v>
      </c>
      <c r="W16" s="13" t="e">
        <f>SUMIFS('[1]C&amp;G Ledger_allocation'!AX:AX,'[1]C&amp;G Ledger_allocation'!$H:$H,'salary allocation-v2'!$D16,'[1]C&amp;G Ledger_allocation'!$A:$A,'salary allocation-v2'!$N16)</f>
        <v>#VALUE!</v>
      </c>
      <c r="X16" s="13" t="e">
        <f>SUMIFS('[1]C&amp;G Ledger_allocation'!AY:AY,'[1]C&amp;G Ledger_allocation'!$H:$H,'salary allocation-v2'!$D16,'[1]C&amp;G Ledger_allocation'!$A:$A,'salary allocation-v2'!$N16)</f>
        <v>#VALUE!</v>
      </c>
      <c r="Y16" s="13" t="e">
        <f>SUMIFS('[1]C&amp;G Ledger_allocation'!AZ:AZ,'[1]C&amp;G Ledger_allocation'!$H:$H,'salary allocation-v2'!$D16,'[1]C&amp;G Ledger_allocation'!$A:$A,'salary allocation-v2'!$N16)</f>
        <v>#VALUE!</v>
      </c>
      <c r="Z16" s="13" t="e">
        <f>SUMIFS('[1]C&amp;G Ledger_allocation'!BA:BA,'[1]C&amp;G Ledger_allocation'!$H:$H,'salary allocation-v2'!$D16,'[1]C&amp;G Ledger_allocation'!$A:$A,'salary allocation-v2'!$N16)</f>
        <v>#VALUE!</v>
      </c>
      <c r="AA16" s="13" t="e">
        <f>SUMIFS('[1]C&amp;G Ledger_allocation'!BB:BB,'[1]C&amp;G Ledger_allocation'!$H:$H,'salary allocation-v2'!$D16,'[1]C&amp;G Ledger_allocation'!$A:$A,'salary allocation-v2'!$N16)</f>
        <v>#VALUE!</v>
      </c>
      <c r="AB16" s="13" t="e">
        <f>SUMIFS('[1]C&amp;G Ledger_allocation'!BC:BC,'[1]C&amp;G Ledger_allocation'!$H:$H,'salary allocation-v2'!$D16,'[1]C&amp;G Ledger_allocation'!$A:$A,'salary allocation-v2'!$N16)</f>
        <v>#VALUE!</v>
      </c>
      <c r="AC16" s="12" t="e">
        <f>Q16</f>
        <v>#VALUE!</v>
      </c>
      <c r="AD16" s="13" t="e">
        <f>$AC16*E16</f>
        <v>#VALUE!</v>
      </c>
      <c r="AE16" s="13" t="e">
        <f>$AC16*F16</f>
        <v>#VALUE!</v>
      </c>
      <c r="AF16" s="13" t="e">
        <f>$AC16*G16</f>
        <v>#VALUE!</v>
      </c>
      <c r="AG16" s="13" t="e">
        <f>$AC16*H16</f>
        <v>#VALUE!</v>
      </c>
      <c r="AH16" s="13" t="e">
        <f>$AC16*I16</f>
        <v>#VALUE!</v>
      </c>
      <c r="AI16" s="13" t="e">
        <f>$AC16*J16</f>
        <v>#VALUE!</v>
      </c>
      <c r="AJ16" s="12" t="e">
        <f>SUM(AD16:AI16)</f>
        <v>#VALUE!</v>
      </c>
      <c r="AK16" s="19" t="e">
        <f>AC16-AJ16</f>
        <v>#VALUE!</v>
      </c>
    </row>
    <row r="17" spans="1:37" ht="16" x14ac:dyDescent="0.2">
      <c r="A17" s="11">
        <f>A16+1</f>
        <v>12</v>
      </c>
      <c r="B17" s="18" t="s">
        <v>15</v>
      </c>
      <c r="C17" s="11" t="s">
        <v>10</v>
      </c>
      <c r="D17" s="11" t="s">
        <v>14</v>
      </c>
      <c r="E17" s="21">
        <v>0</v>
      </c>
      <c r="F17" s="21">
        <f>'[1]salary allocation'!F17</f>
        <v>0.16999999999999998</v>
      </c>
      <c r="G17" s="21">
        <f>'[1]salary allocation'!G17</f>
        <v>0.16999999999999998</v>
      </c>
      <c r="H17" s="21">
        <f>'[1]salary allocation'!H17</f>
        <v>0.16999999999999998</v>
      </c>
      <c r="I17" s="21"/>
      <c r="J17" s="21">
        <f>'[1]salary allocation'!E17+'[1]salary allocation'!J17</f>
        <v>0.49</v>
      </c>
      <c r="K17" s="20">
        <f>SUM(E17:J17)</f>
        <v>1</v>
      </c>
      <c r="L17" s="11"/>
      <c r="M17" s="1">
        <v>6</v>
      </c>
      <c r="N17" s="1">
        <v>12024</v>
      </c>
      <c r="O17" s="13" t="e">
        <f>SUMIFS('[1]C&amp;G Ledger_allocation'!AP:AP,'[1]C&amp;G Ledger_allocation'!$H:$H,'salary allocation-v2'!$D17,'[1]C&amp;G Ledger_allocation'!$A:$A,'salary allocation-v2'!$N17)</f>
        <v>#VALUE!</v>
      </c>
      <c r="P17" s="13" t="e">
        <f>SUMIFS('[1]C&amp;G Ledger_allocation'!AQ:AQ,'[1]C&amp;G Ledger_allocation'!$H:$H,'salary allocation-v2'!$D17,'[1]C&amp;G Ledger_allocation'!$A:$A,'salary allocation-v2'!$N17)</f>
        <v>#VALUE!</v>
      </c>
      <c r="Q17" s="13" t="e">
        <f>SUMIFS('[1]C&amp;G Ledger_allocation'!AR:AR,'[1]C&amp;G Ledger_allocation'!$H:$H,'salary allocation-v2'!$D17,'[1]C&amp;G Ledger_allocation'!$A:$A,'salary allocation-v2'!$N17)</f>
        <v>#VALUE!</v>
      </c>
      <c r="R17" s="13" t="e">
        <f>SUMIFS('[1]C&amp;G Ledger_allocation'!AS:AS,'[1]C&amp;G Ledger_allocation'!$H:$H,'salary allocation-v2'!$D17,'[1]C&amp;G Ledger_allocation'!$A:$A,'salary allocation-v2'!$N17)</f>
        <v>#VALUE!</v>
      </c>
      <c r="S17" s="13" t="e">
        <f>SUMIFS('[1]C&amp;G Ledger_allocation'!AT:AT,'[1]C&amp;G Ledger_allocation'!$H:$H,'salary allocation-v2'!$D17,'[1]C&amp;G Ledger_allocation'!$A:$A,'salary allocation-v2'!$N17)</f>
        <v>#VALUE!</v>
      </c>
      <c r="T17" s="13" t="e">
        <f>SUMIFS('[1]C&amp;G Ledger_allocation'!AU:AU,'[1]C&amp;G Ledger_allocation'!$H:$H,'salary allocation-v2'!$D17,'[1]C&amp;G Ledger_allocation'!$A:$A,'salary allocation-v2'!$N17)</f>
        <v>#VALUE!</v>
      </c>
      <c r="U17" s="13" t="e">
        <f>SUMIFS('[1]C&amp;G Ledger_allocation'!AV:AV,'[1]C&amp;G Ledger_allocation'!$H:$H,'salary allocation-v2'!$D17,'[1]C&amp;G Ledger_allocation'!$A:$A,'salary allocation-v2'!$N17)</f>
        <v>#VALUE!</v>
      </c>
      <c r="V17" s="13" t="e">
        <f>SUMIFS('[1]C&amp;G Ledger_allocation'!AW:AW,'[1]C&amp;G Ledger_allocation'!$H:$H,'salary allocation-v2'!$D17,'[1]C&amp;G Ledger_allocation'!$A:$A,'salary allocation-v2'!$N17)</f>
        <v>#VALUE!</v>
      </c>
      <c r="W17" s="13" t="e">
        <f>SUMIFS('[1]C&amp;G Ledger_allocation'!AX:AX,'[1]C&amp;G Ledger_allocation'!$H:$H,'salary allocation-v2'!$D17,'[1]C&amp;G Ledger_allocation'!$A:$A,'salary allocation-v2'!$N17)</f>
        <v>#VALUE!</v>
      </c>
      <c r="X17" s="13" t="e">
        <f>SUMIFS('[1]C&amp;G Ledger_allocation'!AY:AY,'[1]C&amp;G Ledger_allocation'!$H:$H,'salary allocation-v2'!$D17,'[1]C&amp;G Ledger_allocation'!$A:$A,'salary allocation-v2'!$N17)</f>
        <v>#VALUE!</v>
      </c>
      <c r="Y17" s="13" t="e">
        <f>SUMIFS('[1]C&amp;G Ledger_allocation'!AZ:AZ,'[1]C&amp;G Ledger_allocation'!$H:$H,'salary allocation-v2'!$D17,'[1]C&amp;G Ledger_allocation'!$A:$A,'salary allocation-v2'!$N17)</f>
        <v>#VALUE!</v>
      </c>
      <c r="Z17" s="13" t="e">
        <f>SUMIFS('[1]C&amp;G Ledger_allocation'!BA:BA,'[1]C&amp;G Ledger_allocation'!$H:$H,'salary allocation-v2'!$D17,'[1]C&amp;G Ledger_allocation'!$A:$A,'salary allocation-v2'!$N17)</f>
        <v>#VALUE!</v>
      </c>
      <c r="AA17" s="13" t="e">
        <f>SUMIFS('[1]C&amp;G Ledger_allocation'!BB:BB,'[1]C&amp;G Ledger_allocation'!$H:$H,'salary allocation-v2'!$D17,'[1]C&amp;G Ledger_allocation'!$A:$A,'salary allocation-v2'!$N17)</f>
        <v>#VALUE!</v>
      </c>
      <c r="AB17" s="13" t="e">
        <f>SUMIFS('[1]C&amp;G Ledger_allocation'!BC:BC,'[1]C&amp;G Ledger_allocation'!$H:$H,'salary allocation-v2'!$D17,'[1]C&amp;G Ledger_allocation'!$A:$A,'salary allocation-v2'!$N17)</f>
        <v>#VALUE!</v>
      </c>
      <c r="AC17" s="12" t="e">
        <f>Q17</f>
        <v>#VALUE!</v>
      </c>
      <c r="AD17" s="13" t="e">
        <f>$AC17*E17</f>
        <v>#VALUE!</v>
      </c>
      <c r="AE17" s="13" t="e">
        <f>$AC17*F17</f>
        <v>#VALUE!</v>
      </c>
      <c r="AF17" s="13" t="e">
        <f>$AC17*G17</f>
        <v>#VALUE!</v>
      </c>
      <c r="AG17" s="13" t="e">
        <f>$AC17*H17</f>
        <v>#VALUE!</v>
      </c>
      <c r="AH17" s="13" t="e">
        <f>$AC17*I17</f>
        <v>#VALUE!</v>
      </c>
      <c r="AI17" s="13" t="e">
        <f>$AC17*J17</f>
        <v>#VALUE!</v>
      </c>
      <c r="AJ17" s="12" t="e">
        <f>SUM(AD17:AI17)</f>
        <v>#VALUE!</v>
      </c>
      <c r="AK17" s="19" t="e">
        <f>AC17-AJ17</f>
        <v>#VALUE!</v>
      </c>
    </row>
    <row r="18" spans="1:37" ht="16" x14ac:dyDescent="0.2">
      <c r="A18" s="11">
        <f>A17+1</f>
        <v>13</v>
      </c>
      <c r="B18" s="18" t="s">
        <v>13</v>
      </c>
      <c r="C18" s="11" t="s">
        <v>10</v>
      </c>
      <c r="D18" s="11" t="s">
        <v>12</v>
      </c>
      <c r="E18" s="21">
        <v>0</v>
      </c>
      <c r="F18" s="21">
        <f>'[1]salary allocation'!F18</f>
        <v>0.16999999999999998</v>
      </c>
      <c r="G18" s="21">
        <f>'[1]salary allocation'!G18</f>
        <v>0.16999999999999998</v>
      </c>
      <c r="H18" s="21">
        <f>'[1]salary allocation'!H18</f>
        <v>0.16999999999999998</v>
      </c>
      <c r="I18" s="21"/>
      <c r="J18" s="21">
        <f>'[1]salary allocation'!E18+'[1]salary allocation'!J18</f>
        <v>0.49</v>
      </c>
      <c r="K18" s="20">
        <f>SUM(E18:J18)</f>
        <v>1</v>
      </c>
      <c r="L18" s="11"/>
      <c r="M18" s="1">
        <v>6</v>
      </c>
      <c r="N18" s="1">
        <v>12024</v>
      </c>
      <c r="O18" s="13" t="e">
        <f>SUMIFS('[1]C&amp;G Ledger_allocation'!AP:AP,'[1]C&amp;G Ledger_allocation'!$H:$H,'salary allocation-v2'!$D18,'[1]C&amp;G Ledger_allocation'!$A:$A,'salary allocation-v2'!$N18)</f>
        <v>#VALUE!</v>
      </c>
      <c r="P18" s="13" t="e">
        <f>SUMIFS('[1]C&amp;G Ledger_allocation'!AQ:AQ,'[1]C&amp;G Ledger_allocation'!$H:$H,'salary allocation-v2'!$D18,'[1]C&amp;G Ledger_allocation'!$A:$A,'salary allocation-v2'!$N18)</f>
        <v>#VALUE!</v>
      </c>
      <c r="Q18" s="13" t="e">
        <f>SUMIFS('[1]C&amp;G Ledger_allocation'!AR:AR,'[1]C&amp;G Ledger_allocation'!$H:$H,'salary allocation-v2'!$D18,'[1]C&amp;G Ledger_allocation'!$A:$A,'salary allocation-v2'!$N18)</f>
        <v>#VALUE!</v>
      </c>
      <c r="R18" s="13" t="e">
        <f>SUMIFS('[1]C&amp;G Ledger_allocation'!AS:AS,'[1]C&amp;G Ledger_allocation'!$H:$H,'salary allocation-v2'!$D18,'[1]C&amp;G Ledger_allocation'!$A:$A,'salary allocation-v2'!$N18)</f>
        <v>#VALUE!</v>
      </c>
      <c r="S18" s="13" t="e">
        <f>SUMIFS('[1]C&amp;G Ledger_allocation'!AT:AT,'[1]C&amp;G Ledger_allocation'!$H:$H,'salary allocation-v2'!$D18,'[1]C&amp;G Ledger_allocation'!$A:$A,'salary allocation-v2'!$N18)</f>
        <v>#VALUE!</v>
      </c>
      <c r="T18" s="13" t="e">
        <f>SUMIFS('[1]C&amp;G Ledger_allocation'!AU:AU,'[1]C&amp;G Ledger_allocation'!$H:$H,'salary allocation-v2'!$D18,'[1]C&amp;G Ledger_allocation'!$A:$A,'salary allocation-v2'!$N18)</f>
        <v>#VALUE!</v>
      </c>
      <c r="U18" s="13" t="e">
        <f>SUMIFS('[1]C&amp;G Ledger_allocation'!AV:AV,'[1]C&amp;G Ledger_allocation'!$H:$H,'salary allocation-v2'!$D18,'[1]C&amp;G Ledger_allocation'!$A:$A,'salary allocation-v2'!$N18)</f>
        <v>#VALUE!</v>
      </c>
      <c r="V18" s="13" t="e">
        <f>SUMIFS('[1]C&amp;G Ledger_allocation'!AW:AW,'[1]C&amp;G Ledger_allocation'!$H:$H,'salary allocation-v2'!$D18,'[1]C&amp;G Ledger_allocation'!$A:$A,'salary allocation-v2'!$N18)</f>
        <v>#VALUE!</v>
      </c>
      <c r="W18" s="13" t="e">
        <f>SUMIFS('[1]C&amp;G Ledger_allocation'!AX:AX,'[1]C&amp;G Ledger_allocation'!$H:$H,'salary allocation-v2'!$D18,'[1]C&amp;G Ledger_allocation'!$A:$A,'salary allocation-v2'!$N18)</f>
        <v>#VALUE!</v>
      </c>
      <c r="X18" s="13" t="e">
        <f>SUMIFS('[1]C&amp;G Ledger_allocation'!AY:AY,'[1]C&amp;G Ledger_allocation'!$H:$H,'salary allocation-v2'!$D18,'[1]C&amp;G Ledger_allocation'!$A:$A,'salary allocation-v2'!$N18)</f>
        <v>#VALUE!</v>
      </c>
      <c r="Y18" s="13" t="e">
        <f>SUMIFS('[1]C&amp;G Ledger_allocation'!AZ:AZ,'[1]C&amp;G Ledger_allocation'!$H:$H,'salary allocation-v2'!$D18,'[1]C&amp;G Ledger_allocation'!$A:$A,'salary allocation-v2'!$N18)</f>
        <v>#VALUE!</v>
      </c>
      <c r="Z18" s="13" t="e">
        <f>SUMIFS('[1]C&amp;G Ledger_allocation'!BA:BA,'[1]C&amp;G Ledger_allocation'!$H:$H,'salary allocation-v2'!$D18,'[1]C&amp;G Ledger_allocation'!$A:$A,'salary allocation-v2'!$N18)</f>
        <v>#VALUE!</v>
      </c>
      <c r="AA18" s="13" t="e">
        <f>SUMIFS('[1]C&amp;G Ledger_allocation'!BB:BB,'[1]C&amp;G Ledger_allocation'!$H:$H,'salary allocation-v2'!$D18,'[1]C&amp;G Ledger_allocation'!$A:$A,'salary allocation-v2'!$N18)</f>
        <v>#VALUE!</v>
      </c>
      <c r="AB18" s="13" t="e">
        <f>SUMIFS('[1]C&amp;G Ledger_allocation'!BC:BC,'[1]C&amp;G Ledger_allocation'!$H:$H,'salary allocation-v2'!$D18,'[1]C&amp;G Ledger_allocation'!$A:$A,'salary allocation-v2'!$N18)</f>
        <v>#VALUE!</v>
      </c>
      <c r="AC18" s="12" t="e">
        <f>Q18</f>
        <v>#VALUE!</v>
      </c>
      <c r="AD18" s="13" t="e">
        <f>$AC18*E18</f>
        <v>#VALUE!</v>
      </c>
      <c r="AE18" s="13" t="e">
        <f>$AC18*F18</f>
        <v>#VALUE!</v>
      </c>
      <c r="AF18" s="13" t="e">
        <f>$AC18*G18</f>
        <v>#VALUE!</v>
      </c>
      <c r="AG18" s="13" t="e">
        <f>$AC18*H18</f>
        <v>#VALUE!</v>
      </c>
      <c r="AH18" s="13" t="e">
        <f>$AC18*I18</f>
        <v>#VALUE!</v>
      </c>
      <c r="AI18" s="13" t="e">
        <f>$AC18*J18</f>
        <v>#VALUE!</v>
      </c>
      <c r="AJ18" s="12" t="e">
        <f>SUM(AD18:AI18)</f>
        <v>#VALUE!</v>
      </c>
      <c r="AK18" s="19" t="e">
        <f>AC18-AJ18</f>
        <v>#VALUE!</v>
      </c>
    </row>
    <row r="19" spans="1:37" ht="16" x14ac:dyDescent="0.2">
      <c r="A19" s="11">
        <f>A18+1</f>
        <v>14</v>
      </c>
      <c r="B19" s="18" t="s">
        <v>11</v>
      </c>
      <c r="C19" s="11" t="s">
        <v>10</v>
      </c>
      <c r="D19" s="11" t="s">
        <v>9</v>
      </c>
      <c r="E19" s="21">
        <v>0</v>
      </c>
      <c r="F19" s="21">
        <f>'[1]salary allocation'!F19</f>
        <v>0.16999999999999998</v>
      </c>
      <c r="G19" s="21">
        <f>'[1]salary allocation'!G19</f>
        <v>0.16999999999999998</v>
      </c>
      <c r="H19" s="21">
        <f>'[1]salary allocation'!H19</f>
        <v>0.16999999999999998</v>
      </c>
      <c r="I19" s="21"/>
      <c r="J19" s="21">
        <f>'[1]salary allocation'!E19+'[1]salary allocation'!J19</f>
        <v>0.49</v>
      </c>
      <c r="K19" s="20">
        <f>SUM(E19:J19)</f>
        <v>1</v>
      </c>
      <c r="L19" s="11"/>
      <c r="M19" s="1">
        <v>6</v>
      </c>
      <c r="N19" s="1">
        <v>12024</v>
      </c>
      <c r="O19" s="13" t="e">
        <f>SUMIFS('[1]C&amp;G Ledger_allocation'!AP:AP,'[1]C&amp;G Ledger_allocation'!$H:$H,'salary allocation-v2'!$D19,'[1]C&amp;G Ledger_allocation'!$A:$A,'salary allocation-v2'!$N19)</f>
        <v>#VALUE!</v>
      </c>
      <c r="P19" s="13" t="e">
        <f>SUMIFS('[1]C&amp;G Ledger_allocation'!AQ:AQ,'[1]C&amp;G Ledger_allocation'!$H:$H,'salary allocation-v2'!$D19,'[1]C&amp;G Ledger_allocation'!$A:$A,'salary allocation-v2'!$N19)</f>
        <v>#VALUE!</v>
      </c>
      <c r="Q19" s="13" t="e">
        <f>SUMIFS('[1]C&amp;G Ledger_allocation'!AR:AR,'[1]C&amp;G Ledger_allocation'!$H:$H,'salary allocation-v2'!$D19,'[1]C&amp;G Ledger_allocation'!$A:$A,'salary allocation-v2'!$N19)</f>
        <v>#VALUE!</v>
      </c>
      <c r="R19" s="13" t="e">
        <f>SUMIFS('[1]C&amp;G Ledger_allocation'!AS:AS,'[1]C&amp;G Ledger_allocation'!$H:$H,'salary allocation-v2'!$D19,'[1]C&amp;G Ledger_allocation'!$A:$A,'salary allocation-v2'!$N19)</f>
        <v>#VALUE!</v>
      </c>
      <c r="S19" s="13" t="e">
        <f>SUMIFS('[1]C&amp;G Ledger_allocation'!AT:AT,'[1]C&amp;G Ledger_allocation'!$H:$H,'salary allocation-v2'!$D19,'[1]C&amp;G Ledger_allocation'!$A:$A,'salary allocation-v2'!$N19)</f>
        <v>#VALUE!</v>
      </c>
      <c r="T19" s="13" t="e">
        <f>SUMIFS('[1]C&amp;G Ledger_allocation'!AU:AU,'[1]C&amp;G Ledger_allocation'!$H:$H,'salary allocation-v2'!$D19,'[1]C&amp;G Ledger_allocation'!$A:$A,'salary allocation-v2'!$N19)</f>
        <v>#VALUE!</v>
      </c>
      <c r="U19" s="13" t="e">
        <f>SUMIFS('[1]C&amp;G Ledger_allocation'!AV:AV,'[1]C&amp;G Ledger_allocation'!$H:$H,'salary allocation-v2'!$D19,'[1]C&amp;G Ledger_allocation'!$A:$A,'salary allocation-v2'!$N19)</f>
        <v>#VALUE!</v>
      </c>
      <c r="V19" s="13" t="e">
        <f>SUMIFS('[1]C&amp;G Ledger_allocation'!AW:AW,'[1]C&amp;G Ledger_allocation'!$H:$H,'salary allocation-v2'!$D19,'[1]C&amp;G Ledger_allocation'!$A:$A,'salary allocation-v2'!$N19)</f>
        <v>#VALUE!</v>
      </c>
      <c r="W19" s="13" t="e">
        <f>SUMIFS('[1]C&amp;G Ledger_allocation'!AX:AX,'[1]C&amp;G Ledger_allocation'!$H:$H,'salary allocation-v2'!$D19,'[1]C&amp;G Ledger_allocation'!$A:$A,'salary allocation-v2'!$N19)</f>
        <v>#VALUE!</v>
      </c>
      <c r="X19" s="13" t="e">
        <f>SUMIFS('[1]C&amp;G Ledger_allocation'!AY:AY,'[1]C&amp;G Ledger_allocation'!$H:$H,'salary allocation-v2'!$D19,'[1]C&amp;G Ledger_allocation'!$A:$A,'salary allocation-v2'!$N19)</f>
        <v>#VALUE!</v>
      </c>
      <c r="Y19" s="13" t="e">
        <f>SUMIFS('[1]C&amp;G Ledger_allocation'!AZ:AZ,'[1]C&amp;G Ledger_allocation'!$H:$H,'salary allocation-v2'!$D19,'[1]C&amp;G Ledger_allocation'!$A:$A,'salary allocation-v2'!$N19)</f>
        <v>#VALUE!</v>
      </c>
      <c r="Z19" s="13" t="e">
        <f>SUMIFS('[1]C&amp;G Ledger_allocation'!BA:BA,'[1]C&amp;G Ledger_allocation'!$H:$H,'salary allocation-v2'!$D19,'[1]C&amp;G Ledger_allocation'!$A:$A,'salary allocation-v2'!$N19)</f>
        <v>#VALUE!</v>
      </c>
      <c r="AA19" s="13" t="e">
        <f>SUMIFS('[1]C&amp;G Ledger_allocation'!BB:BB,'[1]C&amp;G Ledger_allocation'!$H:$H,'salary allocation-v2'!$D19,'[1]C&amp;G Ledger_allocation'!$A:$A,'salary allocation-v2'!$N19)</f>
        <v>#VALUE!</v>
      </c>
      <c r="AB19" s="13" t="e">
        <f>SUMIFS('[1]C&amp;G Ledger_allocation'!BC:BC,'[1]C&amp;G Ledger_allocation'!$H:$H,'salary allocation-v2'!$D19,'[1]C&amp;G Ledger_allocation'!$A:$A,'salary allocation-v2'!$N19)</f>
        <v>#VALUE!</v>
      </c>
      <c r="AC19" s="12" t="e">
        <f>Q19</f>
        <v>#VALUE!</v>
      </c>
      <c r="AD19" s="13" t="e">
        <f>$AC19*E19</f>
        <v>#VALUE!</v>
      </c>
      <c r="AE19" s="13" t="e">
        <f>$AC19*F19</f>
        <v>#VALUE!</v>
      </c>
      <c r="AF19" s="13" t="e">
        <f>$AC19*G19</f>
        <v>#VALUE!</v>
      </c>
      <c r="AG19" s="13" t="e">
        <f>$AC19*H19</f>
        <v>#VALUE!</v>
      </c>
      <c r="AH19" s="13" t="e">
        <f>$AC19*I19</f>
        <v>#VALUE!</v>
      </c>
      <c r="AI19" s="13" t="e">
        <f>$AC19*J19</f>
        <v>#VALUE!</v>
      </c>
      <c r="AJ19" s="12" t="e">
        <f>SUM(AD19:AI19)</f>
        <v>#VALUE!</v>
      </c>
      <c r="AK19" s="19" t="e">
        <f>AC19-AJ19</f>
        <v>#VALUE!</v>
      </c>
    </row>
    <row r="20" spans="1:37" ht="16" x14ac:dyDescent="0.2">
      <c r="A20" s="11">
        <f>A19+1</f>
        <v>15</v>
      </c>
      <c r="B20" s="18" t="s">
        <v>8</v>
      </c>
      <c r="C20" s="11" t="s">
        <v>6</v>
      </c>
      <c r="D20" s="11" t="s">
        <v>7</v>
      </c>
      <c r="E20" s="21">
        <v>0</v>
      </c>
      <c r="F20" s="21">
        <f>'[1]salary allocation'!F20</f>
        <v>0.2</v>
      </c>
      <c r="G20" s="21">
        <f>'[1]salary allocation'!G20</f>
        <v>0.2</v>
      </c>
      <c r="H20" s="21">
        <f>'[1]salary allocation'!H20</f>
        <v>0.2</v>
      </c>
      <c r="I20" s="21"/>
      <c r="J20" s="21">
        <f>'[1]salary allocation'!E20+'[1]salary allocation'!J20</f>
        <v>0.4</v>
      </c>
      <c r="K20" s="20">
        <f>SUM(E20:J20)</f>
        <v>1</v>
      </c>
      <c r="L20" s="11"/>
      <c r="M20" s="1">
        <v>5</v>
      </c>
      <c r="N20" s="1">
        <v>12024</v>
      </c>
      <c r="O20" s="13" t="e">
        <f>SUMIFS('[1]C&amp;G Ledger_allocation'!AP:AP,'[1]C&amp;G Ledger_allocation'!$H:$H,'salary allocation-v2'!$D20,'[1]C&amp;G Ledger_allocation'!$A:$A,'salary allocation-v2'!$N20)</f>
        <v>#VALUE!</v>
      </c>
      <c r="P20" s="13" t="e">
        <f>SUMIFS('[1]C&amp;G Ledger_allocation'!AQ:AQ,'[1]C&amp;G Ledger_allocation'!$H:$H,'salary allocation-v2'!$D20,'[1]C&amp;G Ledger_allocation'!$A:$A,'salary allocation-v2'!$N20)</f>
        <v>#VALUE!</v>
      </c>
      <c r="Q20" s="13" t="e">
        <f>SUMIFS('[1]C&amp;G Ledger_allocation'!AR:AR,'[1]C&amp;G Ledger_allocation'!$H:$H,'salary allocation-v2'!$D20,'[1]C&amp;G Ledger_allocation'!$A:$A,'salary allocation-v2'!$N20)</f>
        <v>#VALUE!</v>
      </c>
      <c r="R20" s="13" t="e">
        <f>SUMIFS('[1]C&amp;G Ledger_allocation'!AS:AS,'[1]C&amp;G Ledger_allocation'!$H:$H,'salary allocation-v2'!$D20,'[1]C&amp;G Ledger_allocation'!$A:$A,'salary allocation-v2'!$N20)</f>
        <v>#VALUE!</v>
      </c>
      <c r="S20" s="13" t="e">
        <f>SUMIFS('[1]C&amp;G Ledger_allocation'!AT:AT,'[1]C&amp;G Ledger_allocation'!$H:$H,'salary allocation-v2'!$D20,'[1]C&amp;G Ledger_allocation'!$A:$A,'salary allocation-v2'!$N20)</f>
        <v>#VALUE!</v>
      </c>
      <c r="T20" s="13" t="e">
        <f>SUMIFS('[1]C&amp;G Ledger_allocation'!AU:AU,'[1]C&amp;G Ledger_allocation'!$H:$H,'salary allocation-v2'!$D20,'[1]C&amp;G Ledger_allocation'!$A:$A,'salary allocation-v2'!$N20)</f>
        <v>#VALUE!</v>
      </c>
      <c r="U20" s="13" t="e">
        <f>SUMIFS('[1]C&amp;G Ledger_allocation'!AV:AV,'[1]C&amp;G Ledger_allocation'!$H:$H,'salary allocation-v2'!$D20,'[1]C&amp;G Ledger_allocation'!$A:$A,'salary allocation-v2'!$N20)</f>
        <v>#VALUE!</v>
      </c>
      <c r="V20" s="13" t="e">
        <f>SUMIFS('[1]C&amp;G Ledger_allocation'!AW:AW,'[1]C&amp;G Ledger_allocation'!$H:$H,'salary allocation-v2'!$D20,'[1]C&amp;G Ledger_allocation'!$A:$A,'salary allocation-v2'!$N20)</f>
        <v>#VALUE!</v>
      </c>
      <c r="W20" s="13" t="e">
        <f>SUMIFS('[1]C&amp;G Ledger_allocation'!AX:AX,'[1]C&amp;G Ledger_allocation'!$H:$H,'salary allocation-v2'!$D20,'[1]C&amp;G Ledger_allocation'!$A:$A,'salary allocation-v2'!$N20)</f>
        <v>#VALUE!</v>
      </c>
      <c r="X20" s="13" t="e">
        <f>SUMIFS('[1]C&amp;G Ledger_allocation'!AY:AY,'[1]C&amp;G Ledger_allocation'!$H:$H,'salary allocation-v2'!$D20,'[1]C&amp;G Ledger_allocation'!$A:$A,'salary allocation-v2'!$N20)</f>
        <v>#VALUE!</v>
      </c>
      <c r="Y20" s="13" t="e">
        <f>SUMIFS('[1]C&amp;G Ledger_allocation'!AZ:AZ,'[1]C&amp;G Ledger_allocation'!$H:$H,'salary allocation-v2'!$D20,'[1]C&amp;G Ledger_allocation'!$A:$A,'salary allocation-v2'!$N20)</f>
        <v>#VALUE!</v>
      </c>
      <c r="Z20" s="13" t="e">
        <f>SUMIFS('[1]C&amp;G Ledger_allocation'!BA:BA,'[1]C&amp;G Ledger_allocation'!$H:$H,'salary allocation-v2'!$D20,'[1]C&amp;G Ledger_allocation'!$A:$A,'salary allocation-v2'!$N20)</f>
        <v>#VALUE!</v>
      </c>
      <c r="AA20" s="13" t="e">
        <f>SUMIFS('[1]C&amp;G Ledger_allocation'!BB:BB,'[1]C&amp;G Ledger_allocation'!$H:$H,'salary allocation-v2'!$D20,'[1]C&amp;G Ledger_allocation'!$A:$A,'salary allocation-v2'!$N20)</f>
        <v>#VALUE!</v>
      </c>
      <c r="AB20" s="13" t="e">
        <f>SUMIFS('[1]C&amp;G Ledger_allocation'!BC:BC,'[1]C&amp;G Ledger_allocation'!$H:$H,'salary allocation-v2'!$D20,'[1]C&amp;G Ledger_allocation'!$A:$A,'salary allocation-v2'!$N20)</f>
        <v>#VALUE!</v>
      </c>
      <c r="AC20" s="12" t="e">
        <f>R20</f>
        <v>#VALUE!</v>
      </c>
      <c r="AD20" s="13" t="e">
        <f>$AC20*E20</f>
        <v>#VALUE!</v>
      </c>
      <c r="AE20" s="13" t="e">
        <f>$AC20*F20</f>
        <v>#VALUE!</v>
      </c>
      <c r="AF20" s="13" t="e">
        <f>$AC20*G20</f>
        <v>#VALUE!</v>
      </c>
      <c r="AG20" s="13" t="e">
        <f>$AC20*H20</f>
        <v>#VALUE!</v>
      </c>
      <c r="AH20" s="13" t="e">
        <f>$AC20*I20</f>
        <v>#VALUE!</v>
      </c>
      <c r="AI20" s="13" t="e">
        <f>$AC20*J20</f>
        <v>#VALUE!</v>
      </c>
      <c r="AJ20" s="12" t="e">
        <f>SUM(AD20:AI20)</f>
        <v>#VALUE!</v>
      </c>
      <c r="AK20" s="19" t="e">
        <f>AC20-AJ20</f>
        <v>#VALUE!</v>
      </c>
    </row>
    <row r="21" spans="1:37" ht="16" x14ac:dyDescent="0.2">
      <c r="A21" s="11">
        <f>A20+1</f>
        <v>16</v>
      </c>
      <c r="B21" s="18" t="s">
        <v>7</v>
      </c>
      <c r="C21" s="11" t="s">
        <v>6</v>
      </c>
      <c r="D21" s="11" t="s">
        <v>5</v>
      </c>
      <c r="E21" s="21">
        <v>0</v>
      </c>
      <c r="F21" s="21">
        <f>'[1]salary allocation'!F21</f>
        <v>0.2</v>
      </c>
      <c r="G21" s="21">
        <f>'[1]salary allocation'!G21</f>
        <v>0.2</v>
      </c>
      <c r="H21" s="21">
        <f>'[1]salary allocation'!H21</f>
        <v>0.2</v>
      </c>
      <c r="I21" s="21"/>
      <c r="J21" s="21">
        <f>'[1]salary allocation'!E21+'[1]salary allocation'!J21</f>
        <v>0.4</v>
      </c>
      <c r="K21" s="20">
        <f>SUM(E21:J21)</f>
        <v>1</v>
      </c>
      <c r="L21" s="11"/>
      <c r="M21" s="1">
        <v>5</v>
      </c>
      <c r="N21" s="1">
        <v>12024</v>
      </c>
      <c r="O21" s="13" t="e">
        <f>SUMIFS('[1]C&amp;G Ledger_allocation'!AP:AP,'[1]C&amp;G Ledger_allocation'!$H:$H,'salary allocation-v2'!$D21,'[1]C&amp;G Ledger_allocation'!$A:$A,'salary allocation-v2'!$N21)</f>
        <v>#VALUE!</v>
      </c>
      <c r="P21" s="13" t="e">
        <f>SUMIFS('[1]C&amp;G Ledger_allocation'!AQ:AQ,'[1]C&amp;G Ledger_allocation'!$H:$H,'salary allocation-v2'!$D21,'[1]C&amp;G Ledger_allocation'!$A:$A,'salary allocation-v2'!$N21)</f>
        <v>#VALUE!</v>
      </c>
      <c r="Q21" s="13" t="e">
        <f>SUMIFS('[1]C&amp;G Ledger_allocation'!AR:AR,'[1]C&amp;G Ledger_allocation'!$H:$H,'salary allocation-v2'!$D21,'[1]C&amp;G Ledger_allocation'!$A:$A,'salary allocation-v2'!$N21)</f>
        <v>#VALUE!</v>
      </c>
      <c r="R21" s="13" t="e">
        <f>SUMIFS('[1]C&amp;G Ledger_allocation'!AS:AS,'[1]C&amp;G Ledger_allocation'!$H:$H,'salary allocation-v2'!$D21,'[1]C&amp;G Ledger_allocation'!$A:$A,'salary allocation-v2'!$N21)</f>
        <v>#VALUE!</v>
      </c>
      <c r="S21" s="13" t="e">
        <f>SUMIFS('[1]C&amp;G Ledger_allocation'!AT:AT,'[1]C&amp;G Ledger_allocation'!$H:$H,'salary allocation-v2'!$D21,'[1]C&amp;G Ledger_allocation'!$A:$A,'salary allocation-v2'!$N21)</f>
        <v>#VALUE!</v>
      </c>
      <c r="T21" s="13" t="e">
        <f>SUMIFS('[1]C&amp;G Ledger_allocation'!AU:AU,'[1]C&amp;G Ledger_allocation'!$H:$H,'salary allocation-v2'!$D21,'[1]C&amp;G Ledger_allocation'!$A:$A,'salary allocation-v2'!$N21)</f>
        <v>#VALUE!</v>
      </c>
      <c r="U21" s="13" t="e">
        <f>SUMIFS('[1]C&amp;G Ledger_allocation'!AV:AV,'[1]C&amp;G Ledger_allocation'!$H:$H,'salary allocation-v2'!$D21,'[1]C&amp;G Ledger_allocation'!$A:$A,'salary allocation-v2'!$N21)</f>
        <v>#VALUE!</v>
      </c>
      <c r="V21" s="13" t="e">
        <f>SUMIFS('[1]C&amp;G Ledger_allocation'!AW:AW,'[1]C&amp;G Ledger_allocation'!$H:$H,'salary allocation-v2'!$D21,'[1]C&amp;G Ledger_allocation'!$A:$A,'salary allocation-v2'!$N21)</f>
        <v>#VALUE!</v>
      </c>
      <c r="W21" s="13" t="e">
        <f>SUMIFS('[1]C&amp;G Ledger_allocation'!AX:AX,'[1]C&amp;G Ledger_allocation'!$H:$H,'salary allocation-v2'!$D21,'[1]C&amp;G Ledger_allocation'!$A:$A,'salary allocation-v2'!$N21)</f>
        <v>#VALUE!</v>
      </c>
      <c r="X21" s="13" t="e">
        <f>SUMIFS('[1]C&amp;G Ledger_allocation'!AY:AY,'[1]C&amp;G Ledger_allocation'!$H:$H,'salary allocation-v2'!$D21,'[1]C&amp;G Ledger_allocation'!$A:$A,'salary allocation-v2'!$N21)</f>
        <v>#VALUE!</v>
      </c>
      <c r="Y21" s="13" t="e">
        <f>SUMIFS('[1]C&amp;G Ledger_allocation'!AZ:AZ,'[1]C&amp;G Ledger_allocation'!$H:$H,'salary allocation-v2'!$D21,'[1]C&amp;G Ledger_allocation'!$A:$A,'salary allocation-v2'!$N21)</f>
        <v>#VALUE!</v>
      </c>
      <c r="Z21" s="13" t="e">
        <f>SUMIFS('[1]C&amp;G Ledger_allocation'!BA:BA,'[1]C&amp;G Ledger_allocation'!$H:$H,'salary allocation-v2'!$D21,'[1]C&amp;G Ledger_allocation'!$A:$A,'salary allocation-v2'!$N21)</f>
        <v>#VALUE!</v>
      </c>
      <c r="AA21" s="13" t="e">
        <f>SUMIFS('[1]C&amp;G Ledger_allocation'!BB:BB,'[1]C&amp;G Ledger_allocation'!$H:$H,'salary allocation-v2'!$D21,'[1]C&amp;G Ledger_allocation'!$A:$A,'salary allocation-v2'!$N21)</f>
        <v>#VALUE!</v>
      </c>
      <c r="AB21" s="13" t="e">
        <f>SUMIFS('[1]C&amp;G Ledger_allocation'!BC:BC,'[1]C&amp;G Ledger_allocation'!$H:$H,'salary allocation-v2'!$D21,'[1]C&amp;G Ledger_allocation'!$A:$A,'salary allocation-v2'!$N21)</f>
        <v>#VALUE!</v>
      </c>
      <c r="AC21" s="12" t="e">
        <f>R21</f>
        <v>#VALUE!</v>
      </c>
      <c r="AD21" s="13" t="e">
        <f>$AC21*E21</f>
        <v>#VALUE!</v>
      </c>
      <c r="AE21" s="13" t="e">
        <f>$AC21*F21</f>
        <v>#VALUE!</v>
      </c>
      <c r="AF21" s="13" t="e">
        <f>$AC21*G21</f>
        <v>#VALUE!</v>
      </c>
      <c r="AG21" s="13" t="e">
        <f>$AC21*H21</f>
        <v>#VALUE!</v>
      </c>
      <c r="AH21" s="13" t="e">
        <f>$AC21*I21</f>
        <v>#VALUE!</v>
      </c>
      <c r="AI21" s="13" t="e">
        <f>$AC21*J21</f>
        <v>#VALUE!</v>
      </c>
      <c r="AJ21" s="12" t="e">
        <f>SUM(AD21:AI21)</f>
        <v>#VALUE!</v>
      </c>
      <c r="AK21" s="19" t="e">
        <f>AC21-AJ21</f>
        <v>#VALUE!</v>
      </c>
    </row>
    <row r="22" spans="1:37" ht="16" x14ac:dyDescent="0.2">
      <c r="A22" s="11">
        <f>A21+1</f>
        <v>17</v>
      </c>
      <c r="B22" s="18" t="s">
        <v>4</v>
      </c>
      <c r="C22" s="11" t="s">
        <v>3</v>
      </c>
      <c r="D22" s="11" t="s">
        <v>2</v>
      </c>
      <c r="E22" s="21">
        <v>0</v>
      </c>
      <c r="F22" s="21">
        <f>'[1]salary allocation'!F22</f>
        <v>0</v>
      </c>
      <c r="G22" s="21">
        <f>'[1]salary allocation'!G22</f>
        <v>0</v>
      </c>
      <c r="H22" s="21">
        <f>'[1]salary allocation'!H22</f>
        <v>0</v>
      </c>
      <c r="I22" s="21"/>
      <c r="J22" s="21">
        <f>'[1]salary allocation'!E22+'[1]salary allocation'!J22</f>
        <v>1</v>
      </c>
      <c r="K22" s="20">
        <f>SUM(E22:J22)</f>
        <v>1</v>
      </c>
      <c r="L22" s="11"/>
      <c r="M22" s="1" t="s">
        <v>1</v>
      </c>
      <c r="N22" s="1">
        <v>12024</v>
      </c>
      <c r="O22" s="13" t="e">
        <f>SUMIFS('[1]C&amp;G Ledger_allocation'!AP:AP,'[1]C&amp;G Ledger_allocation'!$H:$H,'salary allocation-v2'!$D22,'[1]C&amp;G Ledger_allocation'!$A:$A,'salary allocation-v2'!$N22)</f>
        <v>#VALUE!</v>
      </c>
      <c r="P22" s="13" t="e">
        <f>SUMIFS('[1]C&amp;G Ledger_allocation'!AQ:AQ,'[1]C&amp;G Ledger_allocation'!$H:$H,'salary allocation-v2'!$D22,'[1]C&amp;G Ledger_allocation'!$A:$A,'salary allocation-v2'!$N22)</f>
        <v>#VALUE!</v>
      </c>
      <c r="Q22" s="13" t="e">
        <f>SUMIFS('[1]C&amp;G Ledger_allocation'!AR:AR,'[1]C&amp;G Ledger_allocation'!$H:$H,'salary allocation-v2'!$D22,'[1]C&amp;G Ledger_allocation'!$A:$A,'salary allocation-v2'!$N22)</f>
        <v>#VALUE!</v>
      </c>
      <c r="R22" s="13" t="e">
        <f>SUMIFS('[1]C&amp;G Ledger_allocation'!AS:AS,'[1]C&amp;G Ledger_allocation'!$H:$H,'salary allocation-v2'!$D22,'[1]C&amp;G Ledger_allocation'!$A:$A,'salary allocation-v2'!$N22)</f>
        <v>#VALUE!</v>
      </c>
      <c r="S22" s="13" t="e">
        <f>SUMIFS('[1]C&amp;G Ledger_allocation'!AT:AT,'[1]C&amp;G Ledger_allocation'!$H:$H,'salary allocation-v2'!$D22,'[1]C&amp;G Ledger_allocation'!$A:$A,'salary allocation-v2'!$N22)</f>
        <v>#VALUE!</v>
      </c>
      <c r="T22" s="13" t="e">
        <f>SUMIFS('[1]C&amp;G Ledger_allocation'!AU:AU,'[1]C&amp;G Ledger_allocation'!$H:$H,'salary allocation-v2'!$D22,'[1]C&amp;G Ledger_allocation'!$A:$A,'salary allocation-v2'!$N22)</f>
        <v>#VALUE!</v>
      </c>
      <c r="U22" s="13" t="e">
        <f>SUMIFS('[1]C&amp;G Ledger_allocation'!AV:AV,'[1]C&amp;G Ledger_allocation'!$H:$H,'salary allocation-v2'!$D22,'[1]C&amp;G Ledger_allocation'!$A:$A,'salary allocation-v2'!$N22)</f>
        <v>#VALUE!</v>
      </c>
      <c r="V22" s="13" t="e">
        <f>SUMIFS('[1]C&amp;G Ledger_allocation'!AW:AW,'[1]C&amp;G Ledger_allocation'!$H:$H,'salary allocation-v2'!$D22,'[1]C&amp;G Ledger_allocation'!$A:$A,'salary allocation-v2'!$N22)</f>
        <v>#VALUE!</v>
      </c>
      <c r="W22" s="13" t="e">
        <f>SUMIFS('[1]C&amp;G Ledger_allocation'!AX:AX,'[1]C&amp;G Ledger_allocation'!$H:$H,'salary allocation-v2'!$D22,'[1]C&amp;G Ledger_allocation'!$A:$A,'salary allocation-v2'!$N22)</f>
        <v>#VALUE!</v>
      </c>
      <c r="X22" s="13" t="e">
        <f>SUMIFS('[1]C&amp;G Ledger_allocation'!AY:AY,'[1]C&amp;G Ledger_allocation'!$H:$H,'salary allocation-v2'!$D22,'[1]C&amp;G Ledger_allocation'!$A:$A,'salary allocation-v2'!$N22)</f>
        <v>#VALUE!</v>
      </c>
      <c r="Y22" s="13" t="e">
        <f>SUMIFS('[1]C&amp;G Ledger_allocation'!AZ:AZ,'[1]C&amp;G Ledger_allocation'!$H:$H,'salary allocation-v2'!$D22,'[1]C&amp;G Ledger_allocation'!$A:$A,'salary allocation-v2'!$N22)</f>
        <v>#VALUE!</v>
      </c>
      <c r="Z22" s="13" t="e">
        <f>SUMIFS('[1]C&amp;G Ledger_allocation'!BA:BA,'[1]C&amp;G Ledger_allocation'!$H:$H,'salary allocation-v2'!$D22,'[1]C&amp;G Ledger_allocation'!$A:$A,'salary allocation-v2'!$N22)</f>
        <v>#VALUE!</v>
      </c>
      <c r="AA22" s="13" t="e">
        <f>SUMIFS('[1]C&amp;G Ledger_allocation'!BB:BB,'[1]C&amp;G Ledger_allocation'!$H:$H,'salary allocation-v2'!$D22,'[1]C&amp;G Ledger_allocation'!$A:$A,'salary allocation-v2'!$N22)</f>
        <v>#VALUE!</v>
      </c>
      <c r="AB22" s="13" t="e">
        <f>SUMIFS('[1]C&amp;G Ledger_allocation'!BC:BC,'[1]C&amp;G Ledger_allocation'!$H:$H,'salary allocation-v2'!$D22,'[1]C&amp;G Ledger_allocation'!$A:$A,'salary allocation-v2'!$N22)</f>
        <v>#VALUE!</v>
      </c>
      <c r="AC22" s="12" t="e">
        <f>P22</f>
        <v>#VALUE!</v>
      </c>
      <c r="AD22" s="13" t="e">
        <f>$AC22*E22</f>
        <v>#VALUE!</v>
      </c>
      <c r="AE22" s="13" t="e">
        <f>$AC22*F22</f>
        <v>#VALUE!</v>
      </c>
      <c r="AF22" s="13" t="e">
        <f>$AC22*G22</f>
        <v>#VALUE!</v>
      </c>
      <c r="AG22" s="13" t="e">
        <f>$AC22*H22</f>
        <v>#VALUE!</v>
      </c>
      <c r="AH22" s="13" t="e">
        <f>$AC22*I22</f>
        <v>#VALUE!</v>
      </c>
      <c r="AI22" s="13" t="e">
        <f>$AC22*J22</f>
        <v>#VALUE!</v>
      </c>
      <c r="AJ22" s="12" t="e">
        <f>SUM(AD22:AI22)</f>
        <v>#VALUE!</v>
      </c>
      <c r="AK22" s="19" t="e">
        <f>AC22-AJ22</f>
        <v>#VALUE!</v>
      </c>
    </row>
    <row r="23" spans="1:37" ht="16" x14ac:dyDescent="0.2">
      <c r="A23" s="14"/>
      <c r="B23" s="18"/>
      <c r="C23" s="14"/>
      <c r="D23" s="14"/>
      <c r="E23" s="16"/>
      <c r="F23" s="16"/>
      <c r="G23" s="16"/>
      <c r="H23" s="16"/>
      <c r="I23" s="17"/>
      <c r="J23" s="16"/>
      <c r="K23" s="15"/>
      <c r="L23" s="1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2"/>
      <c r="AD23" s="11"/>
      <c r="AE23" s="11"/>
      <c r="AF23" s="11"/>
      <c r="AG23" s="11"/>
      <c r="AH23" s="11"/>
      <c r="AI23" s="11"/>
      <c r="AJ23" s="10"/>
    </row>
    <row r="24" spans="1:37" s="2" customFormat="1" x14ac:dyDescent="0.2">
      <c r="A24" s="5"/>
      <c r="B24" s="9" t="s">
        <v>0</v>
      </c>
      <c r="C24" s="5"/>
      <c r="D24" s="5"/>
      <c r="E24" s="7"/>
      <c r="F24" s="7"/>
      <c r="G24" s="7"/>
      <c r="H24" s="7"/>
      <c r="I24" s="8"/>
      <c r="J24" s="7"/>
      <c r="K24" s="6"/>
      <c r="L24" s="5"/>
      <c r="O24" s="5"/>
      <c r="P24" s="3" t="e">
        <f>SUM(P22)</f>
        <v>#VALUE!</v>
      </c>
      <c r="Q24" s="3" t="e">
        <f>SUM(Q6:Q7,Q14:Q19)</f>
        <v>#VALUE!</v>
      </c>
      <c r="R24" s="3" t="e">
        <f>SUM(R11,R12,R20,R21)</f>
        <v>#VALUE!</v>
      </c>
      <c r="S24" s="5"/>
      <c r="T24" s="5"/>
      <c r="U24" s="5"/>
      <c r="V24" s="5"/>
      <c r="W24" s="3" t="e">
        <f>SUM(W8,W9,W10,W11,W13)</f>
        <v>#VALUE!</v>
      </c>
      <c r="X24" s="5"/>
      <c r="Y24" s="5"/>
      <c r="Z24" s="5"/>
      <c r="AA24" s="5"/>
      <c r="AB24" s="5"/>
      <c r="AC24" s="4" t="e">
        <f>SUM(O24:AB24)</f>
        <v>#VALUE!</v>
      </c>
      <c r="AD24" s="3" t="e">
        <f>SUM(AD6:AD23)</f>
        <v>#VALUE!</v>
      </c>
      <c r="AE24" s="3" t="e">
        <f>SUM(AE6:AE23)</f>
        <v>#VALUE!</v>
      </c>
      <c r="AF24" s="3" t="e">
        <f>SUM(AF6:AF23)</f>
        <v>#VALUE!</v>
      </c>
      <c r="AG24" s="3" t="e">
        <f>SUM(AG6:AG23)</f>
        <v>#VALUE!</v>
      </c>
      <c r="AH24" s="3" t="e">
        <f>SUM(AH6:AH23)</f>
        <v>#VALUE!</v>
      </c>
      <c r="AI24" s="3" t="e">
        <f>SUM(AI6:AI23)</f>
        <v>#VALUE!</v>
      </c>
      <c r="AJ24" s="3" t="e">
        <f>SUM(AJ6:AJ23)</f>
        <v>#VALUE!</v>
      </c>
    </row>
  </sheetData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salary allocation-v2</vt:lpstr>
      <vt:lpstr>'salary allocation-v2'!Print_Area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2026-01-14T14:31:13Z</dcterms:created>
  <dcterms:modified xsi:type="dcterms:W3CDTF">2026-01-14T14:31:23Z</dcterms:modified>
</cp:coreProperties>
</file>