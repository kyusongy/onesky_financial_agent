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kyle/projects/onesky_financial_agent/instruction_data/raw_data/"/>
    </mc:Choice>
  </mc:AlternateContent>
  <xr:revisionPtr revIDLastSave="0" documentId="8_{81B1D90E-E320-F641-A4EC-F384C608CE9B}" xr6:coauthVersionLast="47" xr6:coauthVersionMax="47" xr10:uidLastSave="{00000000-0000-0000-0000-000000000000}"/>
  <bookViews>
    <workbookView xWindow="20" yWindow="500" windowWidth="28800" windowHeight="16020" tabRatio="929" activeTab="5" xr2:uid="{00000000-000D-0000-FFFF-FFFF00000000}"/>
  </bookViews>
  <sheets>
    <sheet name="Notes" sheetId="6" state="hidden" r:id="rId1"/>
    <sheet name="Output(link)" sheetId="9" state="hidden" r:id="rId2"/>
    <sheet name="1230" sheetId="12" state="hidden" r:id="rId3"/>
    <sheet name="1500" sheetId="13" state="hidden" r:id="rId4"/>
    <sheet name="1252" sheetId="14" state="hidden" r:id="rId5"/>
    <sheet name="Lookup1_AcctList" sheetId="7" r:id="rId6"/>
    <sheet name="Lookup2_Allocation" sheetId="8" r:id="rId7"/>
  </sheets>
  <externalReferences>
    <externalReference r:id="rId8"/>
    <externalReference r:id="rId9"/>
  </externalReferences>
  <definedNames>
    <definedName name="_xlnm._FilterDatabase" localSheetId="5" hidden="1">Lookup1_AcctList!$A$6:$N$87</definedName>
    <definedName name="CHActCashBalance">#REF!</definedName>
    <definedName name="CHExpenseForcast">#REF!</definedName>
    <definedName name="CHFundrasingForcast">#REF!</definedName>
    <definedName name="CHManagementForcast">#REF!</definedName>
    <definedName name="CHQ4CashAvailableMonth">#REF!</definedName>
    <definedName name="CHQ4CashBalance">#REF!</definedName>
    <definedName name="CHRevenueForcast">#REF!</definedName>
    <definedName name="CHYTDExpense">#REF!</definedName>
    <definedName name="CHYTDRevenue">#REF!</definedName>
    <definedName name="CHYTDRevenueVariance">#REF!</definedName>
    <definedName name="Combined">#REF!</definedName>
    <definedName name="CombinedForcastNet">#REF!</definedName>
    <definedName name="CombinedYTDExpense">#REF!</definedName>
    <definedName name="CombinedYTDExpenseVariance">#REF!</definedName>
    <definedName name="CombinedYTDNet">#REF!</definedName>
    <definedName name="CombinedYTDNetVariance">#REF!</definedName>
    <definedName name="CombinedYTDRevenue">#REF!</definedName>
    <definedName name="CombinedYTDVariance">#REF!</definedName>
    <definedName name="ConbimedExpenseForcast">#REF!</definedName>
    <definedName name="ConbimedProgramExpenseForcast">#REF!</definedName>
    <definedName name="NewCountryForcast">#REF!</definedName>
    <definedName name="NewCountryForcastVariance">#REF!</definedName>
    <definedName name="NewCountryYTD">#REF!</definedName>
    <definedName name="NewcountryYTDVariance">#REF!</definedName>
    <definedName name="OSCashalance">#REF!</definedName>
    <definedName name="OSCashalanceAct">#REF!</definedName>
    <definedName name="OSCashEndBalance">#REF!</definedName>
    <definedName name="OSExpenseForcast">#REF!</definedName>
    <definedName name="OSExpenseForcastRenovation">#REF!</definedName>
    <definedName name="OSForcastNet">#REF!</definedName>
    <definedName name="OSForcastNetVariance">#REF!</definedName>
    <definedName name="OSFundrasingForcast">#REF!</definedName>
    <definedName name="OSHKCenterCashBalance">#REF!</definedName>
    <definedName name="OSManagementForcast">#REF!</definedName>
    <definedName name="OSProgramAnnual">#REF!</definedName>
    <definedName name="OSRevenueForcast">#REF!</definedName>
    <definedName name="OSRevenueForcastVariance">#REF!</definedName>
    <definedName name="OSYTDExpense">#REF!</definedName>
    <definedName name="OSYTDExpenseVariance">#REF!</definedName>
    <definedName name="OSYTDNet">#REF!</definedName>
    <definedName name="OSYTDRevenue">#REF!</definedName>
    <definedName name="OSYTDRevenueVariance">#REF!</definedName>
    <definedName name="_xlnm.Print_Area" localSheetId="1">'Output(link)'!$A$2:$P$56</definedName>
    <definedName name="RateOSAnnualVsLast">#REF!</definedName>
    <definedName name="RateOSYTDRevenue">#REF!</definedName>
    <definedName name="UnresNetAnnual">#REF!</definedName>
    <definedName name="UnresNetDiff">#REF!</definedName>
    <definedName name="UnresNetYTD">#REF!</definedName>
    <definedName name="YTDCashBalance">#REF!</definedName>
    <definedName name="YTDMonthOfCash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4" i="8" l="1"/>
  <c r="O24" i="8"/>
  <c r="J22" i="8"/>
  <c r="AB21" i="8"/>
  <c r="J21" i="8"/>
  <c r="AB20" i="8"/>
  <c r="J20" i="8"/>
  <c r="AB19" i="8"/>
  <c r="J19" i="8"/>
  <c r="AB18" i="8"/>
  <c r="J18" i="8"/>
  <c r="AB17" i="8"/>
  <c r="J17" i="8"/>
  <c r="AB16" i="8"/>
  <c r="J16" i="8"/>
  <c r="AG15" i="8"/>
  <c r="AF15" i="8"/>
  <c r="AB15" i="8"/>
  <c r="AE15" i="8" s="1"/>
  <c r="AH15" i="8"/>
  <c r="J15" i="8"/>
  <c r="AB14" i="8"/>
  <c r="J14" i="8"/>
  <c r="AB13" i="8"/>
  <c r="J13" i="8"/>
  <c r="AB12" i="8"/>
  <c r="J12" i="8"/>
  <c r="AG11" i="8"/>
  <c r="AC11" i="8"/>
  <c r="AB11" i="8"/>
  <c r="AE11" i="8" s="1"/>
  <c r="AH11" i="8"/>
  <c r="J11" i="8"/>
  <c r="AB10" i="8"/>
  <c r="J10" i="8"/>
  <c r="AB9" i="8"/>
  <c r="V24" i="8"/>
  <c r="J9" i="8"/>
  <c r="AG8" i="8"/>
  <c r="AE8" i="8"/>
  <c r="AD8" i="8"/>
  <c r="AC8" i="8"/>
  <c r="AB8" i="8"/>
  <c r="AH8" i="8"/>
  <c r="AF8" i="8"/>
  <c r="J8" i="8"/>
  <c r="AB7" i="8"/>
  <c r="J7" i="8"/>
  <c r="AB6" i="8"/>
  <c r="J6" i="8"/>
  <c r="K32" i="9"/>
  <c r="K31" i="9"/>
  <c r="K30" i="9"/>
  <c r="K29" i="9"/>
  <c r="K28" i="9"/>
  <c r="K53" i="9"/>
  <c r="K52" i="9"/>
  <c r="K45" i="9"/>
  <c r="K46" i="9"/>
  <c r="K47" i="9"/>
  <c r="K48" i="9"/>
  <c r="K49" i="9"/>
  <c r="K36" i="9"/>
  <c r="K37" i="9"/>
  <c r="K38" i="9"/>
  <c r="K39" i="9"/>
  <c r="K40" i="9"/>
  <c r="K41" i="9"/>
  <c r="K42" i="9"/>
  <c r="K43" i="9"/>
  <c r="K44" i="9"/>
  <c r="K35" i="9"/>
  <c r="K25" i="9"/>
  <c r="K21" i="9"/>
  <c r="K22" i="9"/>
  <c r="K23" i="9"/>
  <c r="K20" i="9"/>
  <c r="AF13" i="8" l="1"/>
  <c r="AH13" i="8"/>
  <c r="AG13" i="8"/>
  <c r="AE13" i="8"/>
  <c r="AD13" i="8"/>
  <c r="AC13" i="8"/>
  <c r="AH17" i="8"/>
  <c r="AD17" i="8"/>
  <c r="AG17" i="8"/>
  <c r="AE17" i="8"/>
  <c r="AF17" i="8"/>
  <c r="AC17" i="8"/>
  <c r="AI17" i="8" s="1"/>
  <c r="AJ17" i="8"/>
  <c r="AJ20" i="8"/>
  <c r="AB24" i="8"/>
  <c r="AH7" i="8"/>
  <c r="AG7" i="8"/>
  <c r="AF7" i="8"/>
  <c r="AE7" i="8"/>
  <c r="AD7" i="8"/>
  <c r="AC7" i="8"/>
  <c r="AE10" i="8"/>
  <c r="AD10" i="8"/>
  <c r="AC10" i="8"/>
  <c r="AH10" i="8"/>
  <c r="AG10" i="8"/>
  <c r="AF10" i="8"/>
  <c r="AH18" i="8"/>
  <c r="AG18" i="8"/>
  <c r="AF18" i="8"/>
  <c r="AE18" i="8"/>
  <c r="AD18" i="8"/>
  <c r="AC18" i="8"/>
  <c r="AI18" i="8" s="1"/>
  <c r="AJ18" i="8" s="1"/>
  <c r="AD14" i="8"/>
  <c r="AC14" i="8"/>
  <c r="AH14" i="8"/>
  <c r="AG14" i="8"/>
  <c r="AF14" i="8"/>
  <c r="AE14" i="8"/>
  <c r="AF21" i="8"/>
  <c r="AC21" i="8"/>
  <c r="AE21" i="8"/>
  <c r="AD21" i="8"/>
  <c r="AH21" i="8"/>
  <c r="AG21" i="8"/>
  <c r="AG6" i="8"/>
  <c r="AF6" i="8"/>
  <c r="AD6" i="8"/>
  <c r="AC6" i="8"/>
  <c r="AE6" i="8"/>
  <c r="AH6" i="8"/>
  <c r="AI8" i="8"/>
  <c r="AJ8" i="8" s="1"/>
  <c r="AG19" i="8"/>
  <c r="AF19" i="8"/>
  <c r="AC19" i="8"/>
  <c r="AH19" i="8"/>
  <c r="AD19" i="8"/>
  <c r="AE19" i="8"/>
  <c r="P24" i="8"/>
  <c r="AF12" i="8"/>
  <c r="AE16" i="8"/>
  <c r="AG9" i="8"/>
  <c r="AB22" i="8"/>
  <c r="AD11" i="8"/>
  <c r="AC15" i="8"/>
  <c r="AD15" i="8"/>
  <c r="AF11" i="8"/>
  <c r="AC12" i="8"/>
  <c r="AD12" i="8"/>
  <c r="AC16" i="8"/>
  <c r="AE12" i="8"/>
  <c r="AD16" i="8"/>
  <c r="AC9" i="8"/>
  <c r="AI9" i="8" s="1"/>
  <c r="AJ9" i="8" s="1"/>
  <c r="AG12" i="8"/>
  <c r="AF16" i="8"/>
  <c r="AD20" i="8"/>
  <c r="AD9" i="8"/>
  <c r="AH12" i="8"/>
  <c r="AG16" i="8"/>
  <c r="AE20" i="8"/>
  <c r="AE9" i="8"/>
  <c r="AH16" i="8"/>
  <c r="AF20" i="8"/>
  <c r="AF9" i="8"/>
  <c r="AG20" i="8"/>
  <c r="AC20" i="8"/>
  <c r="AI20" i="8" s="1"/>
  <c r="AH20" i="8"/>
  <c r="AH9" i="8"/>
  <c r="AI19" i="8" l="1"/>
  <c r="AJ19" i="8" s="1"/>
  <c r="AI12" i="8"/>
  <c r="AJ12" i="8" s="1"/>
  <c r="AI6" i="8"/>
  <c r="AI15" i="8"/>
  <c r="AJ15" i="8" s="1"/>
  <c r="AI11" i="8"/>
  <c r="AJ11" i="8" s="1"/>
  <c r="AH22" i="8"/>
  <c r="AH24" i="8" s="1"/>
  <c r="AG22" i="8"/>
  <c r="AG24" i="8" s="1"/>
  <c r="AF22" i="8"/>
  <c r="AF24" i="8" s="1"/>
  <c r="AE22" i="8"/>
  <c r="AE24" i="8" s="1"/>
  <c r="AD22" i="8"/>
  <c r="AD24" i="8" s="1"/>
  <c r="AC22" i="8"/>
  <c r="AI13" i="8"/>
  <c r="AJ13" i="8" s="1"/>
  <c r="AI14" i="8"/>
  <c r="AJ14" i="8" s="1"/>
  <c r="AI16" i="8"/>
  <c r="AJ16" i="8" s="1"/>
  <c r="AI10" i="8"/>
  <c r="AJ10" i="8" s="1"/>
  <c r="AI21" i="8"/>
  <c r="AJ21" i="8" s="1"/>
  <c r="AI7" i="8"/>
  <c r="AJ7" i="8" s="1"/>
  <c r="AI22" i="8" l="1"/>
  <c r="AJ22" i="8" s="1"/>
  <c r="AI24" i="8"/>
  <c r="AJ6" i="8"/>
  <c r="AC24" i="8"/>
  <c r="E53" i="9" l="1"/>
  <c r="E52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2" i="9"/>
  <c r="E31" i="9"/>
  <c r="E30" i="9"/>
  <c r="E29" i="9"/>
  <c r="E28" i="9"/>
  <c r="E25" i="9"/>
  <c r="E24" i="9" s="1"/>
  <c r="E23" i="9"/>
  <c r="E22" i="9"/>
  <c r="E21" i="9"/>
  <c r="E20" i="9"/>
  <c r="H53" i="9"/>
  <c r="H52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2" i="9"/>
  <c r="H31" i="9"/>
  <c r="H30" i="9"/>
  <c r="H29" i="9"/>
  <c r="H28" i="9"/>
  <c r="H25" i="9"/>
  <c r="H24" i="9" s="1"/>
  <c r="H23" i="9"/>
  <c r="H22" i="9"/>
  <c r="H21" i="9"/>
  <c r="H20" i="9"/>
  <c r="O49" i="9"/>
  <c r="O53" i="9"/>
  <c r="O52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2" i="9"/>
  <c r="O31" i="9"/>
  <c r="O30" i="9"/>
  <c r="O29" i="9"/>
  <c r="O28" i="9"/>
  <c r="O25" i="9"/>
  <c r="O23" i="9"/>
  <c r="O22" i="9"/>
  <c r="O21" i="9"/>
  <c r="O20" i="9"/>
  <c r="Q4" i="9"/>
  <c r="E27" i="9" l="1"/>
  <c r="E19" i="9"/>
  <c r="E51" i="9"/>
  <c r="H51" i="9"/>
  <c r="D22" i="9"/>
  <c r="F22" i="9" s="1"/>
  <c r="H34" i="9"/>
  <c r="H19" i="9"/>
  <c r="E34" i="9"/>
  <c r="H27" i="9"/>
  <c r="G20" i="9"/>
  <c r="I20" i="9" s="1"/>
  <c r="D20" i="9"/>
  <c r="F20" i="9" s="1"/>
  <c r="J20" i="9"/>
  <c r="N20" i="9"/>
  <c r="P20" i="9" s="1"/>
  <c r="N23" i="9"/>
  <c r="P23" i="9" s="1"/>
  <c r="N22" i="9"/>
  <c r="P22" i="9" s="1"/>
  <c r="N21" i="9"/>
  <c r="P21" i="9" s="1"/>
  <c r="N25" i="9"/>
  <c r="P25" i="9" s="1"/>
  <c r="J23" i="9"/>
  <c r="J22" i="9"/>
  <c r="J21" i="9"/>
  <c r="J25" i="9"/>
  <c r="G23" i="9"/>
  <c r="I23" i="9" s="1"/>
  <c r="G22" i="9"/>
  <c r="I22" i="9" s="1"/>
  <c r="G21" i="9"/>
  <c r="I21" i="9" s="1"/>
  <c r="G25" i="9"/>
  <c r="I25" i="9" s="1"/>
  <c r="I24" i="9" s="1"/>
  <c r="D23" i="9"/>
  <c r="F23" i="9" s="1"/>
  <c r="D21" i="9"/>
  <c r="F21" i="9" s="1"/>
  <c r="D25" i="9"/>
  <c r="F25" i="9" s="1"/>
  <c r="F24" i="9" s="1"/>
  <c r="G43" i="9" l="1"/>
  <c r="N35" i="9"/>
  <c r="J35" i="9"/>
  <c r="G37" i="9"/>
  <c r="N44" i="9"/>
  <c r="G36" i="9"/>
  <c r="J43" i="9"/>
  <c r="L43" i="9" s="1"/>
  <c r="N41" i="9"/>
  <c r="N49" i="9"/>
  <c r="G49" i="9"/>
  <c r="J42" i="9"/>
  <c r="N40" i="9"/>
  <c r="G47" i="9"/>
  <c r="J48" i="9"/>
  <c r="J41" i="9"/>
  <c r="N47" i="9"/>
  <c r="N39" i="9"/>
  <c r="N46" i="9"/>
  <c r="G38" i="9"/>
  <c r="J47" i="9"/>
  <c r="N45" i="9"/>
  <c r="N38" i="9"/>
  <c r="N48" i="9"/>
  <c r="J40" i="9"/>
  <c r="J46" i="9"/>
  <c r="G39" i="9"/>
  <c r="G44" i="9"/>
  <c r="J45" i="9"/>
  <c r="G46" i="9"/>
  <c r="J37" i="9"/>
  <c r="N43" i="9"/>
  <c r="P43" i="9" s="1"/>
  <c r="J39" i="9"/>
  <c r="J44" i="9"/>
  <c r="N37" i="9"/>
  <c r="J36" i="9"/>
  <c r="N42" i="9"/>
  <c r="G45" i="9"/>
  <c r="G48" i="9"/>
  <c r="G42" i="9"/>
  <c r="G40" i="9"/>
  <c r="J38" i="9"/>
  <c r="J49" i="9"/>
  <c r="N36" i="9"/>
  <c r="G41" i="9"/>
  <c r="G35" i="9"/>
  <c r="D41" i="9"/>
  <c r="D49" i="9"/>
  <c r="D48" i="9"/>
  <c r="D46" i="9"/>
  <c r="D45" i="9"/>
  <c r="D36" i="9"/>
  <c r="D44" i="9"/>
  <c r="D43" i="9"/>
  <c r="F43" i="9" s="1"/>
  <c r="D37" i="9"/>
  <c r="D35" i="9"/>
  <c r="D47" i="9"/>
  <c r="D42" i="9"/>
  <c r="D40" i="9"/>
  <c r="D39" i="9"/>
  <c r="D38" i="9"/>
  <c r="I19" i="9"/>
  <c r="F19" i="9"/>
  <c r="P49" i="9" l="1"/>
  <c r="F49" i="9"/>
  <c r="P48" i="9"/>
  <c r="F48" i="9"/>
  <c r="P47" i="9"/>
  <c r="F47" i="9"/>
  <c r="P46" i="9"/>
  <c r="F46" i="9"/>
  <c r="P45" i="9"/>
  <c r="F45" i="9"/>
  <c r="P44" i="9"/>
  <c r="F44" i="9"/>
  <c r="P42" i="9"/>
  <c r="F42" i="9"/>
  <c r="P41" i="9"/>
  <c r="F41" i="9"/>
  <c r="P40" i="9"/>
  <c r="I40" i="9"/>
  <c r="F40" i="9"/>
  <c r="P39" i="9"/>
  <c r="F39" i="9"/>
  <c r="P38" i="9"/>
  <c r="F38" i="9"/>
  <c r="P37" i="9"/>
  <c r="F37" i="9"/>
  <c r="P36" i="9"/>
  <c r="F36" i="9"/>
  <c r="P35" i="9"/>
  <c r="F35" i="9"/>
  <c r="N24" i="9"/>
  <c r="J24" i="9"/>
  <c r="G24" i="9"/>
  <c r="D24" i="9"/>
  <c r="N17" i="9"/>
  <c r="L17" i="9"/>
  <c r="K17" i="9"/>
  <c r="I17" i="9"/>
  <c r="H17" i="9"/>
  <c r="F17" i="9"/>
  <c r="E17" i="9"/>
  <c r="P10" i="9"/>
  <c r="P17" i="9" s="1"/>
  <c r="L10" i="9"/>
  <c r="K10" i="9"/>
  <c r="I10" i="9"/>
  <c r="H10" i="9"/>
  <c r="F10" i="9"/>
  <c r="E10" i="9"/>
  <c r="A4" i="9"/>
  <c r="D28" i="9" l="1"/>
  <c r="F28" i="9" s="1"/>
  <c r="D52" i="9"/>
  <c r="F52" i="9" s="1"/>
  <c r="N28" i="9"/>
  <c r="P28" i="9" s="1"/>
  <c r="N29" i="9"/>
  <c r="P29" i="9" s="1"/>
  <c r="N30" i="9"/>
  <c r="P30" i="9" s="1"/>
  <c r="N31" i="9"/>
  <c r="P31" i="9" s="1"/>
  <c r="N32" i="9"/>
  <c r="P32" i="9" s="1"/>
  <c r="J29" i="9"/>
  <c r="J30" i="9"/>
  <c r="J31" i="9"/>
  <c r="L31" i="9" s="1"/>
  <c r="D32" i="9"/>
  <c r="F32" i="9" s="1"/>
  <c r="J32" i="9"/>
  <c r="L32" i="9" s="1"/>
  <c r="J28" i="9"/>
  <c r="D30" i="9"/>
  <c r="F30" i="9" s="1"/>
  <c r="G29" i="9"/>
  <c r="G32" i="9"/>
  <c r="I32" i="9" s="1"/>
  <c r="G30" i="9"/>
  <c r="G31" i="9"/>
  <c r="I31" i="9" s="1"/>
  <c r="G28" i="9"/>
  <c r="D29" i="9"/>
  <c r="F29" i="9" s="1"/>
  <c r="D31" i="9"/>
  <c r="F31" i="9" s="1"/>
  <c r="N52" i="9"/>
  <c r="P52" i="9" s="1"/>
  <c r="G53" i="9"/>
  <c r="G52" i="9"/>
  <c r="N53" i="9"/>
  <c r="P53" i="9" s="1"/>
  <c r="D53" i="9"/>
  <c r="F53" i="9" s="1"/>
  <c r="J53" i="9"/>
  <c r="J52" i="9"/>
  <c r="F34" i="9"/>
  <c r="N19" i="9"/>
  <c r="N11" i="9" s="1"/>
  <c r="J34" i="9"/>
  <c r="D19" i="9"/>
  <c r="D11" i="9" s="1"/>
  <c r="G11" i="9"/>
  <c r="D34" i="9"/>
  <c r="N34" i="9"/>
  <c r="J19" i="9"/>
  <c r="J11" i="9" s="1"/>
  <c r="G19" i="9"/>
  <c r="O17" i="9"/>
  <c r="F51" i="9" l="1"/>
  <c r="D51" i="9"/>
  <c r="J51" i="9"/>
  <c r="N51" i="9"/>
  <c r="N27" i="9"/>
  <c r="J27" i="9"/>
  <c r="F27" i="9"/>
  <c r="D27" i="9"/>
  <c r="I36" i="9"/>
  <c r="I41" i="9"/>
  <c r="I39" i="9"/>
  <c r="I48" i="9"/>
  <c r="I47" i="9"/>
  <c r="I42" i="9"/>
  <c r="I45" i="9"/>
  <c r="I49" i="9"/>
  <c r="I46" i="9"/>
  <c r="I43" i="9"/>
  <c r="I37" i="9"/>
  <c r="I30" i="9"/>
  <c r="I38" i="9"/>
  <c r="I53" i="9"/>
  <c r="I29" i="9"/>
  <c r="I44" i="9"/>
  <c r="L49" i="9"/>
  <c r="L47" i="9"/>
  <c r="L44" i="9"/>
  <c r="L21" i="9"/>
  <c r="L46" i="9"/>
  <c r="L20" i="9"/>
  <c r="L42" i="9"/>
  <c r="L53" i="9"/>
  <c r="L35" i="9"/>
  <c r="L45" i="9"/>
  <c r="O24" i="9"/>
  <c r="P24" i="9"/>
  <c r="L23" i="9"/>
  <c r="L41" i="9"/>
  <c r="L40" i="9"/>
  <c r="L22" i="9"/>
  <c r="L30" i="9"/>
  <c r="L39" i="9"/>
  <c r="L28" i="9"/>
  <c r="L38" i="9"/>
  <c r="L29" i="9"/>
  <c r="Q37" i="9"/>
  <c r="L37" i="9"/>
  <c r="Q48" i="9"/>
  <c r="L48" i="9"/>
  <c r="L36" i="9"/>
  <c r="L52" i="9"/>
  <c r="D12" i="9" l="1"/>
  <c r="J12" i="9"/>
  <c r="N12" i="9"/>
  <c r="I35" i="9"/>
  <c r="I34" i="9" s="1"/>
  <c r="G34" i="9"/>
  <c r="I28" i="9"/>
  <c r="I27" i="9" s="1"/>
  <c r="G27" i="9"/>
  <c r="I52" i="9"/>
  <c r="I51" i="9" s="1"/>
  <c r="G51" i="9"/>
  <c r="L51" i="9"/>
  <c r="L27" i="9"/>
  <c r="L19" i="9"/>
  <c r="L34" i="9"/>
  <c r="K24" i="9"/>
  <c r="L25" i="9"/>
  <c r="L24" i="9" s="1"/>
  <c r="K51" i="9"/>
  <c r="P51" i="9"/>
  <c r="K27" i="9"/>
  <c r="O51" i="9"/>
  <c r="H11" i="9"/>
  <c r="O27" i="9"/>
  <c r="P27" i="9"/>
  <c r="H12" i="9"/>
  <c r="O19" i="9"/>
  <c r="O11" i="9" s="1"/>
  <c r="K34" i="9"/>
  <c r="P19" i="9"/>
  <c r="P11" i="9" s="1"/>
  <c r="T11" i="9" s="1"/>
  <c r="K19" i="9"/>
  <c r="O34" i="9"/>
  <c r="P34" i="9"/>
  <c r="E12" i="9"/>
  <c r="I11" i="9"/>
  <c r="G12" i="9" l="1"/>
  <c r="K12" i="9"/>
  <c r="L12" i="9"/>
  <c r="I12" i="9"/>
  <c r="I13" i="9" s="1"/>
  <c r="O12" i="9"/>
  <c r="F12" i="9"/>
  <c r="H54" i="9"/>
  <c r="G17" i="9" s="1"/>
  <c r="G54" i="9" s="1"/>
  <c r="P12" i="9"/>
  <c r="T12" i="9"/>
  <c r="F11" i="9"/>
  <c r="F54" i="9"/>
  <c r="K11" i="9"/>
  <c r="K54" i="9"/>
  <c r="J17" i="9" s="1"/>
  <c r="J54" i="9" s="1"/>
  <c r="L11" i="9"/>
  <c r="L54" i="9"/>
  <c r="I54" i="9"/>
  <c r="H13" i="9"/>
  <c r="G10" i="9" s="1"/>
  <c r="E11" i="9"/>
  <c r="E13" i="9" s="1"/>
  <c r="D10" i="9" s="1"/>
  <c r="D13" i="9" s="1"/>
  <c r="E54" i="9"/>
  <c r="D17" i="9" s="1"/>
  <c r="D54" i="9" s="1"/>
  <c r="G13" i="9" l="1"/>
  <c r="K13" i="9"/>
  <c r="J10" i="9" s="1"/>
  <c r="J13" i="9" s="1"/>
  <c r="F13" i="9"/>
  <c r="L13" i="9"/>
</calcChain>
</file>

<file path=xl/sharedStrings.xml><?xml version="1.0" encoding="utf-8"?>
<sst xmlns="http://schemas.openxmlformats.org/spreadsheetml/2006/main" count="1337" uniqueCount="480">
  <si>
    <t>Date</t>
  </si>
  <si>
    <t>No.</t>
  </si>
  <si>
    <t>Posting</t>
  </si>
  <si>
    <t>Name</t>
  </si>
  <si>
    <t>Memo/Description</t>
  </si>
  <si>
    <t>Account</t>
  </si>
  <si>
    <t>Amount</t>
  </si>
  <si>
    <t>Deposit</t>
  </si>
  <si>
    <t>Yes</t>
  </si>
  <si>
    <t>29 Bank VN:Vietnam (USD)</t>
  </si>
  <si>
    <t>30 Bank VN:Vietnam (VND)</t>
  </si>
  <si>
    <t>10/25/2025</t>
  </si>
  <si>
    <t>Cheque Expense</t>
  </si>
  <si>
    <t xml:space="preserve">   30 Vietnam (VND)</t>
  </si>
  <si>
    <t>10/02/2025</t>
  </si>
  <si>
    <t>CONG TY CP TU VAN GLOBAL EMBASSY</t>
  </si>
  <si>
    <t>VNMOET7300211;Payment to Global Embassy for MOET lauching project's event ; VND33993540</t>
  </si>
  <si>
    <t>1252VN Prepaid expenses VN:Prepaid Expenses VN- Estimated settlement</t>
  </si>
  <si>
    <t>Cong ty CP Truyen thong va du lich Dai Viet</t>
  </si>
  <si>
    <t>VNMOET7300211;Payment for Dai Viet Company for MOET lauching project's event and training course; VND168825600</t>
  </si>
  <si>
    <t>Cong ty TNHH TM va DL ALOBAY</t>
  </si>
  <si>
    <t>VNMOET7200211;Payment for airtickets for delegations attending the MOET training and launching project ; VND179000000</t>
  </si>
  <si>
    <t>Nguyen Hong Kim</t>
  </si>
  <si>
    <t>PD6 - Truong Mau giao Son Ca</t>
  </si>
  <si>
    <t>VNQN2;Advance for Son Ca kindergarten , C15 from sesson No. 1- No. 8; VND19850000</t>
  </si>
  <si>
    <t>1500VN Accounts Payable - VN</t>
  </si>
  <si>
    <t>Bui Thi Huong</t>
  </si>
  <si>
    <t>Cong ty Co phan di chuyen Xanh va thong minh GSM</t>
  </si>
  <si>
    <t>Công ty TNHH MTV Hop Nhat Thanh</t>
  </si>
  <si>
    <t>Cong ty TNHH Thuong Mai va Du lich Noi Bai</t>
  </si>
  <si>
    <t>Phan Doan Kim Nhung</t>
  </si>
  <si>
    <t>10/20/2025</t>
  </si>
  <si>
    <t>Vietnam Tax Company</t>
  </si>
  <si>
    <t>VNOther;PIT SEPT 2025; VND135542771</t>
  </si>
  <si>
    <t>10/24/2025</t>
  </si>
  <si>
    <t>Ho Thi Mong Thu</t>
  </si>
  <si>
    <t>;Bonus for OSVN trainers - DN; VND34015328</t>
  </si>
  <si>
    <t>Mai Thi Kim Hang</t>
  </si>
  <si>
    <t>;Bonus for OSVN trainers - DN; VND34495941</t>
  </si>
  <si>
    <t>Nguyen Thi Thuy Na</t>
  </si>
  <si>
    <t>;Bonus for OSVN trainers - DN; VND35222457</t>
  </si>
  <si>
    <t>Nguyen Thi Tram Anh</t>
  </si>
  <si>
    <t>;Bonus for OSVN trainers - DN; VND34363735</t>
  </si>
  <si>
    <t>Pham Thi Huyen</t>
  </si>
  <si>
    <t>;Bonus for OSVN trainers - DN; VND34009634</t>
  </si>
  <si>
    <t>Pham Thi Nhi Ca</t>
  </si>
  <si>
    <t>;Bonus for OSVN trainers - QN; VND34497956</t>
  </si>
  <si>
    <t>Truong Thi Diem Phuong</t>
  </si>
  <si>
    <t>;Bonus for OSVN trainers - DN; VND34476523</t>
  </si>
  <si>
    <t>Vo Thi Quynh Thi</t>
  </si>
  <si>
    <t>;Bonus for OSVN trainers - DN; VND33918426</t>
  </si>
  <si>
    <t>Tuoi Hoa Kindergarten</t>
  </si>
  <si>
    <t>Tuoi Hoa Kindergarten pay back the remaining amount for the last settlement in 2025</t>
  </si>
  <si>
    <t>1230VN Other Receivable VN</t>
  </si>
  <si>
    <t>Cong ty TNHH Grab</t>
  </si>
  <si>
    <t>Nguyen Thi Thanh Thanh</t>
  </si>
  <si>
    <t>Tran Thi Que Chi</t>
  </si>
  <si>
    <t>10/31/2025</t>
  </si>
  <si>
    <t>Service Center for Foreign Affairs</t>
  </si>
  <si>
    <t>VNOther7100;OneSky - SI, HI, UI Oct 25; VND229617511</t>
  </si>
  <si>
    <t>Hien Thi Hien Vo</t>
  </si>
  <si>
    <t>Thuy Thi Bich Thuy Tran</t>
  </si>
  <si>
    <t>Maggie Huyen Nguyen</t>
  </si>
  <si>
    <t>Hoang Thi Kieu Oanh</t>
  </si>
  <si>
    <t>Pham Thi  Dieu Loan</t>
  </si>
  <si>
    <t>Truong Thi Hai</t>
  </si>
  <si>
    <t>Huynh My Ngoc</t>
  </si>
  <si>
    <t>Phan Thi Thao Nguyen</t>
  </si>
  <si>
    <t>Dang Thanh Canh</t>
  </si>
  <si>
    <t>Quang Nam DOET</t>
  </si>
  <si>
    <t>OneSky Vietnam</t>
  </si>
  <si>
    <t>09/13/2025</t>
  </si>
  <si>
    <t>Alice Do Kim Dung</t>
  </si>
  <si>
    <t>09/30/2025</t>
  </si>
  <si>
    <t>1a.</t>
  </si>
  <si>
    <t>1b.</t>
  </si>
  <si>
    <t>Processing data: salary allocation to have the % allocation of salary, PIT, SI of staff to provinces</t>
  </si>
  <si>
    <t>Source of data: VCB bank statement - export from website VCB e-banking, to have the information of order of payment.</t>
  </si>
  <si>
    <t>Processing data: Account list to map GL account with PACCOM expense</t>
  </si>
  <si>
    <t xml:space="preserve">row highlighted in green - process data mannualy to allocate salay, PIT, SI to provinces by every each staff. </t>
  </si>
  <si>
    <t xml:space="preserve">row highlighted in pink - process data mannualy to input the settlement/ advance amount, not cash amount. </t>
  </si>
  <si>
    <t>row highlighted in blue - process data mannualy to input the C&amp;G from ELC account. Hong prepared a separated C&amp;G for ELC, then Nguyen don’t need to show it here, just input the total amount from ELC C&amp;G.</t>
  </si>
  <si>
    <t>Source1_GL</t>
  </si>
  <si>
    <t>Export the source transactions from QBO, remember to filter Account by the following only: 29 Bank VN*; 30 Bank VN*; 31 Bank VN*</t>
  </si>
  <si>
    <t>Add columns J to Q, with columns J and Q being manual input, the others are formula</t>
  </si>
  <si>
    <t xml:space="preserve">filter </t>
  </si>
  <si>
    <t>Source2_Bank</t>
  </si>
  <si>
    <t>Export the bank statements for the report period, add column A and assign series numbers to all transactions</t>
  </si>
  <si>
    <t>Middle File</t>
  </si>
  <si>
    <t>This tab is created by copy paste the filtered results from tab "Source1_GL", then add columns highlighted in yellow with formula</t>
  </si>
  <si>
    <r>
      <t xml:space="preserve">Source of data: </t>
    </r>
    <r>
      <rPr>
        <b/>
        <sz val="11"/>
        <color theme="1"/>
        <rFont val="Aptos Narrow"/>
        <family val="2"/>
        <scheme val="minor"/>
      </rPr>
      <t>(1a) Transaction list</t>
    </r>
    <r>
      <rPr>
        <sz val="11"/>
        <color theme="1"/>
        <rFont val="Aptos Narrow"/>
        <family val="2"/>
        <scheme val="minor"/>
      </rPr>
      <t>: exported from Quick Book to have information of: payment date, payee, CBL, GL account, bank account, amount.</t>
    </r>
  </si>
  <si>
    <r>
      <t xml:space="preserve">Source of data: </t>
    </r>
    <r>
      <rPr>
        <b/>
        <sz val="11"/>
        <color theme="1"/>
        <rFont val="Aptos Narrow"/>
        <family val="2"/>
        <scheme val="minor"/>
      </rPr>
      <t>(1b) PIT+SI</t>
    </r>
    <r>
      <rPr>
        <sz val="11"/>
        <color theme="1"/>
        <rFont val="Aptos Narrow"/>
        <family val="2"/>
        <scheme val="minor"/>
      </rPr>
      <t>: exported from Quick Book to have information of: salary, Personal Income Tax (PIT),  Social Insurance (SI) by every each staff. (in column I memo, I filter key work  "PIT", "SI" to copy these transaction to sheet "PIT + SI payment")</t>
    </r>
  </si>
  <si>
    <t>OneSky Foundation</t>
  </si>
  <si>
    <t>Account List</t>
  </si>
  <si>
    <t/>
  </si>
  <si>
    <t>Account No.</t>
  </si>
  <si>
    <t>Type</t>
  </si>
  <si>
    <t>Detail type</t>
  </si>
  <si>
    <t>Description</t>
  </si>
  <si>
    <t>Balance</t>
  </si>
  <si>
    <t>71101VN</t>
  </si>
  <si>
    <t>Com. and ben. for field staff:Compensation for field staff:ECD Training Specialist (TBH)</t>
  </si>
  <si>
    <t>Expenses</t>
  </si>
  <si>
    <t>Other Miscellaneous Service Cost</t>
  </si>
  <si>
    <t>Org</t>
  </si>
  <si>
    <t>71102VN</t>
  </si>
  <si>
    <t>Com. and ben. for field staff:Compensation for field staff:ELC Deputy Director</t>
  </si>
  <si>
    <t>71103VN</t>
  </si>
  <si>
    <t>Com. and ben. for field staff:Compensation for field staff:Curriculum Modification (ThucAn</t>
  </si>
  <si>
    <t>71105VN</t>
  </si>
  <si>
    <t>Com. and ben. for field staff:Compensation for field staff:HBC Specialist (Chi)</t>
  </si>
  <si>
    <t>71119VN</t>
  </si>
  <si>
    <t>Com. and ben. for field staff:Other ben. for field staff:Benefits Prgm Dev VN</t>
  </si>
  <si>
    <t>71121VN</t>
  </si>
  <si>
    <t>Com. and ben. for field staff:Compensation for field staff:OneFamily engineering VN (TBH)</t>
  </si>
  <si>
    <t>71122VN</t>
  </si>
  <si>
    <t>Com. and ben. for field staff:Compensation for field staff:VN Blended Learning Mgr (Thao)</t>
  </si>
  <si>
    <t>71131VN</t>
  </si>
  <si>
    <t>Com. and ben. for field staff:Compensation for field staff:Parenting Mentors VN (Group)</t>
  </si>
  <si>
    <t>71132VN</t>
  </si>
  <si>
    <t>Com. and ben. for field staff:Compensation for field staff:Home Daycare Trainers VN (Group</t>
  </si>
  <si>
    <t>71139VN</t>
  </si>
  <si>
    <t>Com. and ben. for field staff:Other ben. for field staff:Tax &amp; Benefit Trainer VN</t>
  </si>
  <si>
    <t>71141VN</t>
  </si>
  <si>
    <t>Com. and ben. for field staff:Compensation for field staff:MOET staff (Group)</t>
  </si>
  <si>
    <t>71201VN</t>
  </si>
  <si>
    <t>Com. and ben. for field staff:Compensation for field staff:Country Director (Sophie) VN</t>
  </si>
  <si>
    <t>71202VN</t>
  </si>
  <si>
    <t>Com. and ben. for field staff:Compensation for field staff:Program Director Vietnam (Hien)</t>
  </si>
  <si>
    <t>71203VN</t>
  </si>
  <si>
    <t>Com. and ben. for field staff:Compensation for field staff:VN Finance (Tram)</t>
  </si>
  <si>
    <t>71204VN</t>
  </si>
  <si>
    <t>Com. and ben. for field staff:Compensation for field staff:Admin Manager (Kim)</t>
  </si>
  <si>
    <t>71205VN</t>
  </si>
  <si>
    <t>Com. and ben. for field staff:Compensation for field staff:Health,Safety&amp; NutritionDir.(TBH)</t>
  </si>
  <si>
    <t>71206VN</t>
  </si>
  <si>
    <t>Com. and ben. for field staff:Compensation for field staff:VN MEAL Manager</t>
  </si>
  <si>
    <t>71207VN</t>
  </si>
  <si>
    <t>Com. and ben. for field staff:Compensation for field staff:Asia Tactical Advisors (TBH)</t>
  </si>
  <si>
    <t>71208VN</t>
  </si>
  <si>
    <t>Com. and ben. for field staff:Compensation for field staff:VN ICC Ops Managers</t>
  </si>
  <si>
    <t>71209VN</t>
  </si>
  <si>
    <t>Com. and ben. for field staff:Compensation for field staff:VN ECCE Specialist (Le Huyen)</t>
  </si>
  <si>
    <t>71219VN</t>
  </si>
  <si>
    <t>Com. and ben. for field staff:Other ben. for field staff:Benefits - Ops VN</t>
  </si>
  <si>
    <t>71301VN</t>
  </si>
  <si>
    <t>Com. and ben. for field staff:Compensation for field staff:Manager, Vietnam Communications (Huyen)</t>
  </si>
  <si>
    <t>71302VN</t>
  </si>
  <si>
    <t>Com. and ben. for field staff:Compensation for field staff:Part time IT Coordinator</t>
  </si>
  <si>
    <t>71343VN</t>
  </si>
  <si>
    <t>Com. and ben. for n-field staff:Comp. for n-field staff:Outsourced Camera-crew (Contrac</t>
  </si>
  <si>
    <t>71399VN</t>
  </si>
  <si>
    <t>Com. and ben. for field staff:Other ben. for field staff:Benefits Comm VN</t>
  </si>
  <si>
    <t>71401VN</t>
  </si>
  <si>
    <t>Com. and ben. for field staff:Compensation for field staff:Finance Manager (Thuy)</t>
  </si>
  <si>
    <t>71409VN</t>
  </si>
  <si>
    <t>Com. and ben. for field staff:Other ben. for field staff:Benefits Prgm Finance VN</t>
  </si>
  <si>
    <t>71504VN</t>
  </si>
  <si>
    <t>Com. and ben. for field staff:Compensation for field staff:Preschool Teachers VN (Group)</t>
  </si>
  <si>
    <t>71505VN</t>
  </si>
  <si>
    <t>Com. and ben. for field staff:Compensation for field staff:CenterHeadmaster/Security(Group</t>
  </si>
  <si>
    <t>71506VN</t>
  </si>
  <si>
    <t>Com. and ben. for field staff:Compensation for field staff:Maintenance Person VN (Group)</t>
  </si>
  <si>
    <t>71507VN</t>
  </si>
  <si>
    <t>Com. and ben. for field staff:Compensation for field staff:School nurse VN (Group)</t>
  </si>
  <si>
    <t>71508VN</t>
  </si>
  <si>
    <t>Com. and ben. for field staff:Compensation for field staff:Kitchen Staff VN (Group)</t>
  </si>
  <si>
    <t>71509VN</t>
  </si>
  <si>
    <t>Com. and ben. for field staff:Compensation for field staff:Administration Officer VN(Group)</t>
  </si>
  <si>
    <t>71510VN</t>
  </si>
  <si>
    <t>Com. and ben. for field staff:Compensation for field staff:Admin/Receptionist VN (Group)</t>
  </si>
  <si>
    <t>71511VN</t>
  </si>
  <si>
    <t>Com. and ben. for field staff:Compensation for field staff:ELC Chief accountant VN (Group)</t>
  </si>
  <si>
    <t>71599VN</t>
  </si>
  <si>
    <t>Com. and ben. for field staff:Other ben. for field staff:Benefits Program Centers VN</t>
  </si>
  <si>
    <t>72101VN</t>
  </si>
  <si>
    <t>Training programs and materials:Parent Training VN</t>
  </si>
  <si>
    <t>Edu</t>
  </si>
  <si>
    <t>72102VN</t>
  </si>
  <si>
    <t>Training programs and materials:HBC Training VN</t>
  </si>
  <si>
    <t>72103VN</t>
  </si>
  <si>
    <t>Training programs and materials:Taining of Trainers (TOT) VN</t>
  </si>
  <si>
    <t>72104VN</t>
  </si>
  <si>
    <t>Conferences and meetings:Seminar/workshop/conference VN</t>
  </si>
  <si>
    <t>72105VN</t>
  </si>
  <si>
    <t>Travel Expenses:Site Visits &amp; Evaluation VN</t>
  </si>
  <si>
    <t>72106VN</t>
  </si>
  <si>
    <t>Training programs and materials:Evaluation-External Training VN</t>
  </si>
  <si>
    <t>Oper</t>
  </si>
  <si>
    <t>72107VN</t>
  </si>
  <si>
    <t>Training programs and materials:Curriculum Distribution VN</t>
  </si>
  <si>
    <t>72201VN</t>
  </si>
  <si>
    <t>Travel Expenses:Oper/ Coor &amp; IT Site Visits VN</t>
  </si>
  <si>
    <t>72202VN</t>
  </si>
  <si>
    <t>Travel Expenses:Prgm Inter-office travel VN</t>
  </si>
  <si>
    <t>72203VN</t>
  </si>
  <si>
    <t>Conferences and meetings:Meetings, Ceremonies, Gifts VN</t>
  </si>
  <si>
    <t>72301VN</t>
  </si>
  <si>
    <t>Travel Expenses:Comm &amp; Eng staff travel VN</t>
  </si>
  <si>
    <t>72302VN</t>
  </si>
  <si>
    <t>Conferences and meetings:Media Staff Travel VN</t>
  </si>
  <si>
    <t>72303VN</t>
  </si>
  <si>
    <t>Conferences and meetings:Outreach &amp; Education VN</t>
  </si>
  <si>
    <t>72501VN</t>
  </si>
  <si>
    <t>Training programs and materials:Center Training &amp; Travel VN</t>
  </si>
  <si>
    <t>73101VN</t>
  </si>
  <si>
    <t>Training programs and materials:Equip &amp; Supp for Parent trainin</t>
  </si>
  <si>
    <t>73102VN</t>
  </si>
  <si>
    <t>Training programs and materials:Equip &amp; Supp for HBC training</t>
  </si>
  <si>
    <t>73103VN</t>
  </si>
  <si>
    <t>Training programs and materials:Equip &amp; Supp for General Train</t>
  </si>
  <si>
    <t>73104VN</t>
  </si>
  <si>
    <t>Information technology:Elearning/1jiaren Server VN</t>
  </si>
  <si>
    <t>73108VN</t>
  </si>
  <si>
    <t>Training programs and materials:Training Project Office Fees VN</t>
  </si>
  <si>
    <t>73109VN</t>
  </si>
  <si>
    <t>Training programs and materials:Measurement &amp; Evaluation VN</t>
  </si>
  <si>
    <t>73201VN</t>
  </si>
  <si>
    <t>Office expenses:Meals &amp; Transportation VN</t>
  </si>
  <si>
    <t>73202VN</t>
  </si>
  <si>
    <t>Office expenses:Prgm Professional Dev. VN</t>
  </si>
  <si>
    <t>73203VN</t>
  </si>
  <si>
    <t>Occupancy:Rent &amp; Utilities VN</t>
  </si>
  <si>
    <t>73204VN</t>
  </si>
  <si>
    <t>Office expenses:Prgm Equip &amp; Furnishings VN</t>
  </si>
  <si>
    <t>73205VN</t>
  </si>
  <si>
    <t>Office expenses:Prgm Office Supplies VN</t>
  </si>
  <si>
    <t>73206VN</t>
  </si>
  <si>
    <t>Office expenses:Prgm Repairs &amp; Service VN</t>
  </si>
  <si>
    <t>73207VN</t>
  </si>
  <si>
    <t>Office expenses:Shipping &amp; Storage VN</t>
  </si>
  <si>
    <t>73208VN</t>
  </si>
  <si>
    <t>Office expenses:Prgm Tele &amp; Fax VN</t>
  </si>
  <si>
    <t>73209VN</t>
  </si>
  <si>
    <t>Office expenses:Prgm Bank Fee VN</t>
  </si>
  <si>
    <t>73210VN</t>
  </si>
  <si>
    <t>Office expenses:Vietnam - Recruitment Expenses</t>
  </si>
  <si>
    <t>73301VN</t>
  </si>
  <si>
    <t>Office expenses:Comm &amp; Eng Equip &amp; Supplies VN</t>
  </si>
  <si>
    <t>73302VN</t>
  </si>
  <si>
    <t>Office expenses:Media Equip &amp; Supplies VN</t>
  </si>
  <si>
    <t>73303VN</t>
  </si>
  <si>
    <t>Office expenses:Annual Report/Print Material VN</t>
  </si>
  <si>
    <t>73305VN</t>
  </si>
  <si>
    <t>Office expenses:Drives and Shipping VN</t>
  </si>
  <si>
    <t>73306VN</t>
  </si>
  <si>
    <t>Information technology:Web Hosting VN</t>
  </si>
  <si>
    <t>73501VN</t>
  </si>
  <si>
    <t>Center Expenses:Documentation VN</t>
  </si>
  <si>
    <t>73505VN</t>
  </si>
  <si>
    <t>Center Expenses:Startup and Renovation VN</t>
  </si>
  <si>
    <t>73506VN</t>
  </si>
  <si>
    <t>Center Expenses:Resupply and Material VN</t>
  </si>
  <si>
    <t>73509VN</t>
  </si>
  <si>
    <t>Center Expenses:Preschool Supplies/Toys VN</t>
  </si>
  <si>
    <t>73519VN</t>
  </si>
  <si>
    <t>Center Expenses:Food and Nutrition Planning VN</t>
  </si>
  <si>
    <t>74102VN</t>
  </si>
  <si>
    <t>Consulting and Professional:Other Professional:Center External Evaluation VN</t>
  </si>
  <si>
    <t>74201VN</t>
  </si>
  <si>
    <t>Consulting and Professional:Other Professional:Country Compliance VN</t>
  </si>
  <si>
    <t>7430VN</t>
  </si>
  <si>
    <t>Consulting and Professional:Other Professional:Professional Comm &amp; Engage VN</t>
  </si>
  <si>
    <t>8300VN</t>
  </si>
  <si>
    <t>Depreciation and amortization:Depreciation VN</t>
  </si>
  <si>
    <t>1230VN</t>
  </si>
  <si>
    <t>mannual input</t>
  </si>
  <si>
    <t>1250VN</t>
  </si>
  <si>
    <t>1252VN</t>
  </si>
  <si>
    <t>1500VN</t>
  </si>
  <si>
    <t>Salary Allocation Projection - PACCOM report</t>
  </si>
  <si>
    <t>VNELC</t>
  </si>
  <si>
    <t>VNDN</t>
  </si>
  <si>
    <t>VNQN</t>
  </si>
  <si>
    <t>VNHD</t>
  </si>
  <si>
    <t>VNQNg</t>
  </si>
  <si>
    <t>VNMOET</t>
  </si>
  <si>
    <t>6 Unit</t>
  </si>
  <si>
    <t>Group</t>
  </si>
  <si>
    <t>Salary Allocation 2024</t>
  </si>
  <si>
    <t>ELC</t>
  </si>
  <si>
    <t>ICC DN</t>
  </si>
  <si>
    <t>ICC QN</t>
  </si>
  <si>
    <t>ICC HD</t>
  </si>
  <si>
    <t>ICC Qng</t>
  </si>
  <si>
    <t>Dự án tập huấn toàn quốc/ National Training</t>
  </si>
  <si>
    <t>Total</t>
  </si>
  <si>
    <t>Note</t>
  </si>
  <si>
    <t>Portion</t>
  </si>
  <si>
    <t>Support</t>
  </si>
  <si>
    <t>Sophie Nguyen Thi Bao Nhung</t>
  </si>
  <si>
    <t>Que Chi</t>
  </si>
  <si>
    <t>MOET</t>
  </si>
  <si>
    <t>100% MOET</t>
  </si>
  <si>
    <t>HBC</t>
  </si>
  <si>
    <t>done</t>
  </si>
  <si>
    <t>Le Thi Thu Huyen</t>
  </si>
  <si>
    <t>Phan Thi Thảo Nguyên</t>
  </si>
  <si>
    <t>100% ELC</t>
  </si>
  <si>
    <t>MONTHLY FINANCIAL REPORT</t>
  </si>
  <si>
    <t>Input month to print</t>
  </si>
  <si>
    <t>31 Bank VN:Vietnam Sacombank (VND)</t>
  </si>
  <si>
    <t>DESCRIPTION</t>
  </si>
  <si>
    <t>Vietcombank - VND</t>
  </si>
  <si>
    <t>Vietcombank - USD</t>
  </si>
  <si>
    <t>Sacombank - VND</t>
  </si>
  <si>
    <t>TOTAL - VND</t>
  </si>
  <si>
    <t>Current period</t>
  </si>
  <si>
    <t>C/F from previous months</t>
  </si>
  <si>
    <t>YTD</t>
  </si>
  <si>
    <t>QBO</t>
  </si>
  <si>
    <t>Beginning Balance</t>
  </si>
  <si>
    <t>Cash in</t>
  </si>
  <si>
    <t>Income</t>
  </si>
  <si>
    <t>Cash out</t>
  </si>
  <si>
    <t>Expense (accrual)</t>
  </si>
  <si>
    <t>Ending Balance</t>
  </si>
  <si>
    <t>1500 AP movement decrease =&gt; expense decrease</t>
  </si>
  <si>
    <t>Accrual increase =&gt; Expense accrual increase</t>
  </si>
  <si>
    <t>No</t>
  </si>
  <si>
    <t>1310 FA increase =&gt;asset increase, not expense</t>
  </si>
  <si>
    <t>I.A</t>
  </si>
  <si>
    <t>Income - OS</t>
  </si>
  <si>
    <t>Contribution</t>
  </si>
  <si>
    <t>Fund transfer</t>
  </si>
  <si>
    <t>Fund transfer to USD account</t>
  </si>
  <si>
    <t>Interest</t>
  </si>
  <si>
    <t>PED</t>
  </si>
  <si>
    <t>I.B</t>
  </si>
  <si>
    <t>Income - ELC</t>
  </si>
  <si>
    <t>ELC Fund transfer</t>
  </si>
  <si>
    <t>Fund transfer to ELC</t>
  </si>
  <si>
    <t>II. A</t>
  </si>
  <si>
    <t>Expenditure by nature</t>
  </si>
  <si>
    <t xml:space="preserve">Organisational capacity building </t>
  </si>
  <si>
    <t>Education quality improvement</t>
  </si>
  <si>
    <t xml:space="preserve">Program Operation </t>
  </si>
  <si>
    <t>Nutrition</t>
  </si>
  <si>
    <t>Nutrion for the children</t>
  </si>
  <si>
    <t>Edu Infra</t>
  </si>
  <si>
    <t>Education Infrastructure</t>
  </si>
  <si>
    <t>II. B</t>
  </si>
  <si>
    <t>Expenditure by Provinces</t>
  </si>
  <si>
    <t>ELC Operation</t>
  </si>
  <si>
    <t>ELC training</t>
  </si>
  <si>
    <t>VNHBC</t>
  </si>
  <si>
    <t>VN General National Training</t>
  </si>
  <si>
    <t xml:space="preserve">Da Nang ICC </t>
  </si>
  <si>
    <t>Quang Nam ICC</t>
  </si>
  <si>
    <t>Hai Duong ICC</t>
  </si>
  <si>
    <t>Quang Ngai ICC</t>
  </si>
  <si>
    <t>Preparation and general of MOET</t>
  </si>
  <si>
    <t>VNBD</t>
  </si>
  <si>
    <t>Binh Duong MOET</t>
  </si>
  <si>
    <t>VNBG</t>
  </si>
  <si>
    <t>Bac Giang MOET</t>
  </si>
  <si>
    <t>VNLA</t>
  </si>
  <si>
    <t>Long An MOET</t>
  </si>
  <si>
    <t>VNHCM</t>
  </si>
  <si>
    <t>HCM MOET</t>
  </si>
  <si>
    <t>VNBN</t>
  </si>
  <si>
    <t>Bac Ninh MOET</t>
  </si>
  <si>
    <t>VNOther</t>
  </si>
  <si>
    <t>In-country program support</t>
  </si>
  <si>
    <t>Cao Bang Relief</t>
  </si>
  <si>
    <t>Cao Bang</t>
  </si>
  <si>
    <t>III</t>
  </si>
  <si>
    <t>Advance/ Settlement</t>
  </si>
  <si>
    <t>Advance</t>
  </si>
  <si>
    <t>Advance by cash</t>
  </si>
  <si>
    <t>Settlement</t>
  </si>
  <si>
    <t>Prepared by</t>
  </si>
  <si>
    <t>Approved by</t>
  </si>
  <si>
    <t>In support</t>
  </si>
  <si>
    <t>General VN</t>
  </si>
  <si>
    <t>DN ICC</t>
  </si>
  <si>
    <t>QN ICC</t>
  </si>
  <si>
    <t>HD ICC</t>
  </si>
  <si>
    <t>QNg ICC</t>
  </si>
  <si>
    <t>MOET LA</t>
  </si>
  <si>
    <t>MOET HCM</t>
  </si>
  <si>
    <t>MOET BD</t>
  </si>
  <si>
    <t>MOET BN</t>
  </si>
  <si>
    <t>MOET BG</t>
  </si>
  <si>
    <t>Month</t>
  </si>
  <si>
    <t>Exchange Rate</t>
  </si>
  <si>
    <t>advance</t>
  </si>
  <si>
    <t>reimbursement</t>
  </si>
  <si>
    <t>salary</t>
  </si>
  <si>
    <t>bonus</t>
  </si>
  <si>
    <t>PIT</t>
  </si>
  <si>
    <t>SI,</t>
  </si>
  <si>
    <t>Provincial Lookup Table</t>
  </si>
  <si>
    <t>advance by cash</t>
  </si>
  <si>
    <t>Current booking</t>
  </si>
  <si>
    <t>Allocation</t>
  </si>
  <si>
    <t>Organisational capacity building</t>
  </si>
  <si>
    <t>102025</t>
  </si>
  <si>
    <t>Mapping province</t>
  </si>
  <si>
    <t>Mapping PACCOM</t>
  </si>
  <si>
    <t>CBL</t>
  </si>
  <si>
    <t>RAW DATA FROM QBO</t>
  </si>
  <si>
    <t xml:space="preserve">PROCESSING DATA </t>
  </si>
  <si>
    <t>Original currency</t>
  </si>
  <si>
    <t>Period</t>
  </si>
  <si>
    <t>09/09/2025</t>
  </si>
  <si>
    <t>Thanh Khe DOET</t>
  </si>
  <si>
    <t>92025</t>
  </si>
  <si>
    <t>Truong Mam non Ngoc Lan</t>
  </si>
  <si>
    <t>Truong Mam non Sen Hong</t>
  </si>
  <si>
    <t>09/12/2025</t>
  </si>
  <si>
    <t>DR 1230/ CR bank account</t>
  </si>
  <si>
    <t>Suggest to set rule base on memo description:</t>
  </si>
  <si>
    <t>CBL;receivable ABC; vnd xxx</t>
  </si>
  <si>
    <t>CBL;receivable settlement ABC; vnd xxx</t>
  </si>
  <si>
    <t>Cash Flow by expense</t>
  </si>
  <si>
    <t>02/17/2025</t>
  </si>
  <si>
    <t>Net off receivable amount VND4937166</t>
  </si>
  <si>
    <t>22025</t>
  </si>
  <si>
    <t>04/11/2025</t>
  </si>
  <si>
    <t>Danang C14_Second advance for session 5-7, management cost - Advance amount; VND31180000, net off: 10365400</t>
  </si>
  <si>
    <t>42025</t>
  </si>
  <si>
    <t>05/25/2025</t>
  </si>
  <si>
    <t>Hai Chau DOET</t>
  </si>
  <si>
    <t>Hai Chau DOET settle session 1st-4th - settle:32,905,000, receivable VND3,560,000</t>
  </si>
  <si>
    <t>52025</t>
  </si>
  <si>
    <t>06/03/2025</t>
  </si>
  <si>
    <t>VNHBC7200;Deposit for Grab; VND5000000</t>
  </si>
  <si>
    <t>62025</t>
  </si>
  <si>
    <t>VNHBC7200;Deposit for Xanh SM; VND5000000</t>
  </si>
  <si>
    <t>06/04/2025</t>
  </si>
  <si>
    <t>Thanh Khe DoET refund the remaining balance of CH14</t>
  </si>
  <si>
    <t>06/10/2025</t>
  </si>
  <si>
    <t>Ngu Hanh Son DOET</t>
  </si>
  <si>
    <t>Ngu Hanh Son DOET refund the remaining balance of CH14</t>
  </si>
  <si>
    <t>06/23/2025</t>
  </si>
  <si>
    <t>Refund the remaining balance amount of Quang Nam ICC - C13+PD3</t>
  </si>
  <si>
    <t>07/21/2025</t>
  </si>
  <si>
    <t>Le Bich Hong</t>
  </si>
  <si>
    <t>VNOther7300;Deposit renting new office for 4 years - 32A Phan Dinh Phung ; VND36650000</t>
  </si>
  <si>
    <t>72025</t>
  </si>
  <si>
    <t>09/18/2025</t>
  </si>
  <si>
    <t>VNOther7300;Deposit electronic fee for OSVN office ; VND5200000</t>
  </si>
  <si>
    <t>DR 1500/ CR bank account</t>
  </si>
  <si>
    <t>CBL;GL account - ABC; vnd xxx</t>
  </si>
  <si>
    <t>GL account</t>
  </si>
  <si>
    <t>09/05/2025</t>
  </si>
  <si>
    <t>VNELC7200;Airticket DOFA guest (MS Phuong) to Danang for ELC handover ceremony; VND5414000</t>
  </si>
  <si>
    <t>VNELC7200;Car rental DOFA guest (MS Phuong) to Danang for ELC handover ceremony; VND756000</t>
  </si>
  <si>
    <t>VNELC7200;Hotel for Ms. Mai Phuong - MOFA attending ELC handover ; VND1200000</t>
  </si>
  <si>
    <t>VNELC7300;Working lunch with Lien Chieu Ward, DOET, MOFA after ELC handover ceremony; VND9105000</t>
  </si>
  <si>
    <t>VNELC7300;Fruit gift for Mr. Chinh - Chairman of Da Nang for his contribution to ELC (869655 VND) and working dinner with MOFA on 11 Aug 2025 (1252003); VND2121658</t>
  </si>
  <si>
    <t>09/08/2025</t>
  </si>
  <si>
    <t>Cong ty TNHH My Thuat Hoang Gia Thang</t>
  </si>
  <si>
    <t>Payback amount - Hoang Gia Thang - due to the wrong account</t>
  </si>
  <si>
    <t>Cong ty TNHH Thuong mai va Dich vu Tong hop Thanh Quang</t>
  </si>
  <si>
    <t>Payback amount -  Thanh Quang company - due to wrong account</t>
  </si>
  <si>
    <t>Cong ty TNHH MTV Han Anh Thinh</t>
  </si>
  <si>
    <t>Payback amount - Han Anh Thinh due to wrong amount</t>
  </si>
  <si>
    <t>Công ty TNHH Du Lịch và Dịch Vụ SKYLUX</t>
  </si>
  <si>
    <t>VNELC7200;Car rental to pick up Morgan and guest on the day of ELC hand over ceremony; VND4133600</t>
  </si>
  <si>
    <t>Payback amount - Ngoc Lan kindergarten due to wrong account</t>
  </si>
  <si>
    <t>Payback amount - Sen Hong kindergarten - due to wrong account</t>
  </si>
  <si>
    <t>Payback amount - Hong Dao kindergarten - due to wrong account</t>
  </si>
  <si>
    <t>VNOther7300;Thank you dinner for ELC staffs and teachers ; VND23052040</t>
  </si>
  <si>
    <t>;Advance settlement for the sessions of 8th - 13th and closing ceremony for Ngoc Lan kindergaten, Ngu Hanh Son 2- CH14 - advanced amount ; VND9548800</t>
  </si>
  <si>
    <t>VNOther7300;PIT settlemt Aug 2025; VND172878150</t>
  </si>
  <si>
    <t>09/15/2025</t>
  </si>
  <si>
    <t>VNOther7300105;New office set up - Payment for paint, plaster and other materials for wall painting; VND10030000</t>
  </si>
  <si>
    <t>;Making desk, logo OS, signboard; VND23617800</t>
  </si>
  <si>
    <t>VNOther7300105;Purchasing steel shelves for filling documents; VND6600000</t>
  </si>
  <si>
    <t>;Advance settlement for the sessions of 8tht-13th,closing ceremony and  ICC training cousrse in Thanh Khe 2, Da Nang CH14 - Hong Dao - advanced amount ; VND5676254</t>
  </si>
  <si>
    <t>;Advance settlement for the sessions of 8th - 13th and closing ceremony for Sen Hong kindergaten, Ngu Hanh Son 1- CH14 - advanced amount ; VND2006000</t>
  </si>
  <si>
    <t>Payback amount - Le Thi Bich Hong - due to wrong account</t>
  </si>
  <si>
    <t>;Payment for electricity from July 24-31, 2025; VND556152</t>
  </si>
  <si>
    <t>VNOther7300507;OneSky - SI, HI, UI Sep 25; VND220566311</t>
  </si>
  <si>
    <t>Payback amount due to wrong account of Son Ca kindergarten</t>
  </si>
  <si>
    <t>DR 1252/ CR bank account</t>
  </si>
  <si>
    <t>IIA: Expenditure by nature
III: Advance, Settlement</t>
  </si>
  <si>
    <t>IIB: Expenditure by 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</si>
</sst>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,##0.00\ _€"/>
    <numFmt numFmtId="165" formatCode="_(* #,##0_);_(* \(#,##0\);_(* &quot;-&quot;??_);_(@_)"/>
    <numFmt numFmtId="166" formatCode="[$$-409]#,##0.00_);[Red]\([$$-409]#,##0.00\)"/>
    <numFmt numFmtId="167" formatCode="[$-409]mmm\-yy;@"/>
    <numFmt numFmtId="168" formatCode="[$$-409]#,##0_);[Red]\([$$-409]#,##0\)"/>
    <numFmt numFmtId="170" formatCode="mm/dd/yy;@"/>
  </numFmts>
  <fonts count="33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indexed="8"/>
      <name val="Arial"/>
      <family val="2"/>
    </font>
    <font>
      <sz val="8"/>
      <color indexed="8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indexed="8"/>
      <name val="Aptos Narrow"/>
      <family val="2"/>
      <scheme val="minor"/>
    </font>
    <font>
      <sz val="13"/>
      <color indexed="8"/>
      <name val="Arial"/>
      <family val="2"/>
    </font>
    <font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b/>
      <u/>
      <sz val="10"/>
      <color theme="1"/>
      <name val="Times New Roman"/>
      <family val="1"/>
    </font>
    <font>
      <b/>
      <u/>
      <sz val="12"/>
      <color theme="1"/>
      <name val="Times New Roman"/>
      <family val="1"/>
    </font>
    <font>
      <i/>
      <sz val="12"/>
      <color rgb="FF0070C0"/>
      <name val="Times New Roman"/>
      <family val="1"/>
    </font>
    <font>
      <sz val="10"/>
      <color rgb="FF7030A0"/>
      <name val="Times New Roman"/>
      <family val="1"/>
    </font>
    <font>
      <sz val="12"/>
      <color rgb="FF7030A0"/>
      <name val="Times New Roman"/>
      <family val="1"/>
    </font>
    <font>
      <sz val="11"/>
      <color rgb="FF7030A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12"/>
      <color theme="1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trike/>
      <sz val="12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4" fillId="0" borderId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166" fontId="11" fillId="0" borderId="0"/>
    <xf numFmtId="9" fontId="3" fillId="0" borderId="0" applyFont="0" applyFill="0" applyBorder="0" applyAlignment="0" applyProtection="0"/>
    <xf numFmtId="166" fontId="3" fillId="0" borderId="0"/>
    <xf numFmtId="43" fontId="11" fillId="0" borderId="0" applyFont="0" applyFill="0" applyBorder="0" applyAlignment="0" applyProtection="0"/>
    <xf numFmtId="0" fontId="3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211">
    <xf numFmtId="0" fontId="0" fillId="0" borderId="0" xfId="0"/>
    <xf numFmtId="0" fontId="0" fillId="0" borderId="0" xfId="3" applyNumberFormat="1" applyFont="1" applyAlignment="1">
      <alignment horizontal="center"/>
    </xf>
    <xf numFmtId="0" fontId="3" fillId="0" borderId="0" xfId="4"/>
    <xf numFmtId="0" fontId="3" fillId="0" borderId="0" xfId="4" applyAlignment="1">
      <alignment horizontal="center"/>
    </xf>
    <xf numFmtId="0" fontId="3" fillId="2" borderId="0" xfId="4" applyFill="1"/>
    <xf numFmtId="0" fontId="3" fillId="3" borderId="0" xfId="4" applyFill="1"/>
    <xf numFmtId="0" fontId="3" fillId="4" borderId="0" xfId="4" applyFill="1"/>
    <xf numFmtId="166" fontId="7" fillId="0" borderId="0" xfId="5" applyFont="1"/>
    <xf numFmtId="0" fontId="11" fillId="0" borderId="0" xfId="5" applyNumberFormat="1"/>
    <xf numFmtId="166" fontId="11" fillId="0" borderId="0" xfId="5"/>
    <xf numFmtId="166" fontId="8" fillId="0" borderId="0" xfId="5" applyFont="1"/>
    <xf numFmtId="0" fontId="5" fillId="5" borderId="1" xfId="5" applyNumberFormat="1" applyFont="1" applyFill="1" applyBorder="1" applyAlignment="1">
      <alignment horizontal="center" wrapText="1"/>
    </xf>
    <xf numFmtId="166" fontId="5" fillId="0" borderId="1" xfId="5" applyFont="1" applyBorder="1" applyAlignment="1">
      <alignment horizontal="center"/>
    </xf>
    <xf numFmtId="166" fontId="5" fillId="0" borderId="1" xfId="5" applyFont="1" applyBorder="1" applyAlignment="1">
      <alignment horizontal="center" wrapText="1"/>
    </xf>
    <xf numFmtId="166" fontId="11" fillId="5" borderId="0" xfId="5" applyFill="1"/>
    <xf numFmtId="0" fontId="6" fillId="5" borderId="0" xfId="5" applyNumberFormat="1" applyFont="1" applyFill="1" applyAlignment="1">
      <alignment horizontal="left" wrapText="1"/>
    </xf>
    <xf numFmtId="166" fontId="6" fillId="0" borderId="0" xfId="5" applyFont="1" applyAlignment="1">
      <alignment horizontal="left"/>
    </xf>
    <xf numFmtId="166" fontId="6" fillId="0" borderId="0" xfId="5" applyFont="1" applyAlignment="1">
      <alignment horizontal="left" wrapText="1"/>
    </xf>
    <xf numFmtId="0" fontId="6" fillId="0" borderId="0" xfId="5" applyNumberFormat="1" applyFont="1" applyAlignment="1">
      <alignment horizontal="left" wrapText="1"/>
    </xf>
    <xf numFmtId="0" fontId="11" fillId="0" borderId="0" xfId="5" applyNumberFormat="1" applyAlignment="1">
      <alignment horizontal="left"/>
    </xf>
    <xf numFmtId="166" fontId="11" fillId="0" borderId="0" xfId="5" applyAlignment="1">
      <alignment horizontal="left"/>
    </xf>
    <xf numFmtId="164" fontId="11" fillId="0" borderId="0" xfId="5" applyNumberFormat="1" applyAlignment="1">
      <alignment horizontal="right" wrapText="1"/>
    </xf>
    <xf numFmtId="166" fontId="12" fillId="0" borderId="0" xfId="5" applyFont="1" applyAlignment="1">
      <alignment horizontal="left"/>
    </xf>
    <xf numFmtId="0" fontId="11" fillId="0" borderId="0" xfId="5" applyNumberFormat="1" applyAlignment="1">
      <alignment horizontal="left" wrapText="1"/>
    </xf>
    <xf numFmtId="166" fontId="11" fillId="0" borderId="0" xfId="5" applyAlignment="1">
      <alignment horizontal="left" wrapText="1"/>
    </xf>
    <xf numFmtId="166" fontId="13" fillId="0" borderId="0" xfId="5" applyFont="1"/>
    <xf numFmtId="166" fontId="14" fillId="0" borderId="0" xfId="5" applyFont="1"/>
    <xf numFmtId="3" fontId="13" fillId="0" borderId="0" xfId="5" applyNumberFormat="1" applyFont="1"/>
    <xf numFmtId="166" fontId="15" fillId="0" borderId="0" xfId="5" applyFont="1"/>
    <xf numFmtId="167" fontId="17" fillId="5" borderId="0" xfId="5" applyNumberFormat="1" applyFont="1" applyFill="1"/>
    <xf numFmtId="165" fontId="18" fillId="0" borderId="0" xfId="3" applyNumberFormat="1" applyFont="1"/>
    <xf numFmtId="166" fontId="18" fillId="0" borderId="0" xfId="5" applyFont="1"/>
    <xf numFmtId="165" fontId="18" fillId="0" borderId="0" xfId="3" applyNumberFormat="1" applyFont="1" applyBorder="1"/>
    <xf numFmtId="166" fontId="18" fillId="6" borderId="0" xfId="5" applyFont="1" applyFill="1"/>
    <xf numFmtId="166" fontId="19" fillId="0" borderId="0" xfId="7" applyFont="1"/>
    <xf numFmtId="3" fontId="19" fillId="7" borderId="2" xfId="7" applyNumberFormat="1" applyFont="1" applyFill="1" applyBorder="1" applyAlignment="1">
      <alignment horizontal="center" vertical="center" wrapText="1"/>
    </xf>
    <xf numFmtId="3" fontId="19" fillId="0" borderId="2" xfId="7" applyNumberFormat="1" applyFont="1" applyBorder="1" applyAlignment="1">
      <alignment horizontal="center" vertical="center" wrapText="1"/>
    </xf>
    <xf numFmtId="166" fontId="19" fillId="7" borderId="4" xfId="7" applyFont="1" applyFill="1" applyBorder="1" applyAlignment="1">
      <alignment horizontal="center" vertical="center"/>
    </xf>
    <xf numFmtId="3" fontId="19" fillId="7" borderId="4" xfId="7" applyNumberFormat="1" applyFont="1" applyFill="1" applyBorder="1" applyAlignment="1">
      <alignment horizontal="center" vertical="center" wrapText="1"/>
    </xf>
    <xf numFmtId="165" fontId="19" fillId="7" borderId="4" xfId="3" applyNumberFormat="1" applyFont="1" applyFill="1" applyBorder="1" applyAlignment="1">
      <alignment horizontal="center" vertical="center" wrapText="1"/>
    </xf>
    <xf numFmtId="43" fontId="19" fillId="7" borderId="4" xfId="3" applyFont="1" applyFill="1" applyBorder="1" applyAlignment="1">
      <alignment horizontal="center" vertical="center" wrapText="1"/>
    </xf>
    <xf numFmtId="3" fontId="19" fillId="0" borderId="4" xfId="7" applyNumberFormat="1" applyFont="1" applyBorder="1" applyAlignment="1">
      <alignment horizontal="center" vertical="center" wrapText="1"/>
    </xf>
    <xf numFmtId="166" fontId="20" fillId="4" borderId="4" xfId="5" applyFont="1" applyFill="1" applyBorder="1" applyAlignment="1">
      <alignment horizontal="left" indent="1"/>
    </xf>
    <xf numFmtId="3" fontId="20" fillId="0" borderId="4" xfId="5" applyNumberFormat="1" applyFont="1" applyBorder="1"/>
    <xf numFmtId="4" fontId="20" fillId="0" borderId="4" xfId="5" applyNumberFormat="1" applyFont="1" applyBorder="1"/>
    <xf numFmtId="166" fontId="20" fillId="0" borderId="0" xfId="5" applyFont="1"/>
    <xf numFmtId="43" fontId="20" fillId="0" borderId="4" xfId="3" applyFont="1" applyBorder="1"/>
    <xf numFmtId="166" fontId="13" fillId="4" borderId="4" xfId="5" applyFont="1" applyFill="1" applyBorder="1" applyAlignment="1">
      <alignment horizontal="left" indent="1"/>
    </xf>
    <xf numFmtId="3" fontId="13" fillId="0" borderId="4" xfId="5" applyNumberFormat="1" applyFont="1" applyBorder="1"/>
    <xf numFmtId="4" fontId="13" fillId="0" borderId="4" xfId="5" applyNumberFormat="1" applyFont="1" applyBorder="1"/>
    <xf numFmtId="165" fontId="15" fillId="0" borderId="0" xfId="3" applyNumberFormat="1" applyFont="1"/>
    <xf numFmtId="166" fontId="21" fillId="0" borderId="0" xfId="5" applyFont="1"/>
    <xf numFmtId="166" fontId="18" fillId="4" borderId="12" xfId="5" applyFont="1" applyFill="1" applyBorder="1" applyAlignment="1">
      <alignment horizontal="left" indent="1"/>
    </xf>
    <xf numFmtId="3" fontId="20" fillId="0" borderId="12" xfId="5" applyNumberFormat="1" applyFont="1" applyBorder="1"/>
    <xf numFmtId="4" fontId="20" fillId="0" borderId="12" xfId="5" applyNumberFormat="1" applyFont="1" applyBorder="1"/>
    <xf numFmtId="165" fontId="21" fillId="0" borderId="0" xfId="3" applyNumberFormat="1" applyFont="1"/>
    <xf numFmtId="4" fontId="3" fillId="0" borderId="0" xfId="4" applyNumberFormat="1"/>
    <xf numFmtId="1" fontId="19" fillId="7" borderId="11" xfId="7" applyNumberFormat="1" applyFont="1" applyFill="1" applyBorder="1" applyAlignment="1">
      <alignment horizontal="center" vertical="center" wrapText="1"/>
    </xf>
    <xf numFmtId="1" fontId="19" fillId="7" borderId="12" xfId="7" applyNumberFormat="1" applyFont="1" applyFill="1" applyBorder="1" applyAlignment="1">
      <alignment horizontal="center" vertical="center" wrapText="1"/>
    </xf>
    <xf numFmtId="168" fontId="15" fillId="0" borderId="0" xfId="5" applyNumberFormat="1" applyFont="1"/>
    <xf numFmtId="1" fontId="19" fillId="7" borderId="11" xfId="7" applyNumberFormat="1" applyFont="1" applyFill="1" applyBorder="1" applyAlignment="1">
      <alignment horizontal="center" vertical="center"/>
    </xf>
    <xf numFmtId="166" fontId="18" fillId="7" borderId="11" xfId="7" applyFont="1" applyFill="1" applyBorder="1" applyAlignment="1">
      <alignment horizontal="left"/>
    </xf>
    <xf numFmtId="3" fontId="22" fillId="7" borderId="11" xfId="8" applyNumberFormat="1" applyFont="1" applyFill="1" applyBorder="1"/>
    <xf numFmtId="3" fontId="22" fillId="7" borderId="11" xfId="8" applyNumberFormat="1" applyFont="1" applyFill="1" applyBorder="1" applyAlignment="1">
      <alignment horizontal="right"/>
    </xf>
    <xf numFmtId="4" fontId="22" fillId="7" borderId="11" xfId="7" applyNumberFormat="1" applyFont="1" applyFill="1" applyBorder="1" applyAlignment="1">
      <alignment horizontal="right"/>
    </xf>
    <xf numFmtId="43" fontId="19" fillId="7" borderId="11" xfId="3" applyFont="1" applyFill="1" applyBorder="1" applyAlignment="1">
      <alignment horizontal="right"/>
    </xf>
    <xf numFmtId="1" fontId="19" fillId="7" borderId="12" xfId="7" applyNumberFormat="1" applyFont="1" applyFill="1" applyBorder="1" applyAlignment="1">
      <alignment horizontal="center" vertical="center"/>
    </xf>
    <xf numFmtId="166" fontId="19" fillId="7" borderId="12" xfId="7" applyFont="1" applyFill="1" applyBorder="1" applyAlignment="1">
      <alignment horizontal="left"/>
    </xf>
    <xf numFmtId="3" fontId="19" fillId="7" borderId="12" xfId="8" applyNumberFormat="1" applyFont="1" applyFill="1" applyBorder="1"/>
    <xf numFmtId="4" fontId="19" fillId="7" borderId="12" xfId="7" applyNumberFormat="1" applyFont="1" applyFill="1" applyBorder="1" applyAlignment="1">
      <alignment horizontal="right"/>
    </xf>
    <xf numFmtId="165" fontId="19" fillId="0" borderId="12" xfId="8" applyNumberFormat="1" applyFont="1" applyFill="1" applyBorder="1"/>
    <xf numFmtId="1" fontId="18" fillId="7" borderId="11" xfId="7" applyNumberFormat="1" applyFont="1" applyFill="1" applyBorder="1" applyAlignment="1">
      <alignment horizontal="center" vertical="center"/>
    </xf>
    <xf numFmtId="166" fontId="18" fillId="7" borderId="13" xfId="7" applyFont="1" applyFill="1" applyBorder="1" applyAlignment="1">
      <alignment horizontal="left"/>
    </xf>
    <xf numFmtId="3" fontId="18" fillId="7" borderId="11" xfId="7" applyNumberFormat="1" applyFont="1" applyFill="1" applyBorder="1" applyAlignment="1">
      <alignment horizontal="right"/>
    </xf>
    <xf numFmtId="4" fontId="18" fillId="7" borderId="11" xfId="7" applyNumberFormat="1" applyFont="1" applyFill="1" applyBorder="1" applyAlignment="1">
      <alignment horizontal="right"/>
    </xf>
    <xf numFmtId="1" fontId="19" fillId="7" borderId="4" xfId="7" applyNumberFormat="1" applyFont="1" applyFill="1" applyBorder="1" applyAlignment="1">
      <alignment horizontal="right" vertical="center"/>
    </xf>
    <xf numFmtId="1" fontId="19" fillId="7" borderId="4" xfId="7" applyNumberFormat="1" applyFont="1" applyFill="1" applyBorder="1" applyAlignment="1">
      <alignment horizontal="left" vertical="center"/>
    </xf>
    <xf numFmtId="166" fontId="13" fillId="0" borderId="0" xfId="5" applyFont="1" applyAlignment="1">
      <alignment horizontal="left" indent="1"/>
    </xf>
    <xf numFmtId="3" fontId="19" fillId="7" borderId="4" xfId="8" applyNumberFormat="1" applyFont="1" applyFill="1" applyBorder="1" applyAlignment="1">
      <alignment horizontal="right"/>
    </xf>
    <xf numFmtId="4" fontId="19" fillId="7" borderId="4" xfId="8" applyNumberFormat="1" applyFont="1" applyFill="1" applyBorder="1" applyAlignment="1">
      <alignment horizontal="right"/>
    </xf>
    <xf numFmtId="3" fontId="19" fillId="7" borderId="4" xfId="8" applyNumberFormat="1" applyFont="1" applyFill="1" applyBorder="1" applyAlignment="1">
      <alignment horizontal="right" vertical="center"/>
    </xf>
    <xf numFmtId="4" fontId="19" fillId="7" borderId="4" xfId="8" applyNumberFormat="1" applyFont="1" applyFill="1" applyBorder="1" applyAlignment="1">
      <alignment horizontal="right" vertical="center"/>
    </xf>
    <xf numFmtId="166" fontId="19" fillId="0" borderId="0" xfId="7" applyFont="1" applyAlignment="1">
      <alignment vertical="center"/>
    </xf>
    <xf numFmtId="166" fontId="15" fillId="0" borderId="0" xfId="5" applyFont="1" applyAlignment="1">
      <alignment vertical="center"/>
    </xf>
    <xf numFmtId="1" fontId="18" fillId="7" borderId="4" xfId="7" applyNumberFormat="1" applyFont="1" applyFill="1" applyBorder="1" applyAlignment="1">
      <alignment horizontal="center" vertical="center"/>
    </xf>
    <xf numFmtId="166" fontId="20" fillId="0" borderId="0" xfId="5" applyFont="1" applyAlignment="1">
      <alignment horizontal="left" indent="1"/>
    </xf>
    <xf numFmtId="3" fontId="18" fillId="7" borderId="4" xfId="8" applyNumberFormat="1" applyFont="1" applyFill="1" applyBorder="1" applyAlignment="1">
      <alignment horizontal="right"/>
    </xf>
    <xf numFmtId="4" fontId="18" fillId="7" borderId="4" xfId="8" applyNumberFormat="1" applyFont="1" applyFill="1" applyBorder="1" applyAlignment="1">
      <alignment horizontal="right"/>
    </xf>
    <xf numFmtId="166" fontId="19" fillId="7" borderId="14" xfId="7" applyFont="1" applyFill="1" applyBorder="1" applyAlignment="1">
      <alignment horizontal="left"/>
    </xf>
    <xf numFmtId="3" fontId="19" fillId="7" borderId="12" xfId="8" applyNumberFormat="1" applyFont="1" applyFill="1" applyBorder="1" applyAlignment="1">
      <alignment horizontal="right"/>
    </xf>
    <xf numFmtId="4" fontId="19" fillId="7" borderId="12" xfId="8" applyNumberFormat="1" applyFont="1" applyFill="1" applyBorder="1" applyAlignment="1">
      <alignment horizontal="right"/>
    </xf>
    <xf numFmtId="3" fontId="18" fillId="7" borderId="11" xfId="8" applyNumberFormat="1" applyFont="1" applyFill="1" applyBorder="1" applyAlignment="1">
      <alignment horizontal="right"/>
    </xf>
    <xf numFmtId="4" fontId="18" fillId="7" borderId="11" xfId="8" applyNumberFormat="1" applyFont="1" applyFill="1" applyBorder="1" applyAlignment="1">
      <alignment horizontal="right"/>
    </xf>
    <xf numFmtId="166" fontId="19" fillId="7" borderId="15" xfId="7" applyFont="1" applyFill="1" applyBorder="1" applyAlignment="1">
      <alignment horizontal="left"/>
    </xf>
    <xf numFmtId="166" fontId="15" fillId="0" borderId="0" xfId="5" quotePrefix="1" applyFont="1"/>
    <xf numFmtId="166" fontId="19" fillId="0" borderId="0" xfId="7" applyFont="1" applyAlignment="1">
      <alignment horizontal="left"/>
    </xf>
    <xf numFmtId="1" fontId="19" fillId="7" borderId="4" xfId="7" applyNumberFormat="1" applyFont="1" applyFill="1" applyBorder="1" applyAlignment="1">
      <alignment horizontal="center" vertical="center"/>
    </xf>
    <xf numFmtId="1" fontId="19" fillId="7" borderId="4" xfId="7" applyNumberFormat="1" applyFont="1" applyFill="1" applyBorder="1" applyAlignment="1">
      <alignment vertical="center"/>
    </xf>
    <xf numFmtId="166" fontId="18" fillId="7" borderId="4" xfId="7" applyFont="1" applyFill="1" applyBorder="1" applyAlignment="1">
      <alignment horizontal="left"/>
    </xf>
    <xf numFmtId="165" fontId="10" fillId="0" borderId="0" xfId="8" applyNumberFormat="1" applyFont="1"/>
    <xf numFmtId="1" fontId="19" fillId="7" borderId="12" xfId="7" applyNumberFormat="1" applyFont="1" applyFill="1" applyBorder="1"/>
    <xf numFmtId="1" fontId="18" fillId="7" borderId="16" xfId="7" applyNumberFormat="1" applyFont="1" applyFill="1" applyBorder="1" applyAlignment="1">
      <alignment horizontal="left" vertical="center"/>
    </xf>
    <xf numFmtId="166" fontId="18" fillId="7" borderId="16" xfId="7" applyFont="1" applyFill="1" applyBorder="1" applyAlignment="1">
      <alignment horizontal="left" vertical="center"/>
    </xf>
    <xf numFmtId="3" fontId="22" fillId="7" borderId="16" xfId="8" applyNumberFormat="1" applyFont="1" applyFill="1" applyBorder="1" applyAlignment="1">
      <alignment horizontal="right" vertical="center"/>
    </xf>
    <xf numFmtId="4" fontId="22" fillId="7" borderId="16" xfId="8" applyNumberFormat="1" applyFont="1" applyFill="1" applyBorder="1" applyAlignment="1">
      <alignment horizontal="right" vertical="center"/>
    </xf>
    <xf numFmtId="1" fontId="18" fillId="7" borderId="0" xfId="7" applyNumberFormat="1" applyFont="1" applyFill="1" applyAlignment="1">
      <alignment horizontal="left" vertical="center"/>
    </xf>
    <xf numFmtId="166" fontId="18" fillId="7" borderId="0" xfId="7" applyFont="1" applyFill="1" applyAlignment="1">
      <alignment horizontal="left" vertical="center"/>
    </xf>
    <xf numFmtId="3" fontId="22" fillId="7" borderId="0" xfId="8" applyNumberFormat="1" applyFont="1" applyFill="1" applyBorder="1" applyAlignment="1">
      <alignment horizontal="right" vertical="center"/>
    </xf>
    <xf numFmtId="165" fontId="19" fillId="7" borderId="0" xfId="8" applyNumberFormat="1" applyFont="1" applyFill="1" applyBorder="1" applyAlignment="1">
      <alignment horizontal="right" vertical="center"/>
    </xf>
    <xf numFmtId="43" fontId="19" fillId="7" borderId="0" xfId="8" applyFont="1" applyFill="1" applyBorder="1" applyAlignment="1">
      <alignment horizontal="right" vertical="center"/>
    </xf>
    <xf numFmtId="1" fontId="17" fillId="7" borderId="0" xfId="7" applyNumberFormat="1" applyFont="1" applyFill="1" applyAlignment="1">
      <alignment horizontal="left" vertical="center"/>
    </xf>
    <xf numFmtId="166" fontId="17" fillId="7" borderId="0" xfId="7" applyFont="1" applyFill="1" applyAlignment="1">
      <alignment horizontal="left" vertical="center"/>
    </xf>
    <xf numFmtId="3" fontId="23" fillId="7" borderId="0" xfId="8" applyNumberFormat="1" applyFont="1" applyFill="1" applyBorder="1" applyAlignment="1">
      <alignment horizontal="right" vertical="center"/>
    </xf>
    <xf numFmtId="166" fontId="10" fillId="0" borderId="0" xfId="7" applyFont="1"/>
    <xf numFmtId="166" fontId="24" fillId="0" borderId="0" xfId="5" applyFont="1" applyAlignment="1">
      <alignment horizontal="left" indent="1"/>
    </xf>
    <xf numFmtId="3" fontId="15" fillId="0" borderId="0" xfId="5" applyNumberFormat="1" applyFont="1"/>
    <xf numFmtId="0" fontId="5" fillId="8" borderId="0" xfId="0" applyFont="1" applyFill="1" applyAlignment="1">
      <alignment horizontal="center" wrapText="1"/>
    </xf>
    <xf numFmtId="166" fontId="25" fillId="0" borderId="0" xfId="5" applyFont="1"/>
    <xf numFmtId="3" fontId="25" fillId="0" borderId="0" xfId="5" applyNumberFormat="1" applyFont="1"/>
    <xf numFmtId="0" fontId="25" fillId="0" borderId="10" xfId="4" applyFont="1" applyBorder="1"/>
    <xf numFmtId="0" fontId="25" fillId="0" borderId="1" xfId="4" applyFont="1" applyBorder="1"/>
    <xf numFmtId="166" fontId="26" fillId="0" borderId="0" xfId="5" applyFont="1"/>
    <xf numFmtId="4" fontId="19" fillId="5" borderId="4" xfId="8" applyNumberFormat="1" applyFont="1" applyFill="1" applyBorder="1" applyAlignment="1">
      <alignment horizontal="right"/>
    </xf>
    <xf numFmtId="3" fontId="19" fillId="5" borderId="4" xfId="8" applyNumberFormat="1" applyFont="1" applyFill="1" applyBorder="1" applyAlignment="1">
      <alignment horizontal="right"/>
    </xf>
    <xf numFmtId="3" fontId="19" fillId="0" borderId="4" xfId="8" applyNumberFormat="1" applyFont="1" applyFill="1" applyBorder="1" applyAlignment="1">
      <alignment horizontal="right"/>
    </xf>
    <xf numFmtId="3" fontId="19" fillId="5" borderId="2" xfId="7" applyNumberFormat="1" applyFont="1" applyFill="1" applyBorder="1" applyAlignment="1">
      <alignment horizontal="center" vertical="center" wrapText="1"/>
    </xf>
    <xf numFmtId="165" fontId="0" fillId="0" borderId="0" xfId="0" applyNumberFormat="1"/>
    <xf numFmtId="0" fontId="9" fillId="0" borderId="0" xfId="0" applyFont="1"/>
    <xf numFmtId="49" fontId="28" fillId="0" borderId="0" xfId="5" applyNumberFormat="1" applyFont="1" applyAlignment="1">
      <alignment horizontal="left"/>
    </xf>
    <xf numFmtId="166" fontId="0" fillId="0" borderId="0" xfId="5" applyFont="1"/>
    <xf numFmtId="0" fontId="0" fillId="0" borderId="0" xfId="0" applyAlignment="1">
      <alignment horizontal="center"/>
    </xf>
    <xf numFmtId="0" fontId="9" fillId="0" borderId="3" xfId="0" applyFont="1" applyBorder="1"/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9" fontId="0" fillId="0" borderId="6" xfId="11" applyFont="1" applyFill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165" fontId="0" fillId="0" borderId="9" xfId="10" applyNumberFormat="1" applyFont="1" applyBorder="1"/>
    <xf numFmtId="165" fontId="9" fillId="0" borderId="9" xfId="0" applyNumberFormat="1" applyFont="1" applyBorder="1"/>
    <xf numFmtId="165" fontId="0" fillId="0" borderId="6" xfId="10" applyNumberFormat="1" applyFont="1" applyBorder="1"/>
    <xf numFmtId="165" fontId="9" fillId="0" borderId="6" xfId="0" applyNumberFormat="1" applyFont="1" applyBorder="1"/>
    <xf numFmtId="0" fontId="0" fillId="0" borderId="7" xfId="0" applyBorder="1"/>
    <xf numFmtId="9" fontId="0" fillId="0" borderId="7" xfId="1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9" fillId="0" borderId="6" xfId="0" applyFont="1" applyBorder="1"/>
    <xf numFmtId="0" fontId="9" fillId="0" borderId="5" xfId="0" applyFont="1" applyBorder="1"/>
    <xf numFmtId="0" fontId="9" fillId="0" borderId="8" xfId="0" applyFont="1" applyBorder="1"/>
    <xf numFmtId="9" fontId="9" fillId="0" borderId="8" xfId="11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9" fontId="9" fillId="0" borderId="8" xfId="0" applyNumberFormat="1" applyFont="1" applyBorder="1" applyAlignment="1">
      <alignment horizontal="center"/>
    </xf>
    <xf numFmtId="165" fontId="9" fillId="0" borderId="8" xfId="0" applyNumberFormat="1" applyFont="1" applyBorder="1"/>
    <xf numFmtId="165" fontId="9" fillId="0" borderId="8" xfId="10" applyNumberFormat="1" applyFont="1" applyBorder="1"/>
    <xf numFmtId="0" fontId="27" fillId="0" borderId="0" xfId="0" applyFont="1"/>
    <xf numFmtId="0" fontId="26" fillId="0" borderId="0" xfId="0" applyFont="1" applyAlignment="1">
      <alignment wrapText="1"/>
    </xf>
    <xf numFmtId="0" fontId="27" fillId="0" borderId="0" xfId="0" applyFont="1" applyAlignment="1">
      <alignment horizontal="center"/>
    </xf>
    <xf numFmtId="166" fontId="0" fillId="5" borderId="0" xfId="5" applyFont="1" applyFill="1"/>
    <xf numFmtId="0" fontId="29" fillId="0" borderId="0" xfId="12" applyFont="1"/>
    <xf numFmtId="0" fontId="2" fillId="0" borderId="0" xfId="12"/>
    <xf numFmtId="166" fontId="30" fillId="0" borderId="0" xfId="5" applyFont="1" applyAlignment="1">
      <alignment vertical="center"/>
    </xf>
    <xf numFmtId="166" fontId="31" fillId="0" borderId="1" xfId="5" applyFont="1" applyBorder="1" applyAlignment="1">
      <alignment horizontal="center" vertical="center"/>
    </xf>
    <xf numFmtId="166" fontId="29" fillId="0" borderId="1" xfId="5" applyFont="1" applyBorder="1" applyAlignment="1">
      <alignment horizontal="center" vertical="center"/>
    </xf>
    <xf numFmtId="165" fontId="31" fillId="0" borderId="1" xfId="8" applyNumberFormat="1" applyFont="1" applyFill="1" applyBorder="1" applyAlignment="1">
      <alignment horizontal="center" vertical="center"/>
    </xf>
    <xf numFmtId="165" fontId="31" fillId="0" borderId="0" xfId="8" applyNumberFormat="1" applyFont="1" applyFill="1" applyBorder="1" applyAlignment="1">
      <alignment horizontal="center" vertical="center"/>
    </xf>
    <xf numFmtId="166" fontId="32" fillId="0" borderId="0" xfId="5" applyFont="1" applyAlignment="1">
      <alignment vertical="center"/>
    </xf>
    <xf numFmtId="166" fontId="30" fillId="0" borderId="0" xfId="5" applyFont="1"/>
    <xf numFmtId="170" fontId="30" fillId="0" borderId="0" xfId="5" applyNumberFormat="1" applyFont="1" applyAlignment="1">
      <alignment horizontal="left"/>
    </xf>
    <xf numFmtId="166" fontId="30" fillId="0" borderId="0" xfId="5" applyFont="1" applyAlignment="1">
      <alignment horizontal="left"/>
    </xf>
    <xf numFmtId="164" fontId="30" fillId="0" borderId="0" xfId="5" applyNumberFormat="1" applyFont="1" applyAlignment="1">
      <alignment horizontal="right"/>
    </xf>
    <xf numFmtId="165" fontId="30" fillId="0" borderId="0" xfId="8" applyNumberFormat="1" applyFont="1" applyFill="1" applyAlignment="1"/>
    <xf numFmtId="166" fontId="30" fillId="5" borderId="0" xfId="5" applyFont="1" applyFill="1"/>
    <xf numFmtId="170" fontId="30" fillId="5" borderId="0" xfId="5" applyNumberFormat="1" applyFont="1" applyFill="1" applyAlignment="1">
      <alignment horizontal="left"/>
    </xf>
    <xf numFmtId="166" fontId="30" fillId="5" borderId="0" xfId="5" applyFont="1" applyFill="1" applyAlignment="1">
      <alignment horizontal="left"/>
    </xf>
    <xf numFmtId="164" fontId="30" fillId="5" borderId="0" xfId="5" applyNumberFormat="1" applyFont="1" applyFill="1" applyAlignment="1">
      <alignment horizontal="right"/>
    </xf>
    <xf numFmtId="165" fontId="30" fillId="5" borderId="0" xfId="8" applyNumberFormat="1" applyFont="1" applyFill="1" applyAlignment="1"/>
    <xf numFmtId="165" fontId="30" fillId="0" borderId="0" xfId="8" applyNumberFormat="1" applyFont="1" applyFill="1" applyAlignment="1">
      <alignment horizontal="right"/>
    </xf>
    <xf numFmtId="165" fontId="29" fillId="0" borderId="0" xfId="8" applyNumberFormat="1" applyFont="1" applyFill="1" applyAlignment="1"/>
    <xf numFmtId="165" fontId="29" fillId="5" borderId="0" xfId="8" applyNumberFormat="1" applyFont="1" applyFill="1" applyAlignment="1"/>
    <xf numFmtId="0" fontId="2" fillId="5" borderId="0" xfId="12" applyFill="1"/>
    <xf numFmtId="165" fontId="30" fillId="0" borderId="0" xfId="13" applyNumberFormat="1" applyFont="1" applyFill="1" applyAlignment="1">
      <alignment horizontal="right"/>
    </xf>
    <xf numFmtId="165" fontId="30" fillId="0" borderId="0" xfId="13" applyNumberFormat="1" applyFont="1" applyFill="1" applyAlignment="1"/>
    <xf numFmtId="165" fontId="29" fillId="0" borderId="0" xfId="13" applyNumberFormat="1" applyFont="1" applyFill="1" applyAlignment="1"/>
    <xf numFmtId="165" fontId="30" fillId="5" borderId="0" xfId="13" applyNumberFormat="1" applyFont="1" applyFill="1" applyAlignment="1">
      <alignment horizontal="right"/>
    </xf>
    <xf numFmtId="165" fontId="30" fillId="5" borderId="0" xfId="13" applyNumberFormat="1" applyFont="1" applyFill="1" applyAlignment="1"/>
    <xf numFmtId="165" fontId="29" fillId="5" borderId="0" xfId="13" applyNumberFormat="1" applyFont="1" applyFill="1" applyAlignment="1"/>
    <xf numFmtId="49" fontId="28" fillId="0" borderId="18" xfId="5" applyNumberFormat="1" applyFont="1" applyBorder="1" applyAlignment="1">
      <alignment horizontal="left"/>
    </xf>
    <xf numFmtId="49" fontId="28" fillId="0" borderId="19" xfId="5" applyNumberFormat="1" applyFont="1" applyBorder="1" applyAlignment="1">
      <alignment horizontal="left"/>
    </xf>
    <xf numFmtId="49" fontId="28" fillId="0" borderId="20" xfId="5" applyNumberFormat="1" applyFont="1" applyBorder="1" applyAlignment="1">
      <alignment horizontal="left"/>
    </xf>
    <xf numFmtId="0" fontId="28" fillId="0" borderId="21" xfId="5" applyNumberFormat="1" applyFont="1" applyBorder="1" applyAlignment="1">
      <alignment horizontal="left"/>
    </xf>
    <xf numFmtId="166" fontId="11" fillId="0" borderId="22" xfId="5" applyBorder="1"/>
    <xf numFmtId="166" fontId="19" fillId="0" borderId="21" xfId="7" applyFont="1" applyBorder="1" applyAlignment="1">
      <alignment horizontal="left"/>
    </xf>
    <xf numFmtId="0" fontId="0" fillId="5" borderId="22" xfId="5" applyNumberFormat="1" applyFont="1" applyFill="1" applyBorder="1"/>
    <xf numFmtId="0" fontId="11" fillId="5" borderId="22" xfId="5" applyNumberFormat="1" applyFill="1" applyBorder="1" applyAlignment="1">
      <alignment horizontal="left"/>
    </xf>
    <xf numFmtId="166" fontId="19" fillId="7" borderId="23" xfId="7" applyFont="1" applyFill="1" applyBorder="1" applyAlignment="1">
      <alignment horizontal="left"/>
    </xf>
    <xf numFmtId="166" fontId="11" fillId="0" borderId="24" xfId="5" applyBorder="1" applyAlignment="1">
      <alignment horizontal="left"/>
    </xf>
    <xf numFmtId="166" fontId="11" fillId="0" borderId="24" xfId="5" applyBorder="1"/>
    <xf numFmtId="164" fontId="11" fillId="0" borderId="24" xfId="5" applyNumberFormat="1" applyBorder="1" applyAlignment="1">
      <alignment horizontal="right" wrapText="1"/>
    </xf>
    <xf numFmtId="166" fontId="19" fillId="5" borderId="25" xfId="7" applyFont="1" applyFill="1" applyBorder="1" applyAlignment="1">
      <alignment horizontal="left"/>
    </xf>
    <xf numFmtId="166" fontId="16" fillId="0" borderId="0" xfId="5" applyFont="1" applyAlignment="1">
      <alignment horizontal="center"/>
    </xf>
    <xf numFmtId="166" fontId="19" fillId="7" borderId="11" xfId="7" applyFont="1" applyFill="1" applyBorder="1" applyAlignment="1">
      <alignment horizontal="center" vertical="center"/>
    </xf>
    <xf numFmtId="166" fontId="19" fillId="7" borderId="12" xfId="7" applyFont="1" applyFill="1" applyBorder="1" applyAlignment="1">
      <alignment horizontal="center" vertical="center"/>
    </xf>
    <xf numFmtId="166" fontId="18" fillId="8" borderId="2" xfId="7" applyFont="1" applyFill="1" applyBorder="1" applyAlignment="1">
      <alignment horizontal="center" wrapText="1"/>
    </xf>
    <xf numFmtId="3" fontId="18" fillId="8" borderId="2" xfId="7" applyNumberFormat="1" applyFont="1" applyFill="1" applyBorder="1" applyAlignment="1">
      <alignment horizontal="center" wrapText="1"/>
    </xf>
    <xf numFmtId="1" fontId="19" fillId="7" borderId="11" xfId="7" applyNumberFormat="1" applyFont="1" applyFill="1" applyBorder="1" applyAlignment="1">
      <alignment horizontal="center" vertical="center" wrapText="1"/>
    </xf>
    <xf numFmtId="1" fontId="19" fillId="7" borderId="12" xfId="7" applyNumberFormat="1" applyFont="1" applyFill="1" applyBorder="1" applyAlignment="1">
      <alignment horizontal="center" vertical="center" wrapText="1"/>
    </xf>
    <xf numFmtId="0" fontId="29" fillId="2" borderId="0" xfId="12" applyFont="1" applyFill="1" applyAlignment="1">
      <alignment horizontal="center"/>
    </xf>
    <xf numFmtId="0" fontId="29" fillId="9" borderId="0" xfId="12" applyFont="1" applyFill="1" applyAlignment="1">
      <alignment horizontal="center"/>
    </xf>
  </cellXfs>
  <cellStyles count="14">
    <cellStyle name="Comma" xfId="10" builtinId="3"/>
    <cellStyle name="Comma 2" xfId="2" xr:uid="{1E245C0F-E216-4B32-B252-B24EC11D53BE}"/>
    <cellStyle name="Comma 3" xfId="3" xr:uid="{BAB5616B-112E-4DED-95A8-B5C3C1A76522}"/>
    <cellStyle name="Comma 3 2" xfId="8" xr:uid="{7EAEFE9A-61F3-45BD-8546-2A2B0042B08D}"/>
    <cellStyle name="Comma 4" xfId="13" xr:uid="{07AFB438-DEAE-4A2D-A8D5-5A0DC5FE1F3F}"/>
    <cellStyle name="Normal" xfId="0" builtinId="0"/>
    <cellStyle name="Normal 2" xfId="1" xr:uid="{39501548-2CD0-4B8D-AD27-162DF3B21126}"/>
    <cellStyle name="Normal 3" xfId="4" xr:uid="{141D004A-630E-4DF3-A4A1-D49FDAE3B149}"/>
    <cellStyle name="Normal 4" xfId="5" xr:uid="{6A41D720-2A23-4719-8F85-478571F89648}"/>
    <cellStyle name="Normal 5" xfId="9" xr:uid="{7D54674A-3630-4782-B4B6-2D14E833CD13}"/>
    <cellStyle name="Normal 5 2" xfId="7" xr:uid="{12D8973B-E259-4525-B607-3766A641C6DB}"/>
    <cellStyle name="Normal 6" xfId="12" xr:uid="{536D8220-179F-4DC0-BCF3-E51A2326DE99}"/>
    <cellStyle name="Percent" xfId="11" builtinId="5"/>
    <cellStyle name="Percent 2" xfId="6" xr:uid="{F32C6FB2-E358-4BE7-91AE-64A6BF60B9AB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yle/projects/onesky_financial_agent/instruction_data/raw_data/Output.xlsx" TargetMode="External"/><Relationship Id="rId1" Type="http://schemas.openxmlformats.org/officeDocument/2006/relationships/externalLinkPath" Target="Outpu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yle/projects/onesky_financial_agent/instruction_data/raw_data/Transactions.xlsx" TargetMode="External"/><Relationship Id="rId1" Type="http://schemas.openxmlformats.org/officeDocument/2006/relationships/externalLinkPath" Target="Transac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utput (Oct)"/>
    </sheetNames>
    <sheetDataSet>
      <sheetData sheetId="0">
        <row r="21">
          <cell r="G21">
            <v>3100680000</v>
          </cell>
          <cell r="J21">
            <v>904900</v>
          </cell>
          <cell r="M21">
            <v>0</v>
          </cell>
          <cell r="Q21">
            <v>26516539482</v>
          </cell>
        </row>
        <row r="22">
          <cell r="G22">
            <v>23638785000</v>
          </cell>
          <cell r="J22">
            <v>-914500</v>
          </cell>
          <cell r="M22">
            <v>0</v>
          </cell>
          <cell r="Q22">
            <v>0</v>
          </cell>
        </row>
        <row r="23">
          <cell r="G23">
            <v>1505066</v>
          </cell>
          <cell r="J23">
            <v>0</v>
          </cell>
          <cell r="M23">
            <v>36756</v>
          </cell>
          <cell r="Q23">
            <v>1541822</v>
          </cell>
        </row>
        <row r="24">
          <cell r="G24">
            <v>0</v>
          </cell>
          <cell r="J24">
            <v>0</v>
          </cell>
          <cell r="M24">
            <v>0</v>
          </cell>
          <cell r="Q24">
            <v>0</v>
          </cell>
        </row>
        <row r="26">
          <cell r="G26">
            <v>-8592221548</v>
          </cell>
          <cell r="J26">
            <v>0</v>
          </cell>
          <cell r="M26">
            <v>0</v>
          </cell>
          <cell r="Q26">
            <v>-8592221548</v>
          </cell>
        </row>
        <row r="29">
          <cell r="G29">
            <v>13363789703</v>
          </cell>
          <cell r="J29">
            <v>0</v>
          </cell>
          <cell r="M29">
            <v>0</v>
          </cell>
          <cell r="Q29">
            <v>21080045087</v>
          </cell>
        </row>
        <row r="30">
          <cell r="G30">
            <v>2476346325</v>
          </cell>
          <cell r="J30">
            <v>0</v>
          </cell>
          <cell r="M30">
            <v>0</v>
          </cell>
          <cell r="Q30">
            <v>2806818382</v>
          </cell>
        </row>
        <row r="31">
          <cell r="G31">
            <v>739478536</v>
          </cell>
          <cell r="J31">
            <v>16.5</v>
          </cell>
          <cell r="M31">
            <v>0</v>
          </cell>
          <cell r="Q31">
            <v>1124628106</v>
          </cell>
        </row>
        <row r="32">
          <cell r="G32">
            <v>0</v>
          </cell>
          <cell r="J32">
            <v>0</v>
          </cell>
          <cell r="M32">
            <v>0</v>
          </cell>
          <cell r="Q32">
            <v>188746159</v>
          </cell>
        </row>
        <row r="33">
          <cell r="G33">
            <v>0</v>
          </cell>
          <cell r="J33">
            <v>0</v>
          </cell>
          <cell r="M33">
            <v>0</v>
          </cell>
          <cell r="Q33">
            <v>64982750</v>
          </cell>
        </row>
        <row r="36">
          <cell r="G36">
            <v>194444</v>
          </cell>
          <cell r="M36">
            <v>0</v>
          </cell>
          <cell r="Q36">
            <v>8682821997</v>
          </cell>
        </row>
        <row r="37">
          <cell r="G37">
            <v>1727597029.1999996</v>
          </cell>
          <cell r="J37">
            <v>6.6</v>
          </cell>
          <cell r="M37">
            <v>0</v>
          </cell>
          <cell r="Q37">
            <v>1727765907.1999996</v>
          </cell>
        </row>
        <row r="38">
          <cell r="G38">
            <v>122720188</v>
          </cell>
          <cell r="J38">
            <v>0</v>
          </cell>
          <cell r="M38">
            <v>0</v>
          </cell>
          <cell r="Q38">
            <v>122720188</v>
          </cell>
        </row>
        <row r="39">
          <cell r="G39">
            <v>2793259747.4499998</v>
          </cell>
          <cell r="J39">
            <v>0</v>
          </cell>
          <cell r="M39">
            <v>0</v>
          </cell>
          <cell r="Q39">
            <v>2793259747.4499998</v>
          </cell>
        </row>
        <row r="40">
          <cell r="G40">
            <v>2494381784.4499998</v>
          </cell>
          <cell r="J40">
            <v>0</v>
          </cell>
          <cell r="M40">
            <v>0</v>
          </cell>
          <cell r="Q40">
            <v>2494381784.4499998</v>
          </cell>
        </row>
        <row r="41">
          <cell r="G41">
            <v>1763567145.4499989</v>
          </cell>
          <cell r="J41">
            <v>0</v>
          </cell>
          <cell r="M41">
            <v>0</v>
          </cell>
          <cell r="Q41">
            <v>1763567145.4499989</v>
          </cell>
        </row>
        <row r="42">
          <cell r="G42">
            <v>683087</v>
          </cell>
          <cell r="J42">
            <v>0</v>
          </cell>
          <cell r="M42">
            <v>0</v>
          </cell>
          <cell r="Q42">
            <v>683087</v>
          </cell>
        </row>
        <row r="43">
          <cell r="G43">
            <v>5921925405.4500008</v>
          </cell>
          <cell r="J43">
            <v>0</v>
          </cell>
          <cell r="M43">
            <v>0</v>
          </cell>
          <cell r="Q43">
            <v>5921925405.4500008</v>
          </cell>
        </row>
        <row r="44">
          <cell r="J44">
            <v>0</v>
          </cell>
        </row>
        <row r="45">
          <cell r="G45">
            <v>475745</v>
          </cell>
          <cell r="J45">
            <v>0</v>
          </cell>
          <cell r="M45">
            <v>0</v>
          </cell>
          <cell r="Q45">
            <v>475745</v>
          </cell>
        </row>
        <row r="46">
          <cell r="G46">
            <v>231176455</v>
          </cell>
          <cell r="J46">
            <v>0</v>
          </cell>
          <cell r="M46">
            <v>0</v>
          </cell>
          <cell r="Q46">
            <v>231176455</v>
          </cell>
        </row>
        <row r="47">
          <cell r="G47">
            <v>259287775</v>
          </cell>
          <cell r="J47">
            <v>0</v>
          </cell>
          <cell r="M47">
            <v>0</v>
          </cell>
          <cell r="Q47">
            <v>259287775</v>
          </cell>
        </row>
        <row r="48">
          <cell r="G48">
            <v>189027044</v>
          </cell>
          <cell r="J48">
            <v>0</v>
          </cell>
          <cell r="M48">
            <v>0</v>
          </cell>
          <cell r="Q48">
            <v>189027044</v>
          </cell>
        </row>
        <row r="49">
          <cell r="G49">
            <v>1075318714</v>
          </cell>
          <cell r="J49">
            <v>2509.8999999999996</v>
          </cell>
          <cell r="M49">
            <v>0</v>
          </cell>
          <cell r="Q49">
            <v>1078128203</v>
          </cell>
        </row>
        <row r="50">
          <cell r="G50">
            <v>0</v>
          </cell>
          <cell r="J50">
            <v>0</v>
          </cell>
          <cell r="M50">
            <v>0</v>
          </cell>
          <cell r="Q50">
            <v>0</v>
          </cell>
        </row>
        <row r="53">
          <cell r="G53">
            <v>1691885032</v>
          </cell>
          <cell r="J53">
            <v>2500</v>
          </cell>
          <cell r="M53">
            <v>0</v>
          </cell>
          <cell r="Q53">
            <v>1757012532</v>
          </cell>
        </row>
        <row r="54">
          <cell r="G54">
            <v>-773744596</v>
          </cell>
          <cell r="J54">
            <v>0</v>
          </cell>
          <cell r="M54">
            <v>0</v>
          </cell>
          <cell r="Q54">
            <v>-776295296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(1a)Transactions"/>
    </sheetNames>
    <sheetDataSet>
      <sheetData sheetId="0">
        <row r="6">
          <cell r="I6" t="str">
            <v>Amount (VND)</v>
          </cell>
        </row>
        <row r="9">
          <cell r="I9">
            <v>2635736400</v>
          </cell>
        </row>
        <row r="10">
          <cell r="I10">
            <v>2635736400</v>
          </cell>
          <cell r="L10">
            <v>2635736400</v>
          </cell>
          <cell r="P10">
            <v>0</v>
          </cell>
          <cell r="Q10" t="str">
            <v>2102VN</v>
          </cell>
          <cell r="R10" t="e">
            <v>#VALUE!</v>
          </cell>
          <cell r="S10" t="str">
            <v/>
          </cell>
        </row>
        <row r="11">
          <cell r="L11">
            <v>0</v>
          </cell>
          <cell r="P11">
            <v>0</v>
          </cell>
          <cell r="Q11" t="str">
            <v/>
          </cell>
        </row>
        <row r="12">
          <cell r="I12">
            <v>-2630900000</v>
          </cell>
        </row>
        <row r="13">
          <cell r="I13">
            <v>2630900000</v>
          </cell>
        </row>
        <row r="14">
          <cell r="L14">
            <v>0</v>
          </cell>
          <cell r="P14">
            <v>0</v>
          </cell>
          <cell r="Q14" t="str">
            <v/>
          </cell>
          <cell r="R14" t="str">
            <v>0</v>
          </cell>
          <cell r="S14" t="str">
            <v/>
          </cell>
        </row>
        <row r="15">
          <cell r="I15">
            <v>-28963</v>
          </cell>
        </row>
        <row r="16">
          <cell r="I16">
            <v>28963</v>
          </cell>
          <cell r="L16">
            <v>28963</v>
          </cell>
          <cell r="P16">
            <v>0</v>
          </cell>
          <cell r="Q16" t="str">
            <v>73209VN</v>
          </cell>
          <cell r="R16" t="str">
            <v>VNOther</v>
          </cell>
          <cell r="S16" t="str">
            <v xml:space="preserve">Program Operation </v>
          </cell>
        </row>
        <row r="17">
          <cell r="L17">
            <v>0</v>
          </cell>
          <cell r="P17">
            <v>0</v>
          </cell>
          <cell r="Q17" t="str">
            <v/>
          </cell>
          <cell r="R17" t="str">
            <v>0</v>
          </cell>
          <cell r="S17" t="str">
            <v/>
          </cell>
        </row>
        <row r="18">
          <cell r="L18">
            <v>0</v>
          </cell>
          <cell r="P18">
            <v>0</v>
          </cell>
          <cell r="Q18" t="str">
            <v/>
          </cell>
          <cell r="R18" t="str">
            <v>0</v>
          </cell>
          <cell r="S18" t="str">
            <v/>
          </cell>
        </row>
        <row r="19">
          <cell r="L19">
            <v>0</v>
          </cell>
          <cell r="P19">
            <v>0</v>
          </cell>
          <cell r="Q19" t="str">
            <v/>
          </cell>
          <cell r="R19" t="str">
            <v>0</v>
          </cell>
          <cell r="S19" t="str">
            <v/>
          </cell>
        </row>
        <row r="20">
          <cell r="I20">
            <v>-21150000</v>
          </cell>
        </row>
        <row r="21">
          <cell r="I21">
            <v>21150000</v>
          </cell>
          <cell r="L21">
            <v>21150000</v>
          </cell>
          <cell r="P21">
            <v>0</v>
          </cell>
          <cell r="Q21" t="str">
            <v>1250VN</v>
          </cell>
          <cell r="R21" t="str">
            <v>VNQN</v>
          </cell>
          <cell r="S21" t="str">
            <v>Advance by cash</v>
          </cell>
        </row>
        <row r="22">
          <cell r="L22">
            <v>0</v>
          </cell>
          <cell r="P22">
            <v>0</v>
          </cell>
          <cell r="Q22" t="str">
            <v/>
          </cell>
          <cell r="R22" t="str">
            <v>0</v>
          </cell>
          <cell r="S22" t="str">
            <v/>
          </cell>
        </row>
        <row r="23">
          <cell r="I23">
            <v>-11000</v>
          </cell>
        </row>
        <row r="24">
          <cell r="I24">
            <v>11000</v>
          </cell>
          <cell r="L24">
            <v>11000</v>
          </cell>
          <cell r="P24">
            <v>0</v>
          </cell>
          <cell r="Q24" t="str">
            <v>73209VN</v>
          </cell>
          <cell r="R24" t="str">
            <v>VNQN</v>
          </cell>
          <cell r="S24" t="str">
            <v xml:space="preserve">Program Operation </v>
          </cell>
        </row>
        <row r="25">
          <cell r="L25">
            <v>0</v>
          </cell>
          <cell r="P25">
            <v>0</v>
          </cell>
          <cell r="Q25" t="str">
            <v/>
          </cell>
          <cell r="R25" t="str">
            <v>0</v>
          </cell>
          <cell r="S25" t="str">
            <v/>
          </cell>
        </row>
        <row r="26">
          <cell r="I26">
            <v>-20495000</v>
          </cell>
        </row>
        <row r="27">
          <cell r="I27">
            <v>20495000</v>
          </cell>
          <cell r="L27">
            <v>20495000</v>
          </cell>
          <cell r="P27">
            <v>0</v>
          </cell>
          <cell r="Q27" t="str">
            <v>1250VN</v>
          </cell>
          <cell r="R27" t="str">
            <v>VNQN</v>
          </cell>
          <cell r="S27" t="str">
            <v>Advance by cash</v>
          </cell>
        </row>
        <row r="28">
          <cell r="L28">
            <v>0</v>
          </cell>
          <cell r="P28">
            <v>0</v>
          </cell>
          <cell r="Q28" t="str">
            <v/>
          </cell>
          <cell r="R28" t="str">
            <v>0</v>
          </cell>
          <cell r="S28" t="str">
            <v/>
          </cell>
        </row>
        <row r="29">
          <cell r="I29">
            <v>-22000</v>
          </cell>
        </row>
        <row r="30">
          <cell r="I30">
            <v>22000</v>
          </cell>
          <cell r="L30">
            <v>22000</v>
          </cell>
          <cell r="P30">
            <v>0</v>
          </cell>
          <cell r="Q30" t="str">
            <v>73209VN</v>
          </cell>
          <cell r="R30" t="str">
            <v>VNQN</v>
          </cell>
          <cell r="S30" t="str">
            <v xml:space="preserve">Program Operation </v>
          </cell>
        </row>
        <row r="31">
          <cell r="L31">
            <v>0</v>
          </cell>
          <cell r="P31">
            <v>0</v>
          </cell>
          <cell r="Q31" t="str">
            <v/>
          </cell>
          <cell r="R31" t="str">
            <v>0</v>
          </cell>
          <cell r="S31" t="str">
            <v/>
          </cell>
        </row>
        <row r="32">
          <cell r="I32">
            <v>-37340000</v>
          </cell>
        </row>
        <row r="33">
          <cell r="I33">
            <v>37340000</v>
          </cell>
          <cell r="L33">
            <v>37340000</v>
          </cell>
          <cell r="P33">
            <v>0</v>
          </cell>
          <cell r="Q33" t="str">
            <v>1250VN</v>
          </cell>
          <cell r="R33" t="str">
            <v>VNQN</v>
          </cell>
          <cell r="S33" t="str">
            <v>Advance by cash</v>
          </cell>
        </row>
        <row r="34">
          <cell r="L34">
            <v>0</v>
          </cell>
          <cell r="P34">
            <v>0</v>
          </cell>
          <cell r="Q34" t="str">
            <v/>
          </cell>
          <cell r="R34" t="str">
            <v>0</v>
          </cell>
          <cell r="S34" t="str">
            <v/>
          </cell>
        </row>
        <row r="35">
          <cell r="I35">
            <v>-22000</v>
          </cell>
        </row>
        <row r="36">
          <cell r="I36">
            <v>22000</v>
          </cell>
          <cell r="L36">
            <v>22000</v>
          </cell>
          <cell r="P36">
            <v>0</v>
          </cell>
          <cell r="Q36" t="str">
            <v>73209VN</v>
          </cell>
          <cell r="R36" t="str">
            <v>VNQN</v>
          </cell>
          <cell r="S36" t="str">
            <v xml:space="preserve">Program Operation </v>
          </cell>
        </row>
        <row r="37">
          <cell r="L37">
            <v>0</v>
          </cell>
          <cell r="P37">
            <v>0</v>
          </cell>
          <cell r="Q37" t="str">
            <v/>
          </cell>
          <cell r="R37" t="str">
            <v>0</v>
          </cell>
          <cell r="S37" t="str">
            <v/>
          </cell>
        </row>
        <row r="38">
          <cell r="I38">
            <v>-25000000</v>
          </cell>
        </row>
        <row r="39">
          <cell r="I39">
            <v>25000000</v>
          </cell>
          <cell r="L39">
            <v>25000000</v>
          </cell>
          <cell r="P39">
            <v>0</v>
          </cell>
          <cell r="Q39" t="str">
            <v>1250VN</v>
          </cell>
          <cell r="R39" t="str">
            <v>VNQN</v>
          </cell>
          <cell r="S39" t="str">
            <v>Advance by cash</v>
          </cell>
        </row>
        <row r="40">
          <cell r="L40">
            <v>0</v>
          </cell>
          <cell r="P40">
            <v>0</v>
          </cell>
          <cell r="Q40" t="str">
            <v/>
          </cell>
          <cell r="R40" t="str">
            <v>0</v>
          </cell>
          <cell r="S40" t="str">
            <v/>
          </cell>
        </row>
        <row r="41">
          <cell r="I41">
            <v>-22000</v>
          </cell>
        </row>
        <row r="42">
          <cell r="I42">
            <v>22000</v>
          </cell>
          <cell r="L42">
            <v>22000</v>
          </cell>
          <cell r="P42">
            <v>0</v>
          </cell>
          <cell r="Q42" t="str">
            <v>73209VN</v>
          </cell>
          <cell r="R42" t="str">
            <v>VNQN</v>
          </cell>
          <cell r="S42" t="str">
            <v xml:space="preserve">Program Operation </v>
          </cell>
        </row>
        <row r="43">
          <cell r="L43">
            <v>0</v>
          </cell>
          <cell r="P43">
            <v>0</v>
          </cell>
          <cell r="Q43" t="str">
            <v/>
          </cell>
          <cell r="R43" t="str">
            <v>0</v>
          </cell>
          <cell r="S43" t="str">
            <v/>
          </cell>
        </row>
        <row r="44">
          <cell r="I44">
            <v>-201273</v>
          </cell>
        </row>
        <row r="45">
          <cell r="I45">
            <v>201273</v>
          </cell>
          <cell r="L45">
            <v>201273</v>
          </cell>
          <cell r="P45">
            <v>0</v>
          </cell>
          <cell r="Q45" t="str">
            <v>73205VN</v>
          </cell>
          <cell r="R45" t="str">
            <v>VNOther</v>
          </cell>
          <cell r="S45" t="str">
            <v xml:space="preserve">Program Operation </v>
          </cell>
        </row>
        <row r="46">
          <cell r="L46">
            <v>0</v>
          </cell>
          <cell r="P46">
            <v>0</v>
          </cell>
          <cell r="Q46" t="str">
            <v/>
          </cell>
          <cell r="R46" t="str">
            <v>0</v>
          </cell>
          <cell r="S46" t="str">
            <v/>
          </cell>
        </row>
        <row r="47">
          <cell r="I47">
            <v>-22000</v>
          </cell>
        </row>
        <row r="48">
          <cell r="I48">
            <v>22000</v>
          </cell>
          <cell r="L48">
            <v>22000</v>
          </cell>
          <cell r="P48">
            <v>0</v>
          </cell>
          <cell r="Q48" t="str">
            <v>73209VN</v>
          </cell>
          <cell r="R48" t="str">
            <v>VNOther</v>
          </cell>
          <cell r="S48" t="str">
            <v xml:space="preserve">Program Operation </v>
          </cell>
        </row>
        <row r="49">
          <cell r="L49">
            <v>0</v>
          </cell>
          <cell r="P49">
            <v>0</v>
          </cell>
          <cell r="Q49" t="str">
            <v/>
          </cell>
          <cell r="R49" t="str">
            <v>0</v>
          </cell>
          <cell r="S49" t="str">
            <v/>
          </cell>
        </row>
        <row r="50">
          <cell r="I50">
            <v>-4935000</v>
          </cell>
        </row>
        <row r="51">
          <cell r="I51">
            <v>4935000</v>
          </cell>
          <cell r="L51">
            <v>4935000</v>
          </cell>
          <cell r="P51">
            <v>0</v>
          </cell>
          <cell r="Q51" t="str">
            <v>73205VN</v>
          </cell>
          <cell r="R51" t="str">
            <v>VNOther</v>
          </cell>
          <cell r="S51" t="str">
            <v xml:space="preserve">Program Operation </v>
          </cell>
        </row>
        <row r="52">
          <cell r="L52">
            <v>0</v>
          </cell>
          <cell r="P52">
            <v>0</v>
          </cell>
          <cell r="Q52" t="str">
            <v/>
          </cell>
          <cell r="R52" t="str">
            <v>0</v>
          </cell>
          <cell r="S52" t="str">
            <v/>
          </cell>
        </row>
        <row r="53">
          <cell r="I53">
            <v>-22000</v>
          </cell>
        </row>
        <row r="54">
          <cell r="I54">
            <v>22000</v>
          </cell>
          <cell r="L54">
            <v>22000</v>
          </cell>
          <cell r="P54">
            <v>0</v>
          </cell>
          <cell r="Q54" t="str">
            <v>73209VN</v>
          </cell>
          <cell r="R54" t="str">
            <v>VNOther</v>
          </cell>
          <cell r="S54" t="str">
            <v xml:space="preserve">Program Operation </v>
          </cell>
        </row>
        <row r="55">
          <cell r="L55">
            <v>0</v>
          </cell>
          <cell r="P55">
            <v>0</v>
          </cell>
          <cell r="Q55" t="str">
            <v/>
          </cell>
          <cell r="R55" t="str">
            <v>0</v>
          </cell>
          <cell r="S55" t="str">
            <v/>
          </cell>
        </row>
        <row r="56">
          <cell r="I56">
            <v>-11000</v>
          </cell>
        </row>
        <row r="57">
          <cell r="I57">
            <v>11000</v>
          </cell>
          <cell r="L57">
            <v>11000</v>
          </cell>
          <cell r="P57">
            <v>0</v>
          </cell>
          <cell r="Q57" t="str">
            <v>73209VN</v>
          </cell>
          <cell r="R57" t="str">
            <v>VNMOET</v>
          </cell>
          <cell r="S57" t="str">
            <v xml:space="preserve">Program Operation </v>
          </cell>
        </row>
        <row r="58">
          <cell r="L58">
            <v>0</v>
          </cell>
          <cell r="P58">
            <v>0</v>
          </cell>
          <cell r="Q58" t="str">
            <v/>
          </cell>
          <cell r="R58" t="str">
            <v>0</v>
          </cell>
          <cell r="S58" t="str">
            <v/>
          </cell>
        </row>
        <row r="59">
          <cell r="I59">
            <v>-33993540</v>
          </cell>
        </row>
        <row r="60">
          <cell r="I60">
            <v>33993540</v>
          </cell>
          <cell r="L60">
            <v>33993540</v>
          </cell>
          <cell r="P60">
            <v>0</v>
          </cell>
          <cell r="Q60" t="str">
            <v>1252VN</v>
          </cell>
          <cell r="R60" t="str">
            <v>VNMOET</v>
          </cell>
          <cell r="S60" t="str">
            <v>Education quality improvement</v>
          </cell>
        </row>
        <row r="61">
          <cell r="L61">
            <v>0</v>
          </cell>
          <cell r="P61">
            <v>0</v>
          </cell>
          <cell r="Q61" t="str">
            <v/>
          </cell>
          <cell r="R61" t="str">
            <v>0</v>
          </cell>
          <cell r="S61" t="str">
            <v/>
          </cell>
        </row>
        <row r="62">
          <cell r="I62">
            <v>-168825600</v>
          </cell>
        </row>
        <row r="63">
          <cell r="I63">
            <v>168825600</v>
          </cell>
          <cell r="L63">
            <v>168825600</v>
          </cell>
          <cell r="P63">
            <v>0</v>
          </cell>
          <cell r="Q63" t="str">
            <v>1252VN</v>
          </cell>
          <cell r="R63" t="str">
            <v>VNMOET</v>
          </cell>
          <cell r="S63" t="str">
            <v>Education quality improvement</v>
          </cell>
        </row>
        <row r="64">
          <cell r="L64">
            <v>0</v>
          </cell>
          <cell r="P64">
            <v>0</v>
          </cell>
          <cell r="Q64" t="str">
            <v/>
          </cell>
          <cell r="R64" t="str">
            <v>0</v>
          </cell>
          <cell r="S64" t="str">
            <v/>
          </cell>
        </row>
        <row r="65">
          <cell r="I65">
            <v>-55713</v>
          </cell>
        </row>
        <row r="66">
          <cell r="I66">
            <v>55713</v>
          </cell>
          <cell r="L66">
            <v>55713</v>
          </cell>
          <cell r="P66">
            <v>0</v>
          </cell>
          <cell r="Q66" t="str">
            <v>73209VN</v>
          </cell>
          <cell r="R66" t="str">
            <v>VNMOET</v>
          </cell>
          <cell r="S66" t="str">
            <v xml:space="preserve">Program Operation </v>
          </cell>
        </row>
        <row r="67">
          <cell r="L67">
            <v>0</v>
          </cell>
          <cell r="P67">
            <v>0</v>
          </cell>
          <cell r="Q67" t="str">
            <v/>
          </cell>
          <cell r="R67" t="str">
            <v>0</v>
          </cell>
          <cell r="S67" t="str">
            <v/>
          </cell>
        </row>
        <row r="68">
          <cell r="I68">
            <v>-1209600</v>
          </cell>
        </row>
        <row r="69">
          <cell r="I69">
            <v>1209600</v>
          </cell>
          <cell r="L69">
            <v>1209600</v>
          </cell>
          <cell r="P69">
            <v>0</v>
          </cell>
          <cell r="Q69" t="str">
            <v>73205VN</v>
          </cell>
          <cell r="R69" t="str">
            <v>VNOther</v>
          </cell>
          <cell r="S69" t="str">
            <v xml:space="preserve">Program Operation </v>
          </cell>
        </row>
        <row r="70">
          <cell r="L70">
            <v>0</v>
          </cell>
          <cell r="P70">
            <v>0</v>
          </cell>
          <cell r="Q70" t="str">
            <v/>
          </cell>
          <cell r="R70" t="str">
            <v>0</v>
          </cell>
          <cell r="S70" t="str">
            <v/>
          </cell>
        </row>
        <row r="71">
          <cell r="I71">
            <v>-22000</v>
          </cell>
        </row>
        <row r="72">
          <cell r="I72">
            <v>22000</v>
          </cell>
          <cell r="L72">
            <v>22000</v>
          </cell>
          <cell r="P72">
            <v>0</v>
          </cell>
          <cell r="Q72" t="str">
            <v>73209VN</v>
          </cell>
          <cell r="R72" t="str">
            <v>VNOther</v>
          </cell>
          <cell r="S72" t="str">
            <v xml:space="preserve">Program Operation </v>
          </cell>
        </row>
        <row r="73">
          <cell r="L73">
            <v>0</v>
          </cell>
          <cell r="P73">
            <v>0</v>
          </cell>
          <cell r="Q73" t="str">
            <v/>
          </cell>
          <cell r="R73" t="str">
            <v>0</v>
          </cell>
          <cell r="S73" t="str">
            <v/>
          </cell>
        </row>
        <row r="74">
          <cell r="I74">
            <v>-1500000</v>
          </cell>
        </row>
        <row r="75">
          <cell r="I75">
            <v>1500000</v>
          </cell>
          <cell r="L75">
            <v>1500000</v>
          </cell>
          <cell r="P75">
            <v>0</v>
          </cell>
          <cell r="Q75" t="str">
            <v>73205VN</v>
          </cell>
          <cell r="R75" t="str">
            <v>VNOther</v>
          </cell>
          <cell r="S75" t="str">
            <v xml:space="preserve">Program Operation </v>
          </cell>
        </row>
        <row r="76">
          <cell r="L76">
            <v>0</v>
          </cell>
          <cell r="P76">
            <v>0</v>
          </cell>
          <cell r="Q76" t="str">
            <v/>
          </cell>
          <cell r="R76" t="str">
            <v>0</v>
          </cell>
          <cell r="S76" t="str">
            <v/>
          </cell>
        </row>
        <row r="77">
          <cell r="I77">
            <v>-11000</v>
          </cell>
        </row>
        <row r="78">
          <cell r="I78">
            <v>11000</v>
          </cell>
          <cell r="L78">
            <v>11000</v>
          </cell>
          <cell r="P78">
            <v>0</v>
          </cell>
          <cell r="Q78" t="str">
            <v>73209VN</v>
          </cell>
          <cell r="R78" t="str">
            <v>VNOther</v>
          </cell>
          <cell r="S78" t="str">
            <v xml:space="preserve">Program Operation </v>
          </cell>
        </row>
        <row r="79">
          <cell r="L79">
            <v>0</v>
          </cell>
          <cell r="P79">
            <v>0</v>
          </cell>
          <cell r="Q79" t="str">
            <v/>
          </cell>
          <cell r="R79" t="str">
            <v>0</v>
          </cell>
          <cell r="S79" t="str">
            <v/>
          </cell>
        </row>
        <row r="80">
          <cell r="I80">
            <v>-59070</v>
          </cell>
        </row>
        <row r="81">
          <cell r="I81">
            <v>59070</v>
          </cell>
          <cell r="L81">
            <v>59070</v>
          </cell>
          <cell r="P81">
            <v>0</v>
          </cell>
          <cell r="Q81" t="str">
            <v>73209VN</v>
          </cell>
          <cell r="R81" t="str">
            <v>VNMOET</v>
          </cell>
          <cell r="S81" t="str">
            <v xml:space="preserve">Program Operation </v>
          </cell>
        </row>
        <row r="82">
          <cell r="L82">
            <v>0</v>
          </cell>
          <cell r="P82">
            <v>0</v>
          </cell>
          <cell r="Q82" t="str">
            <v/>
          </cell>
          <cell r="R82" t="str">
            <v>0</v>
          </cell>
          <cell r="S82" t="str">
            <v/>
          </cell>
        </row>
        <row r="83">
          <cell r="I83">
            <v>-179000000</v>
          </cell>
        </row>
        <row r="84">
          <cell r="I84">
            <v>179000000</v>
          </cell>
          <cell r="L84">
            <v>179000000</v>
          </cell>
          <cell r="P84">
            <v>0</v>
          </cell>
          <cell r="Q84" t="str">
            <v>1252VN</v>
          </cell>
          <cell r="R84" t="str">
            <v>VNMOET</v>
          </cell>
          <cell r="S84" t="str">
            <v>Education quality improvement</v>
          </cell>
        </row>
        <row r="85">
          <cell r="L85">
            <v>0</v>
          </cell>
          <cell r="P85">
            <v>0</v>
          </cell>
          <cell r="Q85" t="str">
            <v/>
          </cell>
          <cell r="R85" t="str">
            <v>0</v>
          </cell>
          <cell r="S85" t="str">
            <v/>
          </cell>
        </row>
        <row r="86">
          <cell r="I86">
            <v>-1296000</v>
          </cell>
        </row>
        <row r="87">
          <cell r="I87">
            <v>1296000</v>
          </cell>
          <cell r="L87">
            <v>1296000</v>
          </cell>
          <cell r="P87">
            <v>0</v>
          </cell>
          <cell r="Q87" t="str">
            <v>73205VN</v>
          </cell>
          <cell r="R87" t="str">
            <v>VNOther</v>
          </cell>
          <cell r="S87" t="str">
            <v xml:space="preserve">Program Operation </v>
          </cell>
        </row>
        <row r="88">
          <cell r="L88">
            <v>0</v>
          </cell>
          <cell r="P88">
            <v>0</v>
          </cell>
          <cell r="Q88" t="str">
            <v/>
          </cell>
          <cell r="R88" t="str">
            <v>0</v>
          </cell>
          <cell r="S88" t="str">
            <v/>
          </cell>
        </row>
        <row r="89">
          <cell r="I89">
            <v>-22000</v>
          </cell>
        </row>
        <row r="90">
          <cell r="I90">
            <v>22000</v>
          </cell>
          <cell r="L90">
            <v>22000</v>
          </cell>
          <cell r="P90">
            <v>0</v>
          </cell>
          <cell r="Q90" t="str">
            <v>73209VN</v>
          </cell>
          <cell r="R90" t="str">
            <v>VNOther</v>
          </cell>
          <cell r="S90" t="str">
            <v xml:space="preserve">Program Operation </v>
          </cell>
        </row>
        <row r="91">
          <cell r="L91">
            <v>0</v>
          </cell>
          <cell r="P91">
            <v>0</v>
          </cell>
          <cell r="Q91" t="str">
            <v/>
          </cell>
          <cell r="R91" t="str">
            <v>0</v>
          </cell>
          <cell r="S91" t="str">
            <v/>
          </cell>
        </row>
        <row r="92">
          <cell r="I92">
            <v>-622500</v>
          </cell>
        </row>
        <row r="93">
          <cell r="I93">
            <v>622500</v>
          </cell>
          <cell r="L93">
            <v>622500</v>
          </cell>
          <cell r="P93">
            <v>0</v>
          </cell>
          <cell r="Q93" t="str">
            <v>73208VN</v>
          </cell>
          <cell r="R93" t="str">
            <v>VNMOET7</v>
          </cell>
          <cell r="S93" t="str">
            <v xml:space="preserve">Program Operation </v>
          </cell>
        </row>
        <row r="94">
          <cell r="L94">
            <v>0</v>
          </cell>
          <cell r="P94">
            <v>0</v>
          </cell>
          <cell r="Q94" t="str">
            <v/>
          </cell>
          <cell r="R94" t="str">
            <v>0</v>
          </cell>
          <cell r="S94" t="str">
            <v/>
          </cell>
        </row>
        <row r="95">
          <cell r="I95">
            <v>-11000</v>
          </cell>
        </row>
        <row r="96">
          <cell r="I96">
            <v>11000</v>
          </cell>
          <cell r="L96">
            <v>11000</v>
          </cell>
          <cell r="P96">
            <v>0</v>
          </cell>
          <cell r="Q96" t="str">
            <v>73209VN</v>
          </cell>
          <cell r="R96" t="str">
            <v>VNMOET</v>
          </cell>
          <cell r="S96" t="str">
            <v xml:space="preserve">Program Operation </v>
          </cell>
        </row>
        <row r="97">
          <cell r="L97">
            <v>0</v>
          </cell>
          <cell r="P97">
            <v>0</v>
          </cell>
          <cell r="Q97" t="str">
            <v/>
          </cell>
          <cell r="R97" t="str">
            <v>0</v>
          </cell>
          <cell r="S97" t="str">
            <v/>
          </cell>
        </row>
        <row r="98">
          <cell r="I98">
            <v>-300000</v>
          </cell>
        </row>
        <row r="99">
          <cell r="I99">
            <v>300000</v>
          </cell>
          <cell r="L99">
            <v>300000</v>
          </cell>
          <cell r="P99">
            <v>0</v>
          </cell>
          <cell r="Q99" t="str">
            <v>73205VN</v>
          </cell>
          <cell r="R99" t="str">
            <v>VNOther</v>
          </cell>
          <cell r="S99" t="str">
            <v xml:space="preserve">Program Operation </v>
          </cell>
        </row>
        <row r="100">
          <cell r="L100">
            <v>0</v>
          </cell>
          <cell r="P100">
            <v>0</v>
          </cell>
          <cell r="Q100" t="str">
            <v/>
          </cell>
          <cell r="R100" t="str">
            <v>0</v>
          </cell>
          <cell r="S100" t="str">
            <v/>
          </cell>
        </row>
        <row r="101">
          <cell r="I101">
            <v>-11000</v>
          </cell>
        </row>
        <row r="102">
          <cell r="I102">
            <v>11000</v>
          </cell>
          <cell r="L102">
            <v>11000</v>
          </cell>
          <cell r="P102">
            <v>0</v>
          </cell>
          <cell r="Q102" t="str">
            <v>73209VN</v>
          </cell>
          <cell r="R102" t="str">
            <v>VNOther</v>
          </cell>
          <cell r="S102" t="str">
            <v xml:space="preserve">Program Operation </v>
          </cell>
        </row>
        <row r="103">
          <cell r="L103">
            <v>0</v>
          </cell>
          <cell r="P103">
            <v>0</v>
          </cell>
          <cell r="Q103" t="str">
            <v/>
          </cell>
          <cell r="R103" t="str">
            <v>0</v>
          </cell>
          <cell r="S103" t="str">
            <v/>
          </cell>
        </row>
        <row r="104">
          <cell r="I104">
            <v>-242520</v>
          </cell>
        </row>
        <row r="105">
          <cell r="I105">
            <v>242520</v>
          </cell>
          <cell r="L105">
            <v>242520</v>
          </cell>
          <cell r="P105">
            <v>0</v>
          </cell>
          <cell r="Q105" t="str">
            <v>73208VN</v>
          </cell>
          <cell r="R105" t="str">
            <v>VNOther</v>
          </cell>
          <cell r="S105" t="str">
            <v xml:space="preserve">Program Operation </v>
          </cell>
        </row>
        <row r="106">
          <cell r="L106">
            <v>0</v>
          </cell>
          <cell r="P106">
            <v>0</v>
          </cell>
          <cell r="Q106" t="str">
            <v/>
          </cell>
          <cell r="R106" t="str">
            <v>0</v>
          </cell>
          <cell r="S106" t="str">
            <v/>
          </cell>
        </row>
        <row r="107">
          <cell r="I107">
            <v>-11000</v>
          </cell>
        </row>
        <row r="108">
          <cell r="I108">
            <v>11000</v>
          </cell>
          <cell r="L108">
            <v>11000</v>
          </cell>
          <cell r="P108">
            <v>0</v>
          </cell>
          <cell r="Q108" t="str">
            <v>73209VN</v>
          </cell>
          <cell r="R108" t="str">
            <v>VNOther</v>
          </cell>
          <cell r="S108" t="str">
            <v xml:space="preserve">Program Operation </v>
          </cell>
        </row>
        <row r="109">
          <cell r="L109">
            <v>0</v>
          </cell>
          <cell r="P109">
            <v>0</v>
          </cell>
          <cell r="Q109" t="str">
            <v/>
          </cell>
          <cell r="R109" t="str">
            <v>0</v>
          </cell>
          <cell r="S109" t="str">
            <v/>
          </cell>
        </row>
        <row r="110">
          <cell r="I110">
            <v>-15250000</v>
          </cell>
        </row>
        <row r="111">
          <cell r="I111">
            <v>15250000</v>
          </cell>
          <cell r="L111">
            <v>15250000</v>
          </cell>
          <cell r="P111">
            <v>0</v>
          </cell>
          <cell r="Q111" t="str">
            <v>1250VN</v>
          </cell>
          <cell r="R111" t="str">
            <v>VN</v>
          </cell>
          <cell r="S111" t="str">
            <v>Advance by cash</v>
          </cell>
        </row>
        <row r="112">
          <cell r="L112">
            <v>0</v>
          </cell>
          <cell r="P112">
            <v>0</v>
          </cell>
          <cell r="Q112" t="str">
            <v/>
          </cell>
          <cell r="R112" t="str">
            <v>0</v>
          </cell>
          <cell r="S112" t="str">
            <v/>
          </cell>
        </row>
        <row r="113">
          <cell r="I113">
            <v>-22000</v>
          </cell>
        </row>
        <row r="114">
          <cell r="I114">
            <v>22000</v>
          </cell>
          <cell r="L114">
            <v>22000</v>
          </cell>
          <cell r="P114">
            <v>0</v>
          </cell>
          <cell r="Q114" t="str">
            <v>73209VN</v>
          </cell>
          <cell r="R114" t="str">
            <v>VNQN2</v>
          </cell>
          <cell r="S114" t="str">
            <v xml:space="preserve">Program Operation </v>
          </cell>
        </row>
        <row r="115">
          <cell r="L115">
            <v>0</v>
          </cell>
          <cell r="P115">
            <v>0</v>
          </cell>
          <cell r="Q115" t="str">
            <v/>
          </cell>
          <cell r="R115" t="str">
            <v>0</v>
          </cell>
          <cell r="S115" t="str">
            <v/>
          </cell>
        </row>
        <row r="116">
          <cell r="I116">
            <v>-20785000</v>
          </cell>
        </row>
        <row r="117">
          <cell r="I117">
            <v>20785000</v>
          </cell>
          <cell r="L117">
            <v>20785000</v>
          </cell>
          <cell r="P117">
            <v>0</v>
          </cell>
          <cell r="Q117" t="str">
            <v>1250VN</v>
          </cell>
          <cell r="R117" t="str">
            <v>VNQN2</v>
          </cell>
          <cell r="S117" t="str">
            <v>Advance by cash</v>
          </cell>
        </row>
        <row r="118">
          <cell r="L118">
            <v>0</v>
          </cell>
          <cell r="P118">
            <v>0</v>
          </cell>
          <cell r="Q118" t="str">
            <v/>
          </cell>
          <cell r="R118" t="str">
            <v>0</v>
          </cell>
          <cell r="S118" t="str">
            <v/>
          </cell>
        </row>
        <row r="119">
          <cell r="I119">
            <v>-22000</v>
          </cell>
        </row>
        <row r="120">
          <cell r="I120">
            <v>22000</v>
          </cell>
          <cell r="L120">
            <v>22000</v>
          </cell>
          <cell r="P120">
            <v>0</v>
          </cell>
          <cell r="Q120" t="str">
            <v>73209VN</v>
          </cell>
          <cell r="R120" t="str">
            <v>VNQN2</v>
          </cell>
          <cell r="S120" t="str">
            <v xml:space="preserve">Program Operation </v>
          </cell>
        </row>
        <row r="121">
          <cell r="L121">
            <v>0</v>
          </cell>
          <cell r="P121">
            <v>0</v>
          </cell>
          <cell r="Q121" t="str">
            <v/>
          </cell>
          <cell r="R121" t="str">
            <v>0</v>
          </cell>
          <cell r="S121" t="str">
            <v/>
          </cell>
        </row>
        <row r="122">
          <cell r="I122">
            <v>-12625000</v>
          </cell>
        </row>
        <row r="123">
          <cell r="I123">
            <v>12625000</v>
          </cell>
          <cell r="L123">
            <v>12625000</v>
          </cell>
          <cell r="P123">
            <v>0</v>
          </cell>
          <cell r="Q123" t="str">
            <v>1250VN</v>
          </cell>
          <cell r="R123" t="str">
            <v>VNQN2</v>
          </cell>
          <cell r="S123" t="str">
            <v>Advance by cash</v>
          </cell>
        </row>
        <row r="124">
          <cell r="L124">
            <v>0</v>
          </cell>
          <cell r="P124">
            <v>0</v>
          </cell>
          <cell r="Q124" t="str">
            <v/>
          </cell>
          <cell r="R124" t="str">
            <v>0</v>
          </cell>
          <cell r="S124" t="str">
            <v/>
          </cell>
        </row>
        <row r="125">
          <cell r="I125">
            <v>-22000</v>
          </cell>
        </row>
        <row r="126">
          <cell r="I126">
            <v>22000</v>
          </cell>
          <cell r="L126">
            <v>22000</v>
          </cell>
          <cell r="P126">
            <v>0</v>
          </cell>
          <cell r="Q126" t="str">
            <v>73209VN</v>
          </cell>
          <cell r="R126" t="str">
            <v>VNQN2</v>
          </cell>
          <cell r="S126" t="str">
            <v xml:space="preserve">Program Operation </v>
          </cell>
        </row>
        <row r="127">
          <cell r="L127">
            <v>0</v>
          </cell>
          <cell r="P127">
            <v>0</v>
          </cell>
          <cell r="Q127" t="str">
            <v/>
          </cell>
          <cell r="R127" t="str">
            <v>0</v>
          </cell>
          <cell r="S127" t="str">
            <v/>
          </cell>
        </row>
        <row r="128">
          <cell r="I128">
            <v>-20435000</v>
          </cell>
        </row>
        <row r="129">
          <cell r="I129">
            <v>20435000</v>
          </cell>
          <cell r="L129">
            <v>20435000</v>
          </cell>
          <cell r="P129">
            <v>0</v>
          </cell>
          <cell r="Q129" t="str">
            <v>1250VN</v>
          </cell>
          <cell r="R129" t="str">
            <v>VNQN2</v>
          </cell>
          <cell r="S129" t="str">
            <v>Advance by cash</v>
          </cell>
        </row>
        <row r="130">
          <cell r="L130">
            <v>0</v>
          </cell>
          <cell r="P130">
            <v>0</v>
          </cell>
          <cell r="Q130" t="str">
            <v/>
          </cell>
          <cell r="R130" t="str">
            <v>0</v>
          </cell>
          <cell r="S130" t="str">
            <v/>
          </cell>
        </row>
        <row r="131">
          <cell r="I131">
            <v>-22000</v>
          </cell>
        </row>
        <row r="132">
          <cell r="I132">
            <v>22000</v>
          </cell>
          <cell r="L132">
            <v>22000</v>
          </cell>
          <cell r="P132">
            <v>0</v>
          </cell>
          <cell r="Q132" t="str">
            <v>73209VN</v>
          </cell>
          <cell r="R132" t="str">
            <v>VNQN2</v>
          </cell>
          <cell r="S132" t="str">
            <v xml:space="preserve">Program Operation </v>
          </cell>
        </row>
        <row r="133">
          <cell r="L133">
            <v>0</v>
          </cell>
          <cell r="P133">
            <v>0</v>
          </cell>
          <cell r="Q133" t="str">
            <v/>
          </cell>
          <cell r="R133" t="str">
            <v>0</v>
          </cell>
          <cell r="S133" t="str">
            <v/>
          </cell>
        </row>
        <row r="134">
          <cell r="I134">
            <v>-19850000</v>
          </cell>
        </row>
        <row r="135">
          <cell r="I135">
            <v>-19850000</v>
          </cell>
          <cell r="L135">
            <v>-19850000</v>
          </cell>
          <cell r="P135">
            <v>0</v>
          </cell>
          <cell r="Q135" t="str">
            <v>1500VN</v>
          </cell>
          <cell r="R135" t="str">
            <v>VNQN2</v>
          </cell>
          <cell r="S135" t="str">
            <v>Advance by cash</v>
          </cell>
        </row>
        <row r="136">
          <cell r="L136">
            <v>0</v>
          </cell>
          <cell r="P136">
            <v>0</v>
          </cell>
          <cell r="Q136" t="str">
            <v/>
          </cell>
          <cell r="R136" t="str">
            <v>0</v>
          </cell>
          <cell r="S136" t="str">
            <v/>
          </cell>
        </row>
        <row r="137">
          <cell r="I137">
            <v>-22000</v>
          </cell>
        </row>
        <row r="138">
          <cell r="I138">
            <v>22000</v>
          </cell>
          <cell r="L138">
            <v>22000</v>
          </cell>
          <cell r="P138">
            <v>0</v>
          </cell>
          <cell r="Q138" t="str">
            <v>73209VN</v>
          </cell>
          <cell r="R138" t="str">
            <v>VNQN2</v>
          </cell>
          <cell r="S138" t="str">
            <v xml:space="preserve">Program Operation </v>
          </cell>
        </row>
        <row r="139">
          <cell r="L139">
            <v>0</v>
          </cell>
          <cell r="P139">
            <v>0</v>
          </cell>
          <cell r="Q139" t="str">
            <v/>
          </cell>
          <cell r="R139" t="str">
            <v>0</v>
          </cell>
          <cell r="S139" t="str">
            <v/>
          </cell>
        </row>
        <row r="140">
          <cell r="I140">
            <v>-5112218</v>
          </cell>
        </row>
        <row r="141">
          <cell r="I141">
            <v>5112218</v>
          </cell>
          <cell r="L141">
            <v>5112218</v>
          </cell>
          <cell r="P141">
            <v>0</v>
          </cell>
          <cell r="Q141" t="str">
            <v>72105VN</v>
          </cell>
          <cell r="R141" t="str">
            <v>VNHD</v>
          </cell>
          <cell r="S141" t="str">
            <v>Education quality improvement</v>
          </cell>
        </row>
        <row r="142">
          <cell r="L142">
            <v>0</v>
          </cell>
          <cell r="P142">
            <v>0</v>
          </cell>
          <cell r="Q142" t="str">
            <v/>
          </cell>
          <cell r="R142" t="str">
            <v>0</v>
          </cell>
          <cell r="S142" t="str">
            <v/>
          </cell>
        </row>
        <row r="143">
          <cell r="I143">
            <v>-11000</v>
          </cell>
        </row>
        <row r="144">
          <cell r="I144">
            <v>11000</v>
          </cell>
          <cell r="L144">
            <v>11000</v>
          </cell>
          <cell r="P144">
            <v>0</v>
          </cell>
          <cell r="Q144" t="str">
            <v>73209VN</v>
          </cell>
          <cell r="R144" t="str">
            <v>VNHD</v>
          </cell>
          <cell r="S144" t="str">
            <v xml:space="preserve">Program Operation </v>
          </cell>
        </row>
        <row r="145">
          <cell r="L145">
            <v>0</v>
          </cell>
          <cell r="P145">
            <v>0</v>
          </cell>
          <cell r="Q145" t="str">
            <v/>
          </cell>
          <cell r="R145" t="str">
            <v>0</v>
          </cell>
          <cell r="S145" t="str">
            <v/>
          </cell>
        </row>
        <row r="146">
          <cell r="I146">
            <v>-4860000</v>
          </cell>
        </row>
        <row r="147">
          <cell r="I147">
            <v>5400000</v>
          </cell>
          <cell r="L147">
            <v>5400000</v>
          </cell>
          <cell r="P147">
            <v>0</v>
          </cell>
          <cell r="Q147" t="str">
            <v>73205VN</v>
          </cell>
          <cell r="R147" t="str">
            <v>VNOther</v>
          </cell>
          <cell r="S147" t="str">
            <v xml:space="preserve">Program Operation </v>
          </cell>
        </row>
        <row r="148">
          <cell r="I148">
            <v>540000</v>
          </cell>
          <cell r="L148">
            <v>540000</v>
          </cell>
          <cell r="P148">
            <v>0</v>
          </cell>
          <cell r="Q148" t="str">
            <v>1500VN</v>
          </cell>
          <cell r="R148" t="str">
            <v>VNOt</v>
          </cell>
          <cell r="S148" t="str">
            <v>mannual input</v>
          </cell>
        </row>
        <row r="149">
          <cell r="L149">
            <v>0</v>
          </cell>
          <cell r="P149">
            <v>0</v>
          </cell>
          <cell r="Q149" t="str">
            <v/>
          </cell>
          <cell r="R149" t="str">
            <v>0</v>
          </cell>
          <cell r="S149" t="str">
            <v/>
          </cell>
        </row>
        <row r="150">
          <cell r="I150">
            <v>-22000</v>
          </cell>
        </row>
        <row r="151">
          <cell r="I151">
            <v>22000</v>
          </cell>
          <cell r="L151">
            <v>22000</v>
          </cell>
          <cell r="P151">
            <v>0</v>
          </cell>
          <cell r="Q151" t="str">
            <v>73209VN</v>
          </cell>
          <cell r="R151" t="str">
            <v>VNOther</v>
          </cell>
          <cell r="S151" t="str">
            <v xml:space="preserve">Program Operation </v>
          </cell>
        </row>
        <row r="152">
          <cell r="L152">
            <v>0</v>
          </cell>
          <cell r="P152">
            <v>0</v>
          </cell>
          <cell r="Q152" t="str">
            <v/>
          </cell>
          <cell r="R152" t="str">
            <v>0</v>
          </cell>
          <cell r="S152" t="str">
            <v/>
          </cell>
        </row>
        <row r="153">
          <cell r="I153">
            <v>-1030000</v>
          </cell>
        </row>
        <row r="154">
          <cell r="I154">
            <v>1030000</v>
          </cell>
          <cell r="L154">
            <v>1030000</v>
          </cell>
          <cell r="P154">
            <v>0</v>
          </cell>
          <cell r="Q154" t="str">
            <v>73205VN</v>
          </cell>
          <cell r="R154" t="str">
            <v>VNOther</v>
          </cell>
          <cell r="S154" t="str">
            <v xml:space="preserve">Program Operation </v>
          </cell>
        </row>
        <row r="155">
          <cell r="L155">
            <v>0</v>
          </cell>
          <cell r="P155">
            <v>0</v>
          </cell>
          <cell r="Q155" t="str">
            <v/>
          </cell>
          <cell r="R155" t="str">
            <v>0</v>
          </cell>
          <cell r="S155" t="str">
            <v/>
          </cell>
        </row>
        <row r="156">
          <cell r="I156">
            <v>-22000</v>
          </cell>
        </row>
        <row r="157">
          <cell r="I157">
            <v>22000</v>
          </cell>
          <cell r="L157">
            <v>22000</v>
          </cell>
          <cell r="P157">
            <v>0</v>
          </cell>
          <cell r="Q157" t="str">
            <v>73209VN</v>
          </cell>
          <cell r="R157" t="str">
            <v>VNOther</v>
          </cell>
          <cell r="S157" t="str">
            <v xml:space="preserve">Program Operation </v>
          </cell>
        </row>
        <row r="158">
          <cell r="L158">
            <v>0</v>
          </cell>
          <cell r="P158">
            <v>0</v>
          </cell>
          <cell r="Q158" t="str">
            <v/>
          </cell>
          <cell r="R158" t="str">
            <v>0</v>
          </cell>
          <cell r="S158" t="str">
            <v/>
          </cell>
        </row>
        <row r="159">
          <cell r="I159">
            <v>-200742500</v>
          </cell>
        </row>
        <row r="160">
          <cell r="I160">
            <v>200742500</v>
          </cell>
          <cell r="L160">
            <v>200742500</v>
          </cell>
          <cell r="P160">
            <v>0</v>
          </cell>
          <cell r="Q160" t="str">
            <v>1250VN</v>
          </cell>
          <cell r="R160" t="str">
            <v/>
          </cell>
          <cell r="S160" t="str">
            <v>Advance by cash</v>
          </cell>
        </row>
        <row r="161">
          <cell r="L161">
            <v>0</v>
          </cell>
          <cell r="P161">
            <v>0</v>
          </cell>
          <cell r="Q161" t="str">
            <v/>
          </cell>
          <cell r="R161" t="str">
            <v>0</v>
          </cell>
          <cell r="S161" t="str">
            <v/>
          </cell>
        </row>
        <row r="162">
          <cell r="I162">
            <v>-66245</v>
          </cell>
        </row>
        <row r="163">
          <cell r="I163">
            <v>66245</v>
          </cell>
          <cell r="L163">
            <v>66245</v>
          </cell>
          <cell r="P163">
            <v>0</v>
          </cell>
          <cell r="Q163" t="str">
            <v>73209VN</v>
          </cell>
          <cell r="R163" t="str">
            <v>VNQNTOT</v>
          </cell>
          <cell r="S163" t="str">
            <v xml:space="preserve">Program Operation </v>
          </cell>
        </row>
        <row r="164">
          <cell r="L164">
            <v>0</v>
          </cell>
          <cell r="P164">
            <v>0</v>
          </cell>
          <cell r="Q164" t="str">
            <v/>
          </cell>
          <cell r="R164" t="str">
            <v>0</v>
          </cell>
          <cell r="S164" t="str">
            <v/>
          </cell>
        </row>
        <row r="165">
          <cell r="I165">
            <v>-1447300</v>
          </cell>
        </row>
        <row r="166">
          <cell r="I166">
            <v>1447300</v>
          </cell>
          <cell r="L166">
            <v>1447300</v>
          </cell>
          <cell r="P166">
            <v>0</v>
          </cell>
          <cell r="Q166" t="str">
            <v>72105VN</v>
          </cell>
          <cell r="R166" t="str">
            <v>VNMOET</v>
          </cell>
          <cell r="S166" t="str">
            <v>Education quality improvement</v>
          </cell>
        </row>
        <row r="167">
          <cell r="L167">
            <v>0</v>
          </cell>
          <cell r="P167">
            <v>0</v>
          </cell>
          <cell r="Q167" t="str">
            <v/>
          </cell>
          <cell r="R167" t="str">
            <v>0</v>
          </cell>
          <cell r="S167" t="str">
            <v/>
          </cell>
        </row>
        <row r="168">
          <cell r="I168">
            <v>-22000</v>
          </cell>
        </row>
        <row r="169">
          <cell r="I169">
            <v>22000</v>
          </cell>
          <cell r="L169">
            <v>22000</v>
          </cell>
          <cell r="P169">
            <v>0</v>
          </cell>
          <cell r="Q169" t="str">
            <v>73209VN</v>
          </cell>
          <cell r="R169" t="str">
            <v>VNMOET</v>
          </cell>
          <cell r="S169" t="str">
            <v xml:space="preserve">Program Operation </v>
          </cell>
        </row>
        <row r="170">
          <cell r="L170">
            <v>0</v>
          </cell>
          <cell r="P170">
            <v>0</v>
          </cell>
          <cell r="Q170" t="str">
            <v/>
          </cell>
          <cell r="R170" t="str">
            <v>0</v>
          </cell>
          <cell r="S170" t="str">
            <v/>
          </cell>
        </row>
        <row r="171">
          <cell r="I171">
            <v>-22000</v>
          </cell>
        </row>
        <row r="172">
          <cell r="I172">
            <v>22000</v>
          </cell>
          <cell r="L172">
            <v>22000</v>
          </cell>
          <cell r="P172">
            <v>0</v>
          </cell>
          <cell r="Q172" t="str">
            <v>73209VN</v>
          </cell>
          <cell r="R172" t="str">
            <v>VNOther</v>
          </cell>
          <cell r="S172" t="str">
            <v xml:space="preserve">Program Operation </v>
          </cell>
        </row>
        <row r="173">
          <cell r="L173">
            <v>0</v>
          </cell>
          <cell r="P173">
            <v>0</v>
          </cell>
          <cell r="Q173" t="str">
            <v/>
          </cell>
          <cell r="R173" t="str">
            <v>0</v>
          </cell>
          <cell r="S173" t="str">
            <v/>
          </cell>
        </row>
        <row r="174">
          <cell r="I174">
            <v>-298562</v>
          </cell>
        </row>
        <row r="175">
          <cell r="I175">
            <v>298562</v>
          </cell>
          <cell r="L175">
            <v>298562</v>
          </cell>
          <cell r="P175">
            <v>0</v>
          </cell>
          <cell r="Q175" t="str">
            <v>73205VN</v>
          </cell>
          <cell r="R175" t="str">
            <v>VNOther</v>
          </cell>
          <cell r="S175" t="str">
            <v xml:space="preserve">Program Operation </v>
          </cell>
        </row>
        <row r="176">
          <cell r="L176">
            <v>0</v>
          </cell>
          <cell r="P176">
            <v>0</v>
          </cell>
          <cell r="Q176" t="str">
            <v/>
          </cell>
          <cell r="R176" t="str">
            <v>0</v>
          </cell>
          <cell r="S176" t="str">
            <v/>
          </cell>
        </row>
        <row r="177">
          <cell r="I177">
            <v>-4095024</v>
          </cell>
        </row>
        <row r="178">
          <cell r="I178">
            <v>2202000</v>
          </cell>
          <cell r="L178">
            <v>2202000</v>
          </cell>
          <cell r="P178">
            <v>0</v>
          </cell>
          <cell r="Q178" t="str">
            <v>72102VN</v>
          </cell>
          <cell r="R178" t="str">
            <v>VNHDTOT</v>
          </cell>
          <cell r="S178" t="str">
            <v>Education quality improvement</v>
          </cell>
        </row>
        <row r="179">
          <cell r="I179">
            <v>273024</v>
          </cell>
          <cell r="L179">
            <v>273024</v>
          </cell>
          <cell r="P179">
            <v>0</v>
          </cell>
          <cell r="Q179" t="str">
            <v>73205VN</v>
          </cell>
          <cell r="R179" t="str">
            <v>VNMOET</v>
          </cell>
          <cell r="S179" t="str">
            <v xml:space="preserve">Program Operation </v>
          </cell>
        </row>
        <row r="180">
          <cell r="I180">
            <v>1620000</v>
          </cell>
          <cell r="L180">
            <v>1620000</v>
          </cell>
          <cell r="P180">
            <v>0</v>
          </cell>
          <cell r="Q180" t="str">
            <v>72105VN</v>
          </cell>
          <cell r="R180" t="str">
            <v>VNMOET</v>
          </cell>
          <cell r="S180" t="str">
            <v>Education quality improvement</v>
          </cell>
        </row>
        <row r="181">
          <cell r="L181">
            <v>0</v>
          </cell>
          <cell r="P181">
            <v>0</v>
          </cell>
          <cell r="Q181" t="str">
            <v/>
          </cell>
          <cell r="R181" t="str">
            <v>0</v>
          </cell>
          <cell r="S181" t="str">
            <v/>
          </cell>
        </row>
        <row r="182">
          <cell r="I182">
            <v>-11000</v>
          </cell>
        </row>
        <row r="183">
          <cell r="I183">
            <v>11000</v>
          </cell>
          <cell r="L183">
            <v>11000</v>
          </cell>
          <cell r="P183">
            <v>0</v>
          </cell>
          <cell r="Q183" t="str">
            <v>73209VN</v>
          </cell>
          <cell r="R183" t="str">
            <v>VNHDTOT</v>
          </cell>
          <cell r="S183" t="str">
            <v xml:space="preserve">Program Operation </v>
          </cell>
        </row>
        <row r="184">
          <cell r="L184">
            <v>0</v>
          </cell>
          <cell r="P184">
            <v>0</v>
          </cell>
          <cell r="Q184" t="str">
            <v/>
          </cell>
          <cell r="R184" t="str">
            <v>0</v>
          </cell>
          <cell r="S184" t="str">
            <v/>
          </cell>
        </row>
        <row r="185">
          <cell r="I185">
            <v>-2339880</v>
          </cell>
        </row>
        <row r="186">
          <cell r="I186">
            <v>2007360</v>
          </cell>
          <cell r="L186">
            <v>2007360</v>
          </cell>
          <cell r="P186">
            <v>0</v>
          </cell>
          <cell r="Q186" t="str">
            <v>72102VN</v>
          </cell>
          <cell r="R186" t="str">
            <v>VNHD2</v>
          </cell>
          <cell r="S186" t="str">
            <v>Education quality improvement</v>
          </cell>
        </row>
        <row r="187">
          <cell r="I187">
            <v>332520</v>
          </cell>
          <cell r="L187">
            <v>332520</v>
          </cell>
          <cell r="P187">
            <v>0</v>
          </cell>
          <cell r="Q187" t="str">
            <v>72102VN</v>
          </cell>
          <cell r="R187" t="str">
            <v>VNMOET</v>
          </cell>
          <cell r="S187" t="str">
            <v>Education quality improvement</v>
          </cell>
        </row>
        <row r="188">
          <cell r="L188">
            <v>0</v>
          </cell>
          <cell r="P188">
            <v>0</v>
          </cell>
          <cell r="Q188" t="str">
            <v/>
          </cell>
          <cell r="R188" t="str">
            <v>0</v>
          </cell>
          <cell r="S188" t="str">
            <v/>
          </cell>
        </row>
        <row r="189">
          <cell r="I189">
            <v>-22000</v>
          </cell>
        </row>
        <row r="190">
          <cell r="I190">
            <v>22000</v>
          </cell>
          <cell r="L190">
            <v>22000</v>
          </cell>
          <cell r="P190">
            <v>0</v>
          </cell>
          <cell r="Q190" t="str">
            <v>73205VN</v>
          </cell>
          <cell r="R190" t="str">
            <v>VNHD2</v>
          </cell>
          <cell r="S190" t="str">
            <v xml:space="preserve">Program Operation </v>
          </cell>
        </row>
        <row r="191">
          <cell r="L191">
            <v>0</v>
          </cell>
          <cell r="P191">
            <v>0</v>
          </cell>
          <cell r="Q191" t="str">
            <v/>
          </cell>
          <cell r="R191" t="str">
            <v>0</v>
          </cell>
          <cell r="S191" t="str">
            <v/>
          </cell>
        </row>
        <row r="192">
          <cell r="I192">
            <v>-43351200</v>
          </cell>
        </row>
        <row r="193">
          <cell r="I193">
            <v>43351200</v>
          </cell>
          <cell r="L193">
            <v>43351200</v>
          </cell>
          <cell r="P193">
            <v>0</v>
          </cell>
          <cell r="Q193" t="str">
            <v>73210VN</v>
          </cell>
          <cell r="R193" t="str">
            <v>VNMOET</v>
          </cell>
          <cell r="S193" t="str">
            <v xml:space="preserve">Program Operation </v>
          </cell>
        </row>
        <row r="194">
          <cell r="L194">
            <v>0</v>
          </cell>
          <cell r="P194">
            <v>0</v>
          </cell>
          <cell r="Q194" t="str">
            <v/>
          </cell>
          <cell r="R194" t="str">
            <v>0</v>
          </cell>
          <cell r="S194" t="str">
            <v/>
          </cell>
        </row>
        <row r="195">
          <cell r="I195">
            <v>-11000</v>
          </cell>
        </row>
        <row r="196">
          <cell r="I196">
            <v>11000</v>
          </cell>
          <cell r="L196">
            <v>11000</v>
          </cell>
          <cell r="P196">
            <v>0</v>
          </cell>
          <cell r="Q196" t="str">
            <v>73209VN</v>
          </cell>
          <cell r="R196" t="str">
            <v>VNMOET</v>
          </cell>
          <cell r="S196" t="str">
            <v xml:space="preserve">Program Operation </v>
          </cell>
        </row>
        <row r="197">
          <cell r="L197">
            <v>0</v>
          </cell>
          <cell r="P197">
            <v>0</v>
          </cell>
          <cell r="Q197" t="str">
            <v/>
          </cell>
          <cell r="R197" t="str">
            <v>0</v>
          </cell>
          <cell r="S197" t="str">
            <v/>
          </cell>
        </row>
        <row r="198">
          <cell r="I198">
            <v>-3555634</v>
          </cell>
        </row>
        <row r="199">
          <cell r="I199">
            <v>3555634</v>
          </cell>
          <cell r="L199">
            <v>3555634</v>
          </cell>
          <cell r="P199">
            <v>0</v>
          </cell>
          <cell r="Q199" t="str">
            <v>73203VN</v>
          </cell>
          <cell r="R199" t="str">
            <v>VNOther</v>
          </cell>
          <cell r="S199" t="str">
            <v>Education quality improvement</v>
          </cell>
        </row>
        <row r="200">
          <cell r="L200">
            <v>0</v>
          </cell>
          <cell r="P200">
            <v>0</v>
          </cell>
          <cell r="Q200" t="str">
            <v/>
          </cell>
          <cell r="R200" t="str">
            <v>0</v>
          </cell>
          <cell r="S200" t="str">
            <v/>
          </cell>
        </row>
        <row r="201">
          <cell r="I201">
            <v>-22000</v>
          </cell>
        </row>
        <row r="202">
          <cell r="I202">
            <v>22000</v>
          </cell>
          <cell r="L202">
            <v>22000</v>
          </cell>
          <cell r="P202">
            <v>0</v>
          </cell>
          <cell r="Q202" t="str">
            <v>73209VN</v>
          </cell>
          <cell r="R202" t="str">
            <v>VNOther</v>
          </cell>
          <cell r="S202" t="str">
            <v xml:space="preserve">Program Operation </v>
          </cell>
        </row>
        <row r="203">
          <cell r="L203">
            <v>0</v>
          </cell>
          <cell r="P203">
            <v>0</v>
          </cell>
          <cell r="Q203" t="str">
            <v/>
          </cell>
          <cell r="R203" t="str">
            <v>0</v>
          </cell>
          <cell r="S203" t="str">
            <v/>
          </cell>
        </row>
        <row r="204">
          <cell r="I204">
            <v>-756000</v>
          </cell>
        </row>
        <row r="205">
          <cell r="I205">
            <v>756000</v>
          </cell>
          <cell r="L205">
            <v>756000</v>
          </cell>
          <cell r="P205">
            <v>0</v>
          </cell>
          <cell r="Q205" t="str">
            <v>72102VN</v>
          </cell>
          <cell r="R205" t="str">
            <v>VNHDTOT</v>
          </cell>
          <cell r="S205" t="str">
            <v>Education quality improvement</v>
          </cell>
        </row>
        <row r="206">
          <cell r="L206">
            <v>0</v>
          </cell>
          <cell r="P206">
            <v>0</v>
          </cell>
          <cell r="Q206" t="str">
            <v/>
          </cell>
          <cell r="R206" t="str">
            <v>0</v>
          </cell>
          <cell r="S206" t="str">
            <v/>
          </cell>
        </row>
        <row r="207">
          <cell r="I207">
            <v>-11000</v>
          </cell>
        </row>
        <row r="208">
          <cell r="I208">
            <v>11000</v>
          </cell>
          <cell r="L208">
            <v>11000</v>
          </cell>
          <cell r="P208">
            <v>0</v>
          </cell>
          <cell r="Q208" t="str">
            <v>73209VN</v>
          </cell>
          <cell r="R208" t="str">
            <v>VNHDTOT</v>
          </cell>
          <cell r="S208" t="str">
            <v xml:space="preserve">Program Operation </v>
          </cell>
        </row>
        <row r="209">
          <cell r="L209">
            <v>0</v>
          </cell>
          <cell r="P209">
            <v>0</v>
          </cell>
          <cell r="Q209" t="str">
            <v/>
          </cell>
          <cell r="R209" t="str">
            <v>0</v>
          </cell>
          <cell r="S209" t="str">
            <v/>
          </cell>
        </row>
        <row r="210">
          <cell r="I210">
            <v>-4369000</v>
          </cell>
        </row>
        <row r="211">
          <cell r="I211">
            <v>4369000</v>
          </cell>
          <cell r="L211">
            <v>4369000</v>
          </cell>
          <cell r="P211">
            <v>0</v>
          </cell>
          <cell r="Q211" t="str">
            <v>72105VN</v>
          </cell>
          <cell r="R211" t="str">
            <v>VNMOET</v>
          </cell>
          <cell r="S211" t="str">
            <v>Education quality improvement</v>
          </cell>
        </row>
        <row r="212">
          <cell r="L212">
            <v>0</v>
          </cell>
          <cell r="P212">
            <v>0</v>
          </cell>
          <cell r="Q212" t="str">
            <v/>
          </cell>
          <cell r="R212" t="str">
            <v>0</v>
          </cell>
          <cell r="S212" t="str">
            <v/>
          </cell>
        </row>
        <row r="213">
          <cell r="I213">
            <v>-11000</v>
          </cell>
        </row>
        <row r="214">
          <cell r="I214">
            <v>11000</v>
          </cell>
          <cell r="L214">
            <v>11000</v>
          </cell>
          <cell r="P214">
            <v>0</v>
          </cell>
          <cell r="Q214" t="str">
            <v>73209VN</v>
          </cell>
          <cell r="R214" t="str">
            <v>VNMOET</v>
          </cell>
          <cell r="S214" t="str">
            <v xml:space="preserve">Program Operation </v>
          </cell>
        </row>
        <row r="215">
          <cell r="L215">
            <v>0</v>
          </cell>
          <cell r="P215">
            <v>0</v>
          </cell>
          <cell r="Q215" t="str">
            <v/>
          </cell>
          <cell r="R215" t="str">
            <v>0</v>
          </cell>
          <cell r="S215" t="str">
            <v/>
          </cell>
        </row>
        <row r="216">
          <cell r="I216">
            <v>-11036768</v>
          </cell>
        </row>
        <row r="217">
          <cell r="I217">
            <v>11036768</v>
          </cell>
          <cell r="L217">
            <v>11036768</v>
          </cell>
          <cell r="P217">
            <v>0</v>
          </cell>
          <cell r="Q217" t="str">
            <v>73205VN</v>
          </cell>
          <cell r="R217" t="str">
            <v>VNOther</v>
          </cell>
          <cell r="S217" t="str">
            <v xml:space="preserve">Program Operation </v>
          </cell>
        </row>
        <row r="218">
          <cell r="I218">
            <v>-11036768</v>
          </cell>
          <cell r="L218">
            <v>-11036768</v>
          </cell>
          <cell r="P218">
            <v>0</v>
          </cell>
          <cell r="Q218" t="str">
            <v>73205VN</v>
          </cell>
          <cell r="R218" t="str">
            <v>VNOther</v>
          </cell>
          <cell r="S218" t="str">
            <v xml:space="preserve">Program Operation </v>
          </cell>
        </row>
        <row r="219">
          <cell r="I219">
            <v>11036768</v>
          </cell>
          <cell r="L219">
            <v>11036768</v>
          </cell>
          <cell r="P219">
            <v>0</v>
          </cell>
          <cell r="Q219" t="str">
            <v>1320VN</v>
          </cell>
          <cell r="R219" t="str">
            <v>Capitalize purchasing curtains for OSVN new</v>
          </cell>
          <cell r="S219" t="str">
            <v/>
          </cell>
        </row>
        <row r="220">
          <cell r="L220">
            <v>0</v>
          </cell>
          <cell r="P220">
            <v>0</v>
          </cell>
          <cell r="Q220" t="str">
            <v/>
          </cell>
          <cell r="R220" t="str">
            <v>0</v>
          </cell>
          <cell r="S220" t="str">
            <v/>
          </cell>
        </row>
        <row r="221">
          <cell r="I221">
            <v>-22000</v>
          </cell>
        </row>
        <row r="222">
          <cell r="I222">
            <v>22000</v>
          </cell>
          <cell r="L222">
            <v>22000</v>
          </cell>
          <cell r="P222">
            <v>0</v>
          </cell>
          <cell r="Q222" t="str">
            <v>73209VN</v>
          </cell>
          <cell r="R222" t="str">
            <v>VNOther</v>
          </cell>
          <cell r="S222" t="str">
            <v xml:space="preserve">Program Operation </v>
          </cell>
        </row>
        <row r="223">
          <cell r="L223">
            <v>0</v>
          </cell>
          <cell r="P223">
            <v>0</v>
          </cell>
          <cell r="Q223" t="str">
            <v/>
          </cell>
          <cell r="R223" t="str">
            <v>0</v>
          </cell>
          <cell r="S223" t="str">
            <v/>
          </cell>
        </row>
        <row r="224">
          <cell r="I224">
            <v>-615000</v>
          </cell>
        </row>
        <row r="225">
          <cell r="I225">
            <v>615000</v>
          </cell>
          <cell r="L225">
            <v>615000</v>
          </cell>
          <cell r="P225">
            <v>0</v>
          </cell>
          <cell r="Q225" t="str">
            <v>72105VN</v>
          </cell>
          <cell r="R225" t="str">
            <v>VNMOET</v>
          </cell>
          <cell r="S225" t="str">
            <v>Education quality improvement</v>
          </cell>
        </row>
        <row r="226">
          <cell r="L226">
            <v>0</v>
          </cell>
          <cell r="P226">
            <v>0</v>
          </cell>
          <cell r="Q226" t="str">
            <v/>
          </cell>
          <cell r="R226" t="str">
            <v>0</v>
          </cell>
          <cell r="S226" t="str">
            <v/>
          </cell>
        </row>
        <row r="227">
          <cell r="I227">
            <v>-22000</v>
          </cell>
        </row>
        <row r="228">
          <cell r="I228">
            <v>22000</v>
          </cell>
          <cell r="L228">
            <v>22000</v>
          </cell>
          <cell r="P228">
            <v>0</v>
          </cell>
          <cell r="Q228" t="str">
            <v>73209VN</v>
          </cell>
          <cell r="R228" t="str">
            <v>VNMOET</v>
          </cell>
          <cell r="S228" t="str">
            <v xml:space="preserve">Program Operation </v>
          </cell>
        </row>
        <row r="229">
          <cell r="L229">
            <v>0</v>
          </cell>
          <cell r="P229">
            <v>0</v>
          </cell>
          <cell r="Q229" t="str">
            <v/>
          </cell>
          <cell r="R229" t="str">
            <v>0</v>
          </cell>
          <cell r="S229" t="str">
            <v/>
          </cell>
        </row>
        <row r="230">
          <cell r="I230">
            <v>-200000</v>
          </cell>
        </row>
        <row r="231">
          <cell r="I231">
            <v>200000</v>
          </cell>
          <cell r="L231">
            <v>200000</v>
          </cell>
          <cell r="P231">
            <v>0</v>
          </cell>
          <cell r="Q231" t="str">
            <v>73205VN</v>
          </cell>
          <cell r="R231" t="str">
            <v>VNOther</v>
          </cell>
          <cell r="S231" t="str">
            <v xml:space="preserve">Program Operation </v>
          </cell>
        </row>
        <row r="232">
          <cell r="L232">
            <v>0</v>
          </cell>
          <cell r="P232">
            <v>0</v>
          </cell>
          <cell r="Q232" t="str">
            <v/>
          </cell>
          <cell r="R232" t="str">
            <v>0</v>
          </cell>
          <cell r="S232" t="str">
            <v/>
          </cell>
        </row>
        <row r="233">
          <cell r="I233">
            <v>-11000</v>
          </cell>
        </row>
        <row r="234">
          <cell r="I234">
            <v>11000</v>
          </cell>
          <cell r="L234">
            <v>11000</v>
          </cell>
          <cell r="P234">
            <v>0</v>
          </cell>
          <cell r="Q234" t="str">
            <v>73209VN</v>
          </cell>
          <cell r="R234" t="str">
            <v>VNOther</v>
          </cell>
          <cell r="S234" t="str">
            <v xml:space="preserve">Program Operation </v>
          </cell>
        </row>
        <row r="235">
          <cell r="L235">
            <v>0</v>
          </cell>
          <cell r="P235">
            <v>0</v>
          </cell>
          <cell r="Q235" t="str">
            <v/>
          </cell>
          <cell r="R235" t="str">
            <v>0</v>
          </cell>
          <cell r="S235" t="str">
            <v/>
          </cell>
        </row>
        <row r="236">
          <cell r="I236">
            <v>-14875000</v>
          </cell>
        </row>
        <row r="237">
          <cell r="I237">
            <v>14875000</v>
          </cell>
          <cell r="L237">
            <v>14875000</v>
          </cell>
          <cell r="P237">
            <v>0</v>
          </cell>
          <cell r="Q237" t="str">
            <v>1250VN</v>
          </cell>
          <cell r="R237" t="str">
            <v>VNQN</v>
          </cell>
          <cell r="S237" t="str">
            <v>Advance by cash</v>
          </cell>
        </row>
        <row r="238">
          <cell r="L238">
            <v>0</v>
          </cell>
          <cell r="P238">
            <v>0</v>
          </cell>
          <cell r="Q238" t="str">
            <v/>
          </cell>
          <cell r="R238" t="str">
            <v>0</v>
          </cell>
          <cell r="S238" t="str">
            <v/>
          </cell>
        </row>
        <row r="239">
          <cell r="I239">
            <v>-22000</v>
          </cell>
        </row>
        <row r="240">
          <cell r="I240">
            <v>22000</v>
          </cell>
          <cell r="L240">
            <v>22000</v>
          </cell>
          <cell r="P240">
            <v>0</v>
          </cell>
          <cell r="Q240" t="str">
            <v>73209VN</v>
          </cell>
          <cell r="R240" t="str">
            <v>VNQN</v>
          </cell>
          <cell r="S240" t="str">
            <v xml:space="preserve">Program Operation </v>
          </cell>
        </row>
        <row r="241">
          <cell r="L241">
            <v>0</v>
          </cell>
          <cell r="P241">
            <v>0</v>
          </cell>
          <cell r="Q241" t="str">
            <v/>
          </cell>
          <cell r="R241" t="str">
            <v>0</v>
          </cell>
          <cell r="S241" t="str">
            <v/>
          </cell>
        </row>
        <row r="242">
          <cell r="I242">
            <v>-12169068</v>
          </cell>
        </row>
        <row r="243">
          <cell r="I243">
            <v>1779000</v>
          </cell>
          <cell r="L243">
            <v>1779000</v>
          </cell>
          <cell r="P243">
            <v>0</v>
          </cell>
          <cell r="Q243" t="str">
            <v>73102VN</v>
          </cell>
          <cell r="R243" t="str">
            <v>VNQN2</v>
          </cell>
          <cell r="S243" t="str">
            <v>Education quality improvement</v>
          </cell>
        </row>
        <row r="244">
          <cell r="I244">
            <v>500000</v>
          </cell>
          <cell r="L244">
            <v>500000</v>
          </cell>
          <cell r="P244">
            <v>0</v>
          </cell>
          <cell r="Q244" t="str">
            <v>73102VN</v>
          </cell>
          <cell r="R244" t="str">
            <v>VNHD</v>
          </cell>
          <cell r="S244" t="str">
            <v>Education quality improvement</v>
          </cell>
        </row>
        <row r="245">
          <cell r="I245">
            <v>7547879</v>
          </cell>
          <cell r="L245">
            <v>7547879</v>
          </cell>
          <cell r="P245">
            <v>0</v>
          </cell>
          <cell r="Q245" t="str">
            <v>73102VN</v>
          </cell>
          <cell r="R245" t="str">
            <v>VNDN</v>
          </cell>
          <cell r="S245" t="str">
            <v>Education quality improvement</v>
          </cell>
        </row>
        <row r="246">
          <cell r="I246">
            <v>2032121</v>
          </cell>
          <cell r="L246">
            <v>2032121</v>
          </cell>
          <cell r="P246">
            <v>0</v>
          </cell>
          <cell r="Q246" t="str">
            <v>73102VN</v>
          </cell>
          <cell r="R246" t="str">
            <v>VNQN</v>
          </cell>
          <cell r="S246" t="str">
            <v>Education quality improvement</v>
          </cell>
        </row>
        <row r="247">
          <cell r="I247">
            <v>310068</v>
          </cell>
          <cell r="L247">
            <v>310068</v>
          </cell>
          <cell r="P247">
            <v>0</v>
          </cell>
          <cell r="Q247" t="str">
            <v>73102VN</v>
          </cell>
          <cell r="R247" t="str">
            <v>VNDN</v>
          </cell>
          <cell r="S247" t="str">
            <v>Education quality improvement</v>
          </cell>
        </row>
        <row r="248">
          <cell r="L248">
            <v>0</v>
          </cell>
          <cell r="P248">
            <v>0</v>
          </cell>
          <cell r="Q248" t="str">
            <v/>
          </cell>
          <cell r="R248" t="str">
            <v>0</v>
          </cell>
          <cell r="S248" t="str">
            <v/>
          </cell>
        </row>
        <row r="249">
          <cell r="I249">
            <v>-11000</v>
          </cell>
        </row>
        <row r="250">
          <cell r="I250">
            <v>11000</v>
          </cell>
          <cell r="L250">
            <v>11000</v>
          </cell>
          <cell r="P250">
            <v>0</v>
          </cell>
          <cell r="Q250" t="str">
            <v>73209VN</v>
          </cell>
          <cell r="R250" t="str">
            <v>VNQN2</v>
          </cell>
          <cell r="S250" t="str">
            <v xml:space="preserve">Program Operation </v>
          </cell>
        </row>
        <row r="251">
          <cell r="L251">
            <v>0</v>
          </cell>
          <cell r="P251">
            <v>0</v>
          </cell>
          <cell r="Q251" t="str">
            <v/>
          </cell>
          <cell r="R251" t="str">
            <v>0</v>
          </cell>
          <cell r="S251" t="str">
            <v/>
          </cell>
        </row>
        <row r="252">
          <cell r="I252">
            <v>-4945000</v>
          </cell>
        </row>
        <row r="253">
          <cell r="I253">
            <v>480000</v>
          </cell>
          <cell r="L253">
            <v>480000</v>
          </cell>
          <cell r="P253">
            <v>0</v>
          </cell>
          <cell r="Q253" t="str">
            <v>73103VN</v>
          </cell>
          <cell r="R253" t="str">
            <v>VNDN</v>
          </cell>
          <cell r="S253" t="str">
            <v>Education quality improvement</v>
          </cell>
        </row>
        <row r="254">
          <cell r="I254">
            <v>175000</v>
          </cell>
          <cell r="L254">
            <v>175000</v>
          </cell>
          <cell r="P254">
            <v>0</v>
          </cell>
          <cell r="Q254" t="str">
            <v>73205VN</v>
          </cell>
          <cell r="R254" t="str">
            <v>VNOther</v>
          </cell>
          <cell r="S254" t="str">
            <v xml:space="preserve">Program Operation </v>
          </cell>
        </row>
        <row r="255">
          <cell r="I255">
            <v>4290000</v>
          </cell>
          <cell r="L255">
            <v>4290000</v>
          </cell>
          <cell r="P255">
            <v>0</v>
          </cell>
          <cell r="Q255" t="str">
            <v>73205VN</v>
          </cell>
          <cell r="R255" t="str">
            <v>VNOther</v>
          </cell>
          <cell r="S255" t="str">
            <v xml:space="preserve">Program Operation </v>
          </cell>
        </row>
        <row r="256">
          <cell r="I256">
            <v>-4290000</v>
          </cell>
          <cell r="L256">
            <v>-4290000</v>
          </cell>
          <cell r="P256">
            <v>0</v>
          </cell>
          <cell r="Q256" t="str">
            <v>73205VN</v>
          </cell>
          <cell r="R256" t="str">
            <v>VNOther</v>
          </cell>
          <cell r="S256" t="str">
            <v xml:space="preserve">Program Operation </v>
          </cell>
        </row>
        <row r="257">
          <cell r="I257">
            <v>4290000</v>
          </cell>
          <cell r="L257">
            <v>4290000</v>
          </cell>
          <cell r="P257">
            <v>0</v>
          </cell>
          <cell r="Q257" t="str">
            <v>1310VN</v>
          </cell>
          <cell r="R257" t="str">
            <v>Capitalize purchasing paper shredder for Finance and H</v>
          </cell>
          <cell r="S257" t="str">
            <v/>
          </cell>
        </row>
        <row r="258">
          <cell r="L258">
            <v>0</v>
          </cell>
          <cell r="P258">
            <v>0</v>
          </cell>
          <cell r="Q258" t="str">
            <v/>
          </cell>
          <cell r="R258" t="str">
            <v>0</v>
          </cell>
          <cell r="S258" t="str">
            <v/>
          </cell>
        </row>
        <row r="259">
          <cell r="I259">
            <v>-11000</v>
          </cell>
        </row>
        <row r="260">
          <cell r="I260">
            <v>11000</v>
          </cell>
          <cell r="L260">
            <v>11000</v>
          </cell>
          <cell r="P260">
            <v>0</v>
          </cell>
          <cell r="Q260" t="str">
            <v>73209VN</v>
          </cell>
          <cell r="R260" t="str">
            <v>VNDN</v>
          </cell>
          <cell r="S260" t="str">
            <v xml:space="preserve">Program Operation </v>
          </cell>
        </row>
        <row r="261">
          <cell r="L261">
            <v>0</v>
          </cell>
          <cell r="P261">
            <v>0</v>
          </cell>
          <cell r="Q261" t="str">
            <v/>
          </cell>
          <cell r="R261" t="str">
            <v>0</v>
          </cell>
          <cell r="S261" t="str">
            <v/>
          </cell>
        </row>
        <row r="262">
          <cell r="I262">
            <v>-1012499</v>
          </cell>
        </row>
        <row r="263">
          <cell r="I263">
            <v>1012499</v>
          </cell>
          <cell r="L263">
            <v>1012499</v>
          </cell>
          <cell r="P263">
            <v>0</v>
          </cell>
          <cell r="Q263" t="str">
            <v>73208VN</v>
          </cell>
          <cell r="R263" t="str">
            <v>VNOther</v>
          </cell>
          <cell r="S263" t="str">
            <v xml:space="preserve">Program Operation </v>
          </cell>
        </row>
        <row r="264">
          <cell r="L264">
            <v>0</v>
          </cell>
          <cell r="P264">
            <v>0</v>
          </cell>
          <cell r="Q264" t="str">
            <v/>
          </cell>
          <cell r="R264" t="str">
            <v>0</v>
          </cell>
          <cell r="S264" t="str">
            <v/>
          </cell>
        </row>
        <row r="265">
          <cell r="I265">
            <v>-22000</v>
          </cell>
        </row>
        <row r="266">
          <cell r="I266">
            <v>22000</v>
          </cell>
          <cell r="L266">
            <v>22000</v>
          </cell>
          <cell r="P266">
            <v>0</v>
          </cell>
          <cell r="Q266" t="str">
            <v>73209VN</v>
          </cell>
          <cell r="R266" t="str">
            <v>VNOther</v>
          </cell>
          <cell r="S266" t="str">
            <v xml:space="preserve">Program Operation </v>
          </cell>
        </row>
        <row r="267">
          <cell r="L267">
            <v>0</v>
          </cell>
          <cell r="P267">
            <v>0</v>
          </cell>
          <cell r="Q267" t="str">
            <v/>
          </cell>
          <cell r="R267" t="str">
            <v>0</v>
          </cell>
          <cell r="S267" t="str">
            <v/>
          </cell>
        </row>
        <row r="268">
          <cell r="I268">
            <v>-20105000</v>
          </cell>
        </row>
        <row r="269">
          <cell r="I269">
            <v>20105000</v>
          </cell>
          <cell r="L269">
            <v>20105000</v>
          </cell>
          <cell r="P269">
            <v>0</v>
          </cell>
          <cell r="Q269" t="str">
            <v>1250VN</v>
          </cell>
          <cell r="R269" t="str">
            <v/>
          </cell>
          <cell r="S269" t="str">
            <v>Advance by cash</v>
          </cell>
        </row>
        <row r="270">
          <cell r="L270">
            <v>0</v>
          </cell>
          <cell r="P270">
            <v>0</v>
          </cell>
          <cell r="Q270" t="str">
            <v/>
          </cell>
          <cell r="R270" t="str">
            <v>0</v>
          </cell>
          <cell r="S270" t="str">
            <v/>
          </cell>
        </row>
        <row r="271">
          <cell r="I271">
            <v>-22000</v>
          </cell>
        </row>
        <row r="272">
          <cell r="I272">
            <v>22000</v>
          </cell>
          <cell r="L272">
            <v>22000</v>
          </cell>
          <cell r="P272">
            <v>0</v>
          </cell>
          <cell r="Q272" t="str">
            <v>73209VN</v>
          </cell>
          <cell r="R272" t="str">
            <v>VNQNTOT</v>
          </cell>
          <cell r="S272" t="str">
            <v xml:space="preserve">Program Operation </v>
          </cell>
        </row>
        <row r="273">
          <cell r="L273">
            <v>0</v>
          </cell>
          <cell r="P273">
            <v>0</v>
          </cell>
          <cell r="Q273" t="str">
            <v/>
          </cell>
          <cell r="R273" t="str">
            <v>0</v>
          </cell>
          <cell r="S273" t="str">
            <v/>
          </cell>
        </row>
        <row r="274">
          <cell r="I274">
            <v>-5800000</v>
          </cell>
        </row>
        <row r="275">
          <cell r="I275">
            <v>5800000</v>
          </cell>
          <cell r="L275">
            <v>5800000</v>
          </cell>
          <cell r="P275">
            <v>0</v>
          </cell>
          <cell r="Q275" t="str">
            <v>73205VN</v>
          </cell>
          <cell r="R275" t="str">
            <v>VNOther</v>
          </cell>
          <cell r="S275" t="str">
            <v xml:space="preserve">Program Operation </v>
          </cell>
        </row>
        <row r="276">
          <cell r="I276">
            <v>-5800000</v>
          </cell>
          <cell r="L276">
            <v>-5800000</v>
          </cell>
          <cell r="P276">
            <v>0</v>
          </cell>
          <cell r="Q276" t="str">
            <v>73205VN</v>
          </cell>
          <cell r="R276" t="str">
            <v>VNOther</v>
          </cell>
          <cell r="S276" t="str">
            <v xml:space="preserve">Program Operation </v>
          </cell>
        </row>
        <row r="277">
          <cell r="I277">
            <v>5800000</v>
          </cell>
          <cell r="L277">
            <v>5800000</v>
          </cell>
          <cell r="P277">
            <v>0</v>
          </cell>
          <cell r="Q277" t="str">
            <v>1310VN</v>
          </cell>
          <cell r="R277" t="str">
            <v>Captialized Purchasing refrigerator - Toshiba GR-RT 30</v>
          </cell>
          <cell r="S277" t="str">
            <v/>
          </cell>
        </row>
        <row r="278">
          <cell r="L278">
            <v>0</v>
          </cell>
          <cell r="P278">
            <v>0</v>
          </cell>
          <cell r="Q278" t="str">
            <v/>
          </cell>
          <cell r="R278" t="str">
            <v>0</v>
          </cell>
          <cell r="S278" t="str">
            <v/>
          </cell>
        </row>
        <row r="279">
          <cell r="I279">
            <v>-22000</v>
          </cell>
        </row>
        <row r="280">
          <cell r="I280">
            <v>22000</v>
          </cell>
          <cell r="L280">
            <v>22000</v>
          </cell>
          <cell r="P280">
            <v>0</v>
          </cell>
          <cell r="Q280" t="str">
            <v>73209VN</v>
          </cell>
          <cell r="R280" t="str">
            <v>VNOther</v>
          </cell>
          <cell r="S280" t="str">
            <v xml:space="preserve">Program Operation </v>
          </cell>
        </row>
        <row r="281">
          <cell r="L281">
            <v>0</v>
          </cell>
          <cell r="P281">
            <v>0</v>
          </cell>
          <cell r="Q281" t="str">
            <v/>
          </cell>
          <cell r="R281" t="str">
            <v>0</v>
          </cell>
          <cell r="S281" t="str">
            <v/>
          </cell>
        </row>
        <row r="282">
          <cell r="I282">
            <v>-253420</v>
          </cell>
        </row>
        <row r="283">
          <cell r="I283">
            <v>253420</v>
          </cell>
          <cell r="L283">
            <v>253420</v>
          </cell>
          <cell r="P283">
            <v>0</v>
          </cell>
          <cell r="Q283" t="str">
            <v>73203VN</v>
          </cell>
          <cell r="R283" t="str">
            <v>VNOther</v>
          </cell>
          <cell r="S283" t="str">
            <v>Education quality improvement</v>
          </cell>
        </row>
        <row r="284">
          <cell r="L284">
            <v>0</v>
          </cell>
          <cell r="P284">
            <v>0</v>
          </cell>
          <cell r="Q284" t="str">
            <v/>
          </cell>
          <cell r="R284" t="str">
            <v>0</v>
          </cell>
          <cell r="S284" t="str">
            <v/>
          </cell>
        </row>
        <row r="285">
          <cell r="I285">
            <v>-22000</v>
          </cell>
        </row>
        <row r="286">
          <cell r="I286">
            <v>22000</v>
          </cell>
          <cell r="L286">
            <v>22000</v>
          </cell>
          <cell r="P286">
            <v>0</v>
          </cell>
          <cell r="Q286" t="str">
            <v>73209VN</v>
          </cell>
          <cell r="R286" t="str">
            <v>VNOther</v>
          </cell>
          <cell r="S286" t="str">
            <v xml:space="preserve">Program Operation </v>
          </cell>
        </row>
        <row r="287">
          <cell r="L287">
            <v>0</v>
          </cell>
          <cell r="P287">
            <v>0</v>
          </cell>
          <cell r="Q287" t="str">
            <v/>
          </cell>
          <cell r="R287" t="str">
            <v>0</v>
          </cell>
          <cell r="S287" t="str">
            <v/>
          </cell>
        </row>
        <row r="288">
          <cell r="I288">
            <v>-297000</v>
          </cell>
        </row>
        <row r="289">
          <cell r="I289">
            <v>297000</v>
          </cell>
          <cell r="L289">
            <v>297000</v>
          </cell>
          <cell r="P289">
            <v>0</v>
          </cell>
          <cell r="Q289" t="str">
            <v>73205VN</v>
          </cell>
          <cell r="R289" t="str">
            <v>VNOther</v>
          </cell>
          <cell r="S289" t="str">
            <v xml:space="preserve">Program Operation </v>
          </cell>
        </row>
        <row r="290">
          <cell r="L290">
            <v>0</v>
          </cell>
          <cell r="P290">
            <v>0</v>
          </cell>
          <cell r="Q290" t="str">
            <v/>
          </cell>
          <cell r="R290" t="str">
            <v>0</v>
          </cell>
          <cell r="S290" t="str">
            <v/>
          </cell>
        </row>
        <row r="291">
          <cell r="I291">
            <v>-22000</v>
          </cell>
        </row>
        <row r="292">
          <cell r="I292">
            <v>22000</v>
          </cell>
          <cell r="L292">
            <v>22000</v>
          </cell>
          <cell r="P292">
            <v>0</v>
          </cell>
          <cell r="Q292" t="str">
            <v>73209VN</v>
          </cell>
          <cell r="R292" t="str">
            <v>VNOther</v>
          </cell>
          <cell r="S292" t="str">
            <v xml:space="preserve">Program Operation </v>
          </cell>
        </row>
        <row r="293">
          <cell r="L293">
            <v>0</v>
          </cell>
          <cell r="P293">
            <v>0</v>
          </cell>
          <cell r="Q293" t="str">
            <v/>
          </cell>
          <cell r="R293" t="str">
            <v>0</v>
          </cell>
          <cell r="S293" t="str">
            <v/>
          </cell>
        </row>
        <row r="294">
          <cell r="I294">
            <v>-960000</v>
          </cell>
        </row>
        <row r="295">
          <cell r="I295">
            <v>960000</v>
          </cell>
          <cell r="L295">
            <v>960000</v>
          </cell>
          <cell r="P295">
            <v>0</v>
          </cell>
          <cell r="Q295" t="str">
            <v>73205VN</v>
          </cell>
          <cell r="R295" t="str">
            <v>VNOther</v>
          </cell>
          <cell r="S295" t="str">
            <v xml:space="preserve">Program Operation </v>
          </cell>
        </row>
        <row r="296">
          <cell r="L296">
            <v>0</v>
          </cell>
          <cell r="P296">
            <v>0</v>
          </cell>
          <cell r="Q296" t="str">
            <v/>
          </cell>
          <cell r="R296" t="str">
            <v>0</v>
          </cell>
          <cell r="S296" t="str">
            <v/>
          </cell>
        </row>
        <row r="297">
          <cell r="I297">
            <v>-22000</v>
          </cell>
        </row>
        <row r="298">
          <cell r="I298">
            <v>22000</v>
          </cell>
          <cell r="L298">
            <v>22000</v>
          </cell>
          <cell r="P298">
            <v>0</v>
          </cell>
          <cell r="Q298" t="str">
            <v>73209VN</v>
          </cell>
          <cell r="R298" t="str">
            <v>VNOther</v>
          </cell>
          <cell r="S298" t="str">
            <v xml:space="preserve">Program Operation </v>
          </cell>
        </row>
        <row r="299">
          <cell r="L299">
            <v>0</v>
          </cell>
          <cell r="P299">
            <v>0</v>
          </cell>
          <cell r="Q299" t="str">
            <v/>
          </cell>
          <cell r="R299" t="str">
            <v>0</v>
          </cell>
          <cell r="S299" t="str">
            <v/>
          </cell>
        </row>
        <row r="300">
          <cell r="I300">
            <v>-1296000</v>
          </cell>
        </row>
        <row r="301">
          <cell r="I301">
            <v>1296000</v>
          </cell>
          <cell r="L301">
            <v>1296000</v>
          </cell>
          <cell r="P301">
            <v>0</v>
          </cell>
          <cell r="Q301" t="str">
            <v>73205VN</v>
          </cell>
          <cell r="R301" t="str">
            <v>VNOther</v>
          </cell>
          <cell r="S301" t="str">
            <v xml:space="preserve">Program Operation </v>
          </cell>
        </row>
        <row r="302">
          <cell r="L302">
            <v>0</v>
          </cell>
          <cell r="P302">
            <v>0</v>
          </cell>
          <cell r="Q302" t="str">
            <v/>
          </cell>
          <cell r="R302" t="str">
            <v>0</v>
          </cell>
          <cell r="S302" t="str">
            <v/>
          </cell>
        </row>
        <row r="303">
          <cell r="I303">
            <v>-22000</v>
          </cell>
        </row>
        <row r="304">
          <cell r="I304">
            <v>22000</v>
          </cell>
          <cell r="L304">
            <v>22000</v>
          </cell>
          <cell r="P304">
            <v>0</v>
          </cell>
          <cell r="Q304" t="str">
            <v>73209VN</v>
          </cell>
          <cell r="R304" t="str">
            <v>VNOther</v>
          </cell>
          <cell r="S304" t="str">
            <v xml:space="preserve">Program Operation </v>
          </cell>
        </row>
        <row r="305">
          <cell r="L305">
            <v>0</v>
          </cell>
          <cell r="P305">
            <v>0</v>
          </cell>
          <cell r="Q305" t="str">
            <v/>
          </cell>
          <cell r="R305" t="str">
            <v>0</v>
          </cell>
          <cell r="S305" t="str">
            <v/>
          </cell>
        </row>
        <row r="306">
          <cell r="I306">
            <v>-622500</v>
          </cell>
        </row>
        <row r="307">
          <cell r="I307">
            <v>622500</v>
          </cell>
          <cell r="L307">
            <v>622500</v>
          </cell>
          <cell r="P307">
            <v>0</v>
          </cell>
          <cell r="Q307" t="str">
            <v>73208VN</v>
          </cell>
          <cell r="R307" t="str">
            <v>VNMOET7</v>
          </cell>
          <cell r="S307" t="str">
            <v xml:space="preserve">Program Operation </v>
          </cell>
        </row>
        <row r="308">
          <cell r="L308">
            <v>0</v>
          </cell>
          <cell r="P308">
            <v>0</v>
          </cell>
          <cell r="Q308" t="str">
            <v/>
          </cell>
          <cell r="R308" t="str">
            <v>0</v>
          </cell>
          <cell r="S308" t="str">
            <v/>
          </cell>
        </row>
        <row r="309">
          <cell r="I309">
            <v>-11000</v>
          </cell>
        </row>
        <row r="310">
          <cell r="I310">
            <v>11000</v>
          </cell>
          <cell r="L310">
            <v>11000</v>
          </cell>
          <cell r="P310">
            <v>0</v>
          </cell>
          <cell r="Q310" t="str">
            <v>73209VN</v>
          </cell>
          <cell r="R310" t="str">
            <v>VNMOET</v>
          </cell>
          <cell r="S310" t="str">
            <v xml:space="preserve">Program Operation </v>
          </cell>
        </row>
        <row r="311">
          <cell r="L311">
            <v>0</v>
          </cell>
          <cell r="P311">
            <v>0</v>
          </cell>
          <cell r="Q311" t="str">
            <v/>
          </cell>
          <cell r="R311" t="str">
            <v>0</v>
          </cell>
          <cell r="S311" t="str">
            <v/>
          </cell>
        </row>
        <row r="312">
          <cell r="I312">
            <v>-6011880</v>
          </cell>
        </row>
        <row r="313">
          <cell r="I313">
            <v>5100000</v>
          </cell>
          <cell r="L313">
            <v>5100000</v>
          </cell>
          <cell r="P313">
            <v>0</v>
          </cell>
          <cell r="Q313" t="str">
            <v>73205VN</v>
          </cell>
          <cell r="R313" t="str">
            <v>VNOther</v>
          </cell>
          <cell r="S313" t="str">
            <v xml:space="preserve">Program Operation </v>
          </cell>
        </row>
        <row r="314">
          <cell r="I314">
            <v>911880</v>
          </cell>
          <cell r="L314">
            <v>911880</v>
          </cell>
          <cell r="P314">
            <v>0</v>
          </cell>
          <cell r="Q314" t="str">
            <v>73205VN</v>
          </cell>
          <cell r="R314" t="str">
            <v>VNOther</v>
          </cell>
          <cell r="S314" t="str">
            <v xml:space="preserve">Program Operation </v>
          </cell>
        </row>
        <row r="315">
          <cell r="L315">
            <v>0</v>
          </cell>
          <cell r="P315">
            <v>0</v>
          </cell>
          <cell r="Q315" t="str">
            <v/>
          </cell>
          <cell r="R315" t="str">
            <v>0</v>
          </cell>
          <cell r="S315" t="str">
            <v/>
          </cell>
        </row>
        <row r="316">
          <cell r="I316">
            <v>-11000</v>
          </cell>
        </row>
        <row r="317">
          <cell r="I317">
            <v>11000</v>
          </cell>
          <cell r="L317">
            <v>11000</v>
          </cell>
          <cell r="P317">
            <v>0</v>
          </cell>
          <cell r="Q317" t="str">
            <v>73209VN</v>
          </cell>
          <cell r="R317" t="str">
            <v>VNOther</v>
          </cell>
          <cell r="S317" t="str">
            <v xml:space="preserve">Program Operation </v>
          </cell>
        </row>
        <row r="318">
          <cell r="L318">
            <v>0</v>
          </cell>
          <cell r="P318">
            <v>0</v>
          </cell>
          <cell r="Q318" t="str">
            <v/>
          </cell>
          <cell r="R318" t="str">
            <v>0</v>
          </cell>
          <cell r="S318" t="str">
            <v/>
          </cell>
        </row>
        <row r="319">
          <cell r="I319">
            <v>-810000</v>
          </cell>
        </row>
        <row r="320">
          <cell r="I320">
            <v>810000</v>
          </cell>
          <cell r="L320">
            <v>810000</v>
          </cell>
          <cell r="P320">
            <v>0</v>
          </cell>
          <cell r="Q320" t="str">
            <v>73205VN</v>
          </cell>
          <cell r="R320" t="str">
            <v>VNOther</v>
          </cell>
          <cell r="S320" t="str">
            <v xml:space="preserve">Program Operation </v>
          </cell>
        </row>
        <row r="321">
          <cell r="L321">
            <v>0</v>
          </cell>
          <cell r="P321">
            <v>0</v>
          </cell>
          <cell r="Q321" t="str">
            <v/>
          </cell>
          <cell r="R321" t="str">
            <v>0</v>
          </cell>
          <cell r="S321" t="str">
            <v/>
          </cell>
        </row>
        <row r="322">
          <cell r="I322">
            <v>-11000</v>
          </cell>
        </row>
        <row r="323">
          <cell r="I323">
            <v>11000</v>
          </cell>
          <cell r="L323">
            <v>11000</v>
          </cell>
          <cell r="P323">
            <v>0</v>
          </cell>
          <cell r="Q323" t="str">
            <v>73209VN</v>
          </cell>
          <cell r="R323" t="str">
            <v>VNOther</v>
          </cell>
          <cell r="S323" t="str">
            <v xml:space="preserve">Program Operation </v>
          </cell>
        </row>
        <row r="324">
          <cell r="L324">
            <v>0</v>
          </cell>
          <cell r="P324">
            <v>0</v>
          </cell>
          <cell r="Q324" t="str">
            <v/>
          </cell>
          <cell r="R324" t="str">
            <v>0</v>
          </cell>
          <cell r="S324" t="str">
            <v/>
          </cell>
        </row>
        <row r="325">
          <cell r="I325">
            <v>-690000</v>
          </cell>
        </row>
        <row r="326">
          <cell r="I326">
            <v>690000</v>
          </cell>
          <cell r="L326">
            <v>690000</v>
          </cell>
          <cell r="P326">
            <v>0</v>
          </cell>
          <cell r="Q326" t="str">
            <v>73205VN</v>
          </cell>
          <cell r="R326" t="str">
            <v>VNOther</v>
          </cell>
          <cell r="S326" t="str">
            <v xml:space="preserve">Program Operation </v>
          </cell>
        </row>
        <row r="327">
          <cell r="L327">
            <v>0</v>
          </cell>
          <cell r="P327">
            <v>0</v>
          </cell>
          <cell r="Q327" t="str">
            <v/>
          </cell>
          <cell r="R327" t="str">
            <v>0</v>
          </cell>
          <cell r="S327" t="str">
            <v/>
          </cell>
        </row>
        <row r="328">
          <cell r="I328">
            <v>-11000</v>
          </cell>
        </row>
        <row r="329">
          <cell r="I329">
            <v>11000</v>
          </cell>
          <cell r="L329">
            <v>11000</v>
          </cell>
          <cell r="P329">
            <v>0</v>
          </cell>
          <cell r="Q329" t="str">
            <v>73209VN</v>
          </cell>
          <cell r="R329" t="str">
            <v>VNOther</v>
          </cell>
          <cell r="S329" t="str">
            <v xml:space="preserve">Program Operation </v>
          </cell>
        </row>
        <row r="330">
          <cell r="L330">
            <v>0</v>
          </cell>
          <cell r="P330">
            <v>0</v>
          </cell>
          <cell r="Q330" t="str">
            <v/>
          </cell>
          <cell r="R330" t="str">
            <v>0</v>
          </cell>
          <cell r="S330" t="str">
            <v/>
          </cell>
        </row>
        <row r="331">
          <cell r="I331">
            <v>-402701</v>
          </cell>
        </row>
        <row r="332">
          <cell r="I332">
            <v>402701</v>
          </cell>
          <cell r="L332">
            <v>402701</v>
          </cell>
          <cell r="P332">
            <v>0</v>
          </cell>
          <cell r="Q332" t="str">
            <v>73205VN</v>
          </cell>
          <cell r="R332" t="str">
            <v>VNOther</v>
          </cell>
          <cell r="S332" t="str">
            <v xml:space="preserve">Program Operation </v>
          </cell>
        </row>
        <row r="333">
          <cell r="L333">
            <v>0</v>
          </cell>
          <cell r="P333">
            <v>0</v>
          </cell>
          <cell r="Q333" t="str">
            <v/>
          </cell>
          <cell r="R333" t="str">
            <v>0</v>
          </cell>
          <cell r="S333" t="str">
            <v/>
          </cell>
        </row>
        <row r="334">
          <cell r="I334">
            <v>-22000</v>
          </cell>
        </row>
        <row r="335">
          <cell r="I335">
            <v>22000</v>
          </cell>
          <cell r="L335">
            <v>22000</v>
          </cell>
          <cell r="P335">
            <v>0</v>
          </cell>
          <cell r="Q335" t="str">
            <v>73209VN</v>
          </cell>
          <cell r="R335" t="str">
            <v>VNOther</v>
          </cell>
          <cell r="S335" t="str">
            <v xml:space="preserve">Program Operation </v>
          </cell>
        </row>
        <row r="336">
          <cell r="L336">
            <v>0</v>
          </cell>
          <cell r="P336">
            <v>0</v>
          </cell>
          <cell r="Q336" t="str">
            <v/>
          </cell>
          <cell r="R336" t="str">
            <v>0</v>
          </cell>
          <cell r="S336" t="str">
            <v/>
          </cell>
        </row>
        <row r="337">
          <cell r="I337">
            <v>-257600</v>
          </cell>
        </row>
        <row r="338">
          <cell r="I338">
            <v>257600</v>
          </cell>
          <cell r="L338">
            <v>257600</v>
          </cell>
          <cell r="P338">
            <v>0</v>
          </cell>
          <cell r="Q338" t="str">
            <v>73205VN</v>
          </cell>
          <cell r="R338" t="str">
            <v>VNDN</v>
          </cell>
          <cell r="S338" t="str">
            <v xml:space="preserve">Program Operation </v>
          </cell>
        </row>
        <row r="339">
          <cell r="L339">
            <v>0</v>
          </cell>
          <cell r="P339">
            <v>0</v>
          </cell>
          <cell r="Q339" t="str">
            <v/>
          </cell>
          <cell r="R339" t="str">
            <v>0</v>
          </cell>
          <cell r="S339" t="str">
            <v/>
          </cell>
        </row>
        <row r="340">
          <cell r="I340">
            <v>-22000</v>
          </cell>
        </row>
        <row r="341">
          <cell r="I341">
            <v>22000</v>
          </cell>
          <cell r="L341">
            <v>22000</v>
          </cell>
          <cell r="P341">
            <v>0</v>
          </cell>
          <cell r="Q341" t="str">
            <v>73209VN</v>
          </cell>
          <cell r="R341" t="str">
            <v>VNDN</v>
          </cell>
          <cell r="S341" t="str">
            <v xml:space="preserve">Program Operation </v>
          </cell>
        </row>
        <row r="342">
          <cell r="L342">
            <v>0</v>
          </cell>
          <cell r="P342">
            <v>0</v>
          </cell>
          <cell r="Q342" t="str">
            <v/>
          </cell>
          <cell r="R342" t="str">
            <v>0</v>
          </cell>
          <cell r="S342" t="str">
            <v/>
          </cell>
        </row>
        <row r="343">
          <cell r="I343">
            <v>-135542771</v>
          </cell>
        </row>
        <row r="344">
          <cell r="I344">
            <v>-135542771</v>
          </cell>
          <cell r="L344">
            <v>-135542771</v>
          </cell>
          <cell r="P344">
            <v>0</v>
          </cell>
          <cell r="Q344" t="str">
            <v>1500VN</v>
          </cell>
          <cell r="R344" t="str">
            <v/>
          </cell>
          <cell r="S344" t="str">
            <v>mannual input</v>
          </cell>
        </row>
        <row r="345">
          <cell r="L345">
            <v>0</v>
          </cell>
          <cell r="P345">
            <v>0</v>
          </cell>
          <cell r="Q345" t="str">
            <v/>
          </cell>
          <cell r="R345" t="str">
            <v>0</v>
          </cell>
          <cell r="S345" t="str">
            <v/>
          </cell>
        </row>
        <row r="346">
          <cell r="I346">
            <v>-34015328</v>
          </cell>
        </row>
        <row r="347">
          <cell r="I347">
            <v>-34015328</v>
          </cell>
          <cell r="L347">
            <v>-34015328</v>
          </cell>
          <cell r="P347">
            <v>0</v>
          </cell>
          <cell r="Q347" t="str">
            <v>1500VN</v>
          </cell>
          <cell r="R347" t="str">
            <v/>
          </cell>
          <cell r="S347" t="str">
            <v>Organisational capacity building</v>
          </cell>
        </row>
        <row r="348">
          <cell r="L348">
            <v>0</v>
          </cell>
          <cell r="P348">
            <v>0</v>
          </cell>
          <cell r="Q348" t="str">
            <v/>
          </cell>
          <cell r="R348" t="str">
            <v>0</v>
          </cell>
          <cell r="S348" t="str">
            <v/>
          </cell>
        </row>
        <row r="349">
          <cell r="I349">
            <v>-4400</v>
          </cell>
        </row>
        <row r="350">
          <cell r="I350">
            <v>4400</v>
          </cell>
          <cell r="L350">
            <v>4400</v>
          </cell>
          <cell r="P350">
            <v>0</v>
          </cell>
          <cell r="Q350" t="str">
            <v>73209VN</v>
          </cell>
          <cell r="R350" t="str">
            <v>VNQN</v>
          </cell>
          <cell r="S350" t="str">
            <v xml:space="preserve">Program Operation </v>
          </cell>
        </row>
        <row r="351">
          <cell r="L351">
            <v>0</v>
          </cell>
          <cell r="P351">
            <v>0</v>
          </cell>
          <cell r="Q351" t="str">
            <v/>
          </cell>
          <cell r="R351" t="str">
            <v>0</v>
          </cell>
          <cell r="S351" t="str">
            <v/>
          </cell>
        </row>
        <row r="352">
          <cell r="I352">
            <v>-34495941</v>
          </cell>
        </row>
        <row r="353">
          <cell r="I353">
            <v>-34495941</v>
          </cell>
          <cell r="L353">
            <v>-34495941</v>
          </cell>
          <cell r="P353">
            <v>0</v>
          </cell>
          <cell r="Q353" t="str">
            <v>1500VN</v>
          </cell>
          <cell r="R353" t="str">
            <v/>
          </cell>
          <cell r="S353" t="str">
            <v>Organisational capacity building</v>
          </cell>
        </row>
        <row r="354">
          <cell r="L354">
            <v>0</v>
          </cell>
          <cell r="P354">
            <v>0</v>
          </cell>
          <cell r="Q354" t="str">
            <v/>
          </cell>
          <cell r="R354" t="str">
            <v>0</v>
          </cell>
          <cell r="S354" t="str">
            <v/>
          </cell>
        </row>
        <row r="355">
          <cell r="I355">
            <v>-4400</v>
          </cell>
        </row>
        <row r="356">
          <cell r="I356">
            <v>4400</v>
          </cell>
          <cell r="L356">
            <v>4400</v>
          </cell>
          <cell r="P356">
            <v>0</v>
          </cell>
          <cell r="Q356" t="str">
            <v>73209VN</v>
          </cell>
          <cell r="R356" t="str">
            <v>VNDN</v>
          </cell>
          <cell r="S356" t="str">
            <v xml:space="preserve">Program Operation </v>
          </cell>
        </row>
        <row r="357">
          <cell r="L357">
            <v>0</v>
          </cell>
          <cell r="P357">
            <v>0</v>
          </cell>
          <cell r="Q357" t="str">
            <v/>
          </cell>
          <cell r="R357" t="str">
            <v>0</v>
          </cell>
          <cell r="S357" t="str">
            <v/>
          </cell>
        </row>
        <row r="358">
          <cell r="I358">
            <v>-35222457</v>
          </cell>
        </row>
        <row r="359">
          <cell r="I359">
            <v>-35222457</v>
          </cell>
          <cell r="L359">
            <v>-35222457</v>
          </cell>
          <cell r="P359">
            <v>0</v>
          </cell>
          <cell r="Q359" t="str">
            <v>1500VN</v>
          </cell>
          <cell r="R359" t="str">
            <v/>
          </cell>
          <cell r="S359" t="str">
            <v>Organisational capacity building</v>
          </cell>
        </row>
        <row r="360">
          <cell r="L360">
            <v>0</v>
          </cell>
          <cell r="P360">
            <v>0</v>
          </cell>
          <cell r="Q360" t="str">
            <v/>
          </cell>
          <cell r="R360" t="str">
            <v>0</v>
          </cell>
          <cell r="S360" t="str">
            <v/>
          </cell>
        </row>
        <row r="361">
          <cell r="I361">
            <v>-4400</v>
          </cell>
        </row>
        <row r="362">
          <cell r="I362">
            <v>4400</v>
          </cell>
          <cell r="L362">
            <v>4400</v>
          </cell>
          <cell r="P362">
            <v>0</v>
          </cell>
          <cell r="Q362" t="str">
            <v>73209VN</v>
          </cell>
          <cell r="R362" t="str">
            <v>VNQN</v>
          </cell>
          <cell r="S362" t="str">
            <v xml:space="preserve">Program Operation </v>
          </cell>
        </row>
        <row r="363">
          <cell r="L363">
            <v>0</v>
          </cell>
          <cell r="P363">
            <v>0</v>
          </cell>
          <cell r="Q363" t="str">
            <v/>
          </cell>
          <cell r="R363" t="str">
            <v>0</v>
          </cell>
          <cell r="S363" t="str">
            <v/>
          </cell>
        </row>
        <row r="364">
          <cell r="I364">
            <v>-34363735</v>
          </cell>
        </row>
        <row r="365">
          <cell r="I365">
            <v>-34363735</v>
          </cell>
          <cell r="L365">
            <v>-34363735</v>
          </cell>
          <cell r="P365">
            <v>0</v>
          </cell>
          <cell r="Q365" t="str">
            <v>1500VN</v>
          </cell>
          <cell r="R365" t="str">
            <v/>
          </cell>
          <cell r="S365" t="str">
            <v>Organisational capacity building</v>
          </cell>
        </row>
        <row r="366">
          <cell r="L366">
            <v>0</v>
          </cell>
          <cell r="P366">
            <v>0</v>
          </cell>
          <cell r="Q366" t="str">
            <v/>
          </cell>
          <cell r="R366" t="str">
            <v>0</v>
          </cell>
          <cell r="S366" t="str">
            <v/>
          </cell>
        </row>
        <row r="367">
          <cell r="I367">
            <v>-4400</v>
          </cell>
        </row>
        <row r="368">
          <cell r="I368">
            <v>4400</v>
          </cell>
          <cell r="L368">
            <v>4400</v>
          </cell>
          <cell r="P368">
            <v>0</v>
          </cell>
          <cell r="Q368" t="str">
            <v>73209VN</v>
          </cell>
          <cell r="R368" t="str">
            <v>VNDN</v>
          </cell>
          <cell r="S368" t="str">
            <v xml:space="preserve">Program Operation </v>
          </cell>
        </row>
        <row r="369">
          <cell r="L369">
            <v>0</v>
          </cell>
          <cell r="P369">
            <v>0</v>
          </cell>
          <cell r="Q369" t="str">
            <v/>
          </cell>
          <cell r="R369" t="str">
            <v>0</v>
          </cell>
          <cell r="S369" t="str">
            <v/>
          </cell>
        </row>
        <row r="370">
          <cell r="I370">
            <v>-34009634</v>
          </cell>
        </row>
        <row r="371">
          <cell r="I371">
            <v>-34009634</v>
          </cell>
          <cell r="L371">
            <v>-34009634</v>
          </cell>
          <cell r="P371">
            <v>0</v>
          </cell>
          <cell r="Q371" t="str">
            <v>1500VN</v>
          </cell>
          <cell r="R371" t="str">
            <v/>
          </cell>
          <cell r="S371" t="str">
            <v>Organisational capacity building</v>
          </cell>
        </row>
        <row r="372">
          <cell r="L372">
            <v>0</v>
          </cell>
          <cell r="P372">
            <v>0</v>
          </cell>
          <cell r="Q372" t="str">
            <v/>
          </cell>
          <cell r="R372" t="str">
            <v>0</v>
          </cell>
          <cell r="S372" t="str">
            <v/>
          </cell>
        </row>
        <row r="373">
          <cell r="I373">
            <v>-4400</v>
          </cell>
        </row>
        <row r="374">
          <cell r="I374">
            <v>4400</v>
          </cell>
          <cell r="L374">
            <v>4400</v>
          </cell>
          <cell r="P374">
            <v>0</v>
          </cell>
          <cell r="Q374" t="str">
            <v>73209VN</v>
          </cell>
          <cell r="R374" t="str">
            <v>VNDN</v>
          </cell>
          <cell r="S374" t="str">
            <v xml:space="preserve">Program Operation </v>
          </cell>
        </row>
        <row r="375">
          <cell r="L375">
            <v>0</v>
          </cell>
          <cell r="P375">
            <v>0</v>
          </cell>
          <cell r="Q375" t="str">
            <v/>
          </cell>
          <cell r="R375" t="str">
            <v>0</v>
          </cell>
          <cell r="S375" t="str">
            <v/>
          </cell>
        </row>
        <row r="376">
          <cell r="I376">
            <v>-34497956</v>
          </cell>
        </row>
        <row r="377">
          <cell r="I377">
            <v>-34497956</v>
          </cell>
          <cell r="L377">
            <v>-34497956</v>
          </cell>
          <cell r="P377">
            <v>0</v>
          </cell>
          <cell r="Q377" t="str">
            <v>1500VN</v>
          </cell>
          <cell r="R377" t="str">
            <v/>
          </cell>
          <cell r="S377" t="str">
            <v>Organisational capacity building</v>
          </cell>
        </row>
        <row r="378">
          <cell r="L378">
            <v>0</v>
          </cell>
          <cell r="P378">
            <v>0</v>
          </cell>
          <cell r="Q378" t="str">
            <v/>
          </cell>
          <cell r="R378" t="str">
            <v>0</v>
          </cell>
          <cell r="S378" t="str">
            <v/>
          </cell>
        </row>
        <row r="379">
          <cell r="I379">
            <v>-4400</v>
          </cell>
        </row>
        <row r="380">
          <cell r="I380">
            <v>4400</v>
          </cell>
          <cell r="L380">
            <v>4400</v>
          </cell>
          <cell r="P380">
            <v>0</v>
          </cell>
          <cell r="Q380" t="str">
            <v>73209VN</v>
          </cell>
          <cell r="R380" t="str">
            <v>VNQN</v>
          </cell>
          <cell r="S380" t="str">
            <v xml:space="preserve">Program Operation </v>
          </cell>
        </row>
        <row r="381">
          <cell r="L381">
            <v>0</v>
          </cell>
          <cell r="P381">
            <v>0</v>
          </cell>
          <cell r="Q381" t="str">
            <v/>
          </cell>
          <cell r="R381" t="str">
            <v>0</v>
          </cell>
          <cell r="S381" t="str">
            <v/>
          </cell>
        </row>
        <row r="382">
          <cell r="I382">
            <v>-34476523</v>
          </cell>
        </row>
        <row r="383">
          <cell r="I383">
            <v>-34476523</v>
          </cell>
          <cell r="L383">
            <v>-34476523</v>
          </cell>
          <cell r="P383">
            <v>0</v>
          </cell>
          <cell r="Q383" t="str">
            <v>1500VN</v>
          </cell>
          <cell r="R383" t="str">
            <v/>
          </cell>
          <cell r="S383" t="str">
            <v>Organisational capacity building</v>
          </cell>
        </row>
        <row r="384">
          <cell r="L384">
            <v>0</v>
          </cell>
          <cell r="P384">
            <v>0</v>
          </cell>
          <cell r="Q384" t="str">
            <v/>
          </cell>
          <cell r="R384" t="str">
            <v>0</v>
          </cell>
          <cell r="S384" t="str">
            <v/>
          </cell>
        </row>
        <row r="385">
          <cell r="I385">
            <v>-4400</v>
          </cell>
        </row>
        <row r="386">
          <cell r="I386">
            <v>4400</v>
          </cell>
          <cell r="L386">
            <v>4400</v>
          </cell>
          <cell r="P386">
            <v>0</v>
          </cell>
          <cell r="Q386" t="str">
            <v>73209VN</v>
          </cell>
          <cell r="R386" t="str">
            <v>VNQN</v>
          </cell>
          <cell r="S386" t="str">
            <v xml:space="preserve">Program Operation </v>
          </cell>
        </row>
        <row r="387">
          <cell r="L387">
            <v>0</v>
          </cell>
          <cell r="P387">
            <v>0</v>
          </cell>
          <cell r="Q387" t="str">
            <v/>
          </cell>
          <cell r="R387" t="str">
            <v>0</v>
          </cell>
          <cell r="S387" t="str">
            <v/>
          </cell>
        </row>
        <row r="388">
          <cell r="I388">
            <v>-33918426</v>
          </cell>
        </row>
        <row r="389">
          <cell r="I389">
            <v>-33918426</v>
          </cell>
          <cell r="L389">
            <v>-33918426</v>
          </cell>
          <cell r="P389">
            <v>0</v>
          </cell>
          <cell r="Q389" t="str">
            <v>1500VN</v>
          </cell>
          <cell r="R389" t="str">
            <v/>
          </cell>
          <cell r="S389" t="str">
            <v>Organisational capacity building</v>
          </cell>
        </row>
        <row r="390">
          <cell r="L390">
            <v>0</v>
          </cell>
          <cell r="P390">
            <v>0</v>
          </cell>
          <cell r="Q390" t="str">
            <v/>
          </cell>
          <cell r="R390" t="str">
            <v>0</v>
          </cell>
          <cell r="S390" t="str">
            <v/>
          </cell>
        </row>
        <row r="391">
          <cell r="I391">
            <v>-4400</v>
          </cell>
        </row>
        <row r="392">
          <cell r="I392">
            <v>4400</v>
          </cell>
          <cell r="L392">
            <v>4400</v>
          </cell>
          <cell r="P392">
            <v>0</v>
          </cell>
          <cell r="Q392" t="str">
            <v>73209VN</v>
          </cell>
          <cell r="R392" t="str">
            <v>VNDN</v>
          </cell>
          <cell r="S392" t="str">
            <v xml:space="preserve">Program Operation </v>
          </cell>
        </row>
        <row r="393">
          <cell r="L393">
            <v>0</v>
          </cell>
          <cell r="P393">
            <v>0</v>
          </cell>
          <cell r="Q393" t="str">
            <v/>
          </cell>
          <cell r="R393" t="str">
            <v>0</v>
          </cell>
          <cell r="S393" t="str">
            <v/>
          </cell>
        </row>
        <row r="394">
          <cell r="I394">
            <v>-22000</v>
          </cell>
        </row>
        <row r="395">
          <cell r="I395">
            <v>22000</v>
          </cell>
          <cell r="L395">
            <v>22000</v>
          </cell>
          <cell r="P395">
            <v>0</v>
          </cell>
          <cell r="Q395" t="str">
            <v>73209VN</v>
          </cell>
          <cell r="R395" t="str">
            <v>VNOther</v>
          </cell>
          <cell r="S395" t="str">
            <v xml:space="preserve">Program Operation </v>
          </cell>
        </row>
        <row r="396">
          <cell r="L396">
            <v>0</v>
          </cell>
          <cell r="P396">
            <v>0</v>
          </cell>
          <cell r="Q396" t="str">
            <v/>
          </cell>
          <cell r="R396" t="str">
            <v>0</v>
          </cell>
          <cell r="S396" t="str">
            <v/>
          </cell>
        </row>
        <row r="397">
          <cell r="I397">
            <v>219973</v>
          </cell>
        </row>
        <row r="398">
          <cell r="I398">
            <v>219973</v>
          </cell>
          <cell r="L398">
            <v>219973</v>
          </cell>
          <cell r="P398">
            <v>0</v>
          </cell>
          <cell r="Q398" t="str">
            <v>3100VN</v>
          </cell>
          <cell r="R398" t="e">
            <v>#VALUE!</v>
          </cell>
          <cell r="S398" t="str">
            <v/>
          </cell>
        </row>
        <row r="399">
          <cell r="L399">
            <v>0</v>
          </cell>
          <cell r="P399">
            <v>0</v>
          </cell>
          <cell r="Q399" t="str">
            <v/>
          </cell>
          <cell r="R399" t="str">
            <v>0</v>
          </cell>
          <cell r="S399" t="str">
            <v/>
          </cell>
        </row>
        <row r="400">
          <cell r="I400">
            <v>318150</v>
          </cell>
        </row>
        <row r="401">
          <cell r="I401">
            <v>-318150</v>
          </cell>
          <cell r="L401">
            <v>-318150</v>
          </cell>
          <cell r="P401">
            <v>0</v>
          </cell>
          <cell r="Q401" t="str">
            <v>1230VN</v>
          </cell>
          <cell r="R401" t="str">
            <v>vndn</v>
          </cell>
          <cell r="S401" t="str">
            <v>settlement</v>
          </cell>
        </row>
        <row r="402">
          <cell r="L402">
            <v>0</v>
          </cell>
          <cell r="P402">
            <v>0</v>
          </cell>
          <cell r="Q402" t="str">
            <v/>
          </cell>
          <cell r="R402" t="str">
            <v>0</v>
          </cell>
          <cell r="S402" t="str">
            <v/>
          </cell>
        </row>
        <row r="403">
          <cell r="I403">
            <v>-20400433</v>
          </cell>
        </row>
        <row r="404">
          <cell r="I404">
            <v>-73024000</v>
          </cell>
          <cell r="L404">
            <v>-73024000</v>
          </cell>
          <cell r="P404">
            <v>0</v>
          </cell>
          <cell r="Q404" t="str">
            <v>1250VN</v>
          </cell>
          <cell r="R404" t="str">
            <v>VNM</v>
          </cell>
          <cell r="S404" t="str">
            <v>Advance by cash</v>
          </cell>
        </row>
        <row r="405">
          <cell r="I405">
            <v>94974433</v>
          </cell>
          <cell r="L405">
            <v>94974433</v>
          </cell>
          <cell r="P405">
            <v>0</v>
          </cell>
          <cell r="Q405" t="str">
            <v>1252VN</v>
          </cell>
          <cell r="R405" t="str">
            <v>VNM</v>
          </cell>
          <cell r="S405" t="str">
            <v>Advance by cash</v>
          </cell>
        </row>
        <row r="406">
          <cell r="I406">
            <v>400000</v>
          </cell>
          <cell r="L406">
            <v>400000</v>
          </cell>
          <cell r="P406">
            <v>0</v>
          </cell>
          <cell r="Q406" t="str">
            <v>1500VN</v>
          </cell>
          <cell r="R406" t="str">
            <v>VNM</v>
          </cell>
          <cell r="S406" t="str">
            <v>mannual input</v>
          </cell>
        </row>
        <row r="407">
          <cell r="I407">
            <v>350000</v>
          </cell>
          <cell r="L407">
            <v>350000</v>
          </cell>
          <cell r="P407">
            <v>0</v>
          </cell>
          <cell r="Q407" t="str">
            <v>1500VN</v>
          </cell>
          <cell r="R407" t="str">
            <v>VNM</v>
          </cell>
          <cell r="S407" t="str">
            <v>mannual input</v>
          </cell>
        </row>
        <row r="408">
          <cell r="I408">
            <v>400000</v>
          </cell>
          <cell r="L408">
            <v>400000</v>
          </cell>
          <cell r="P408">
            <v>0</v>
          </cell>
          <cell r="Q408" t="str">
            <v>1500VN</v>
          </cell>
          <cell r="R408" t="str">
            <v>VNM</v>
          </cell>
          <cell r="S408" t="str">
            <v>mannual input</v>
          </cell>
        </row>
        <row r="409">
          <cell r="I409">
            <v>400000</v>
          </cell>
          <cell r="L409">
            <v>400000</v>
          </cell>
          <cell r="P409">
            <v>0</v>
          </cell>
          <cell r="Q409" t="str">
            <v>1500VN</v>
          </cell>
          <cell r="R409" t="str">
            <v>VNM</v>
          </cell>
          <cell r="S409" t="str">
            <v>mannual input</v>
          </cell>
        </row>
        <row r="410">
          <cell r="L410">
            <v>0</v>
          </cell>
          <cell r="P410">
            <v>0</v>
          </cell>
          <cell r="Q410" t="str">
            <v/>
          </cell>
          <cell r="R410" t="str">
            <v>0</v>
          </cell>
          <cell r="S410" t="str">
            <v/>
          </cell>
        </row>
        <row r="411">
          <cell r="I411">
            <v>-11000</v>
          </cell>
        </row>
        <row r="412">
          <cell r="I412">
            <v>11000</v>
          </cell>
          <cell r="L412">
            <v>11000</v>
          </cell>
          <cell r="P412">
            <v>0</v>
          </cell>
          <cell r="Q412" t="str">
            <v>73209VN</v>
          </cell>
          <cell r="R412" t="str">
            <v>VNMOET</v>
          </cell>
          <cell r="S412" t="str">
            <v xml:space="preserve">Program Operation </v>
          </cell>
        </row>
        <row r="413">
          <cell r="L413">
            <v>0</v>
          </cell>
          <cell r="P413">
            <v>0</v>
          </cell>
          <cell r="Q413" t="str">
            <v/>
          </cell>
          <cell r="R413" t="str">
            <v>0</v>
          </cell>
          <cell r="S413" t="str">
            <v/>
          </cell>
        </row>
        <row r="414">
          <cell r="I414">
            <v>-52000</v>
          </cell>
        </row>
        <row r="415">
          <cell r="I415">
            <v>52000</v>
          </cell>
          <cell r="L415">
            <v>52000</v>
          </cell>
          <cell r="P415">
            <v>0</v>
          </cell>
          <cell r="Q415" t="str">
            <v>72102VN</v>
          </cell>
          <cell r="R415" t="str">
            <v>VNDN</v>
          </cell>
          <cell r="S415" t="str">
            <v>Education quality improvement</v>
          </cell>
        </row>
        <row r="416">
          <cell r="L416">
            <v>0</v>
          </cell>
          <cell r="P416">
            <v>0</v>
          </cell>
          <cell r="Q416" t="str">
            <v/>
          </cell>
          <cell r="R416" t="str">
            <v>0</v>
          </cell>
          <cell r="S416" t="str">
            <v/>
          </cell>
        </row>
        <row r="417">
          <cell r="I417">
            <v>-4032000</v>
          </cell>
        </row>
        <row r="418">
          <cell r="I418">
            <v>4032000</v>
          </cell>
          <cell r="L418">
            <v>4032000</v>
          </cell>
          <cell r="P418">
            <v>0</v>
          </cell>
          <cell r="Q418" t="str">
            <v>72102VN</v>
          </cell>
          <cell r="R418" t="str">
            <v>VNQN</v>
          </cell>
          <cell r="S418" t="str">
            <v>Education quality improvement</v>
          </cell>
        </row>
        <row r="419">
          <cell r="L419">
            <v>0</v>
          </cell>
          <cell r="P419">
            <v>0</v>
          </cell>
          <cell r="Q419" t="str">
            <v/>
          </cell>
          <cell r="R419" t="str">
            <v>0</v>
          </cell>
          <cell r="S419" t="str">
            <v/>
          </cell>
        </row>
        <row r="420">
          <cell r="I420">
            <v>-1757000</v>
          </cell>
        </row>
        <row r="421">
          <cell r="I421">
            <v>1757000</v>
          </cell>
          <cell r="L421">
            <v>1757000</v>
          </cell>
          <cell r="P421">
            <v>0</v>
          </cell>
          <cell r="Q421" t="str">
            <v>72102VN</v>
          </cell>
          <cell r="R421" t="str">
            <v>VNQN2</v>
          </cell>
          <cell r="S421" t="str">
            <v>Education quality improvement</v>
          </cell>
        </row>
        <row r="422">
          <cell r="L422">
            <v>0</v>
          </cell>
          <cell r="P422">
            <v>0</v>
          </cell>
          <cell r="Q422" t="str">
            <v/>
          </cell>
          <cell r="R422" t="str">
            <v>0</v>
          </cell>
          <cell r="S422" t="str">
            <v/>
          </cell>
        </row>
        <row r="423">
          <cell r="I423">
            <v>-144000</v>
          </cell>
        </row>
        <row r="424">
          <cell r="I424">
            <v>144000</v>
          </cell>
          <cell r="L424">
            <v>144000</v>
          </cell>
          <cell r="P424">
            <v>0</v>
          </cell>
          <cell r="Q424" t="str">
            <v>72105VN</v>
          </cell>
          <cell r="R424" t="str">
            <v>VNOther</v>
          </cell>
          <cell r="S424" t="str">
            <v>Education quality improvement</v>
          </cell>
        </row>
        <row r="425">
          <cell r="L425">
            <v>0</v>
          </cell>
          <cell r="P425">
            <v>0</v>
          </cell>
          <cell r="Q425" t="str">
            <v/>
          </cell>
          <cell r="R425" t="str">
            <v>0</v>
          </cell>
          <cell r="S425" t="str">
            <v/>
          </cell>
        </row>
        <row r="426">
          <cell r="I426">
            <v>-22000</v>
          </cell>
        </row>
        <row r="427">
          <cell r="I427">
            <v>22000</v>
          </cell>
          <cell r="L427">
            <v>22000</v>
          </cell>
          <cell r="P427">
            <v>0</v>
          </cell>
          <cell r="Q427" t="str">
            <v>73209VN</v>
          </cell>
          <cell r="R427" t="str">
            <v>VNDN</v>
          </cell>
          <cell r="S427" t="str">
            <v xml:space="preserve">Program Operation </v>
          </cell>
        </row>
        <row r="428">
          <cell r="L428">
            <v>0</v>
          </cell>
          <cell r="P428">
            <v>0</v>
          </cell>
          <cell r="Q428" t="str">
            <v/>
          </cell>
          <cell r="R428" t="str">
            <v>0</v>
          </cell>
          <cell r="S428" t="str">
            <v/>
          </cell>
        </row>
        <row r="429">
          <cell r="I429">
            <v>-5765000</v>
          </cell>
        </row>
        <row r="430">
          <cell r="I430">
            <v>5765000</v>
          </cell>
          <cell r="L430">
            <v>5765000</v>
          </cell>
          <cell r="P430">
            <v>0</v>
          </cell>
          <cell r="Q430" t="str">
            <v>73205VN</v>
          </cell>
          <cell r="R430" t="str">
            <v>VNOther</v>
          </cell>
          <cell r="S430" t="str">
            <v xml:space="preserve">Program Operation </v>
          </cell>
        </row>
        <row r="431">
          <cell r="I431">
            <v>-5765000</v>
          </cell>
          <cell r="L431">
            <v>-5765000</v>
          </cell>
          <cell r="P431">
            <v>0</v>
          </cell>
          <cell r="Q431" t="str">
            <v>73205VN</v>
          </cell>
          <cell r="R431" t="str">
            <v>VNOther</v>
          </cell>
          <cell r="S431" t="str">
            <v xml:space="preserve">Program Operation </v>
          </cell>
        </row>
        <row r="432">
          <cell r="I432">
            <v>5765000</v>
          </cell>
          <cell r="L432">
            <v>5765000</v>
          </cell>
          <cell r="P432">
            <v>0</v>
          </cell>
          <cell r="Q432" t="str">
            <v>1310VN</v>
          </cell>
          <cell r="R432" t="str">
            <v>Capitalize purchasing desk, chair for new</v>
          </cell>
          <cell r="S432" t="str">
            <v/>
          </cell>
        </row>
        <row r="433">
          <cell r="L433">
            <v>0</v>
          </cell>
          <cell r="P433">
            <v>0</v>
          </cell>
          <cell r="Q433" t="str">
            <v/>
          </cell>
          <cell r="R433" t="str">
            <v>0</v>
          </cell>
          <cell r="S433" t="str">
            <v/>
          </cell>
        </row>
        <row r="434">
          <cell r="I434">
            <v>-11000</v>
          </cell>
        </row>
        <row r="435">
          <cell r="I435">
            <v>11000</v>
          </cell>
          <cell r="L435">
            <v>11000</v>
          </cell>
          <cell r="P435">
            <v>0</v>
          </cell>
          <cell r="Q435" t="str">
            <v>73209VN</v>
          </cell>
          <cell r="R435" t="str">
            <v>VNOther</v>
          </cell>
          <cell r="S435" t="str">
            <v xml:space="preserve">Program Operation </v>
          </cell>
        </row>
        <row r="436">
          <cell r="L436">
            <v>0</v>
          </cell>
          <cell r="P436">
            <v>0</v>
          </cell>
          <cell r="Q436" t="str">
            <v/>
          </cell>
          <cell r="R436" t="str">
            <v>0</v>
          </cell>
          <cell r="S436" t="str">
            <v/>
          </cell>
        </row>
        <row r="437">
          <cell r="I437">
            <v>-7875000</v>
          </cell>
        </row>
        <row r="438">
          <cell r="I438">
            <v>8750000</v>
          </cell>
          <cell r="L438">
            <v>8750000</v>
          </cell>
          <cell r="P438">
            <v>0</v>
          </cell>
          <cell r="Q438" t="str">
            <v>71209VN</v>
          </cell>
          <cell r="R438" t="str">
            <v>VNHDTOT</v>
          </cell>
          <cell r="S438" t="str">
            <v xml:space="preserve">Organisational capacity building </v>
          </cell>
        </row>
        <row r="439">
          <cell r="I439">
            <v>875000</v>
          </cell>
          <cell r="L439">
            <v>875000</v>
          </cell>
          <cell r="P439">
            <v>0</v>
          </cell>
          <cell r="Q439" t="str">
            <v>1500VN</v>
          </cell>
          <cell r="R439" t="str">
            <v>VNHD</v>
          </cell>
          <cell r="S439" t="str">
            <v>mannual input</v>
          </cell>
        </row>
        <row r="440">
          <cell r="L440">
            <v>0</v>
          </cell>
          <cell r="P440">
            <v>0</v>
          </cell>
          <cell r="Q440" t="str">
            <v/>
          </cell>
          <cell r="R440" t="str">
            <v>0</v>
          </cell>
          <cell r="S440" t="str">
            <v/>
          </cell>
        </row>
        <row r="441">
          <cell r="I441">
            <v>-11000</v>
          </cell>
        </row>
        <row r="442">
          <cell r="I442">
            <v>11000</v>
          </cell>
          <cell r="L442">
            <v>11000</v>
          </cell>
          <cell r="P442">
            <v>0</v>
          </cell>
          <cell r="Q442" t="str">
            <v>73209VN</v>
          </cell>
          <cell r="R442" t="str">
            <v>VNHDTOT</v>
          </cell>
          <cell r="S442" t="str">
            <v xml:space="preserve">Program Operation </v>
          </cell>
        </row>
        <row r="443">
          <cell r="L443">
            <v>0</v>
          </cell>
          <cell r="P443">
            <v>0</v>
          </cell>
          <cell r="Q443" t="str">
            <v/>
          </cell>
          <cell r="R443" t="str">
            <v>0</v>
          </cell>
          <cell r="S443" t="str">
            <v/>
          </cell>
        </row>
        <row r="444">
          <cell r="I444">
            <v>-122000</v>
          </cell>
        </row>
        <row r="445">
          <cell r="I445">
            <v>122000</v>
          </cell>
          <cell r="L445">
            <v>122000</v>
          </cell>
          <cell r="P445">
            <v>0</v>
          </cell>
          <cell r="Q445" t="str">
            <v>72105VN</v>
          </cell>
          <cell r="R445" t="str">
            <v>VNMOET</v>
          </cell>
          <cell r="S445" t="str">
            <v>Education quality improvement</v>
          </cell>
        </row>
        <row r="446">
          <cell r="L446">
            <v>0</v>
          </cell>
          <cell r="P446">
            <v>0</v>
          </cell>
          <cell r="Q446" t="str">
            <v/>
          </cell>
          <cell r="R446" t="str">
            <v>0</v>
          </cell>
          <cell r="S446" t="str">
            <v/>
          </cell>
        </row>
        <row r="447">
          <cell r="I447">
            <v>-11000</v>
          </cell>
        </row>
        <row r="448">
          <cell r="I448">
            <v>11000</v>
          </cell>
          <cell r="L448">
            <v>11000</v>
          </cell>
          <cell r="P448">
            <v>0</v>
          </cell>
          <cell r="Q448" t="str">
            <v>73209VN</v>
          </cell>
          <cell r="R448" t="str">
            <v>VNMOET</v>
          </cell>
          <cell r="S448" t="str">
            <v xml:space="preserve">Program Operation </v>
          </cell>
        </row>
        <row r="449">
          <cell r="L449">
            <v>0</v>
          </cell>
          <cell r="P449">
            <v>0</v>
          </cell>
          <cell r="Q449" t="str">
            <v/>
          </cell>
          <cell r="R449" t="str">
            <v>0</v>
          </cell>
          <cell r="S449" t="str">
            <v/>
          </cell>
        </row>
        <row r="450">
          <cell r="I450">
            <v>-768580</v>
          </cell>
        </row>
        <row r="451">
          <cell r="I451">
            <v>510860</v>
          </cell>
          <cell r="L451">
            <v>510860</v>
          </cell>
          <cell r="P451">
            <v>0</v>
          </cell>
          <cell r="Q451" t="str">
            <v>73208VN</v>
          </cell>
          <cell r="R451" t="str">
            <v>VNOther</v>
          </cell>
          <cell r="S451" t="str">
            <v xml:space="preserve">Program Operation </v>
          </cell>
        </row>
        <row r="452">
          <cell r="I452">
            <v>257720</v>
          </cell>
          <cell r="L452">
            <v>257720</v>
          </cell>
          <cell r="P452">
            <v>0</v>
          </cell>
          <cell r="Q452" t="str">
            <v>73208VN</v>
          </cell>
          <cell r="R452" t="str">
            <v>VNOther</v>
          </cell>
          <cell r="S452" t="str">
            <v xml:space="preserve">Program Operation </v>
          </cell>
        </row>
        <row r="453">
          <cell r="L453">
            <v>0</v>
          </cell>
          <cell r="P453">
            <v>0</v>
          </cell>
          <cell r="Q453" t="str">
            <v/>
          </cell>
          <cell r="R453" t="str">
            <v>0</v>
          </cell>
          <cell r="S453" t="str">
            <v/>
          </cell>
        </row>
        <row r="454">
          <cell r="I454">
            <v>-11000</v>
          </cell>
        </row>
        <row r="455">
          <cell r="I455">
            <v>11000</v>
          </cell>
          <cell r="L455">
            <v>11000</v>
          </cell>
          <cell r="P455">
            <v>0</v>
          </cell>
          <cell r="Q455" t="str">
            <v>73209VN</v>
          </cell>
          <cell r="R455" t="str">
            <v>VNOther</v>
          </cell>
          <cell r="S455" t="str">
            <v xml:space="preserve">Program Operation </v>
          </cell>
        </row>
        <row r="456">
          <cell r="L456">
            <v>0</v>
          </cell>
          <cell r="P456">
            <v>0</v>
          </cell>
          <cell r="Q456" t="str">
            <v/>
          </cell>
          <cell r="R456" t="str">
            <v>0</v>
          </cell>
          <cell r="S456" t="str">
            <v/>
          </cell>
        </row>
        <row r="457">
          <cell r="I457">
            <v>-212434</v>
          </cell>
        </row>
        <row r="458">
          <cell r="I458">
            <v>212434</v>
          </cell>
          <cell r="L458">
            <v>212434</v>
          </cell>
          <cell r="P458">
            <v>0</v>
          </cell>
          <cell r="Q458" t="str">
            <v>73208VN</v>
          </cell>
          <cell r="R458" t="str">
            <v>VNOther</v>
          </cell>
          <cell r="S458" t="str">
            <v xml:space="preserve">Program Operation </v>
          </cell>
        </row>
        <row r="459">
          <cell r="L459">
            <v>0</v>
          </cell>
          <cell r="P459">
            <v>0</v>
          </cell>
          <cell r="Q459" t="str">
            <v/>
          </cell>
          <cell r="R459" t="str">
            <v>0</v>
          </cell>
          <cell r="S459" t="str">
            <v/>
          </cell>
        </row>
        <row r="460">
          <cell r="I460">
            <v>-11000</v>
          </cell>
        </row>
        <row r="461">
          <cell r="I461">
            <v>11000</v>
          </cell>
          <cell r="L461">
            <v>11000</v>
          </cell>
          <cell r="P461">
            <v>0</v>
          </cell>
          <cell r="Q461" t="str">
            <v>73209VN</v>
          </cell>
          <cell r="R461" t="str">
            <v>VNOther</v>
          </cell>
          <cell r="S461" t="str">
            <v xml:space="preserve">Program Operation </v>
          </cell>
        </row>
        <row r="462">
          <cell r="L462">
            <v>0</v>
          </cell>
          <cell r="P462">
            <v>0</v>
          </cell>
          <cell r="Q462" t="str">
            <v/>
          </cell>
          <cell r="R462" t="str">
            <v>0</v>
          </cell>
          <cell r="S462" t="str">
            <v/>
          </cell>
        </row>
        <row r="463">
          <cell r="I463">
            <v>-2700000</v>
          </cell>
        </row>
        <row r="464">
          <cell r="I464">
            <v>2700000</v>
          </cell>
          <cell r="L464">
            <v>2700000</v>
          </cell>
          <cell r="P464">
            <v>0</v>
          </cell>
          <cell r="Q464" t="str">
            <v>73103VN</v>
          </cell>
          <cell r="R464" t="str">
            <v>VNHBC</v>
          </cell>
          <cell r="S464" t="str">
            <v>Education quality improvement</v>
          </cell>
        </row>
        <row r="465">
          <cell r="L465">
            <v>0</v>
          </cell>
          <cell r="P465">
            <v>0</v>
          </cell>
          <cell r="Q465" t="str">
            <v/>
          </cell>
          <cell r="R465" t="str">
            <v>0</v>
          </cell>
          <cell r="S465" t="str">
            <v/>
          </cell>
        </row>
        <row r="466">
          <cell r="I466">
            <v>-11000</v>
          </cell>
        </row>
        <row r="467">
          <cell r="I467">
            <v>11000</v>
          </cell>
          <cell r="L467">
            <v>11000</v>
          </cell>
          <cell r="P467">
            <v>0</v>
          </cell>
          <cell r="Q467" t="str">
            <v>73209VN</v>
          </cell>
          <cell r="R467" t="str">
            <v>VNHBC</v>
          </cell>
          <cell r="S467" t="str">
            <v xml:space="preserve">Program Operation </v>
          </cell>
        </row>
        <row r="468">
          <cell r="L468">
            <v>0</v>
          </cell>
          <cell r="P468">
            <v>0</v>
          </cell>
          <cell r="Q468" t="str">
            <v/>
          </cell>
          <cell r="R468" t="str">
            <v>0</v>
          </cell>
          <cell r="S468" t="str">
            <v/>
          </cell>
        </row>
        <row r="469">
          <cell r="I469">
            <v>-2106729</v>
          </cell>
        </row>
        <row r="470">
          <cell r="I470">
            <v>2106729</v>
          </cell>
          <cell r="L470">
            <v>2106729</v>
          </cell>
          <cell r="P470">
            <v>0</v>
          </cell>
          <cell r="Q470" t="str">
            <v>73205VN</v>
          </cell>
          <cell r="R470" t="str">
            <v>VNOther</v>
          </cell>
          <cell r="S470" t="str">
            <v xml:space="preserve">Program Operation </v>
          </cell>
        </row>
        <row r="471">
          <cell r="L471">
            <v>0</v>
          </cell>
          <cell r="P471">
            <v>0</v>
          </cell>
          <cell r="Q471" t="str">
            <v/>
          </cell>
          <cell r="R471" t="str">
            <v>0</v>
          </cell>
          <cell r="S471" t="str">
            <v/>
          </cell>
        </row>
        <row r="472">
          <cell r="I472">
            <v>-11000</v>
          </cell>
        </row>
        <row r="473">
          <cell r="I473">
            <v>11000</v>
          </cell>
          <cell r="L473">
            <v>11000</v>
          </cell>
          <cell r="P473">
            <v>0</v>
          </cell>
          <cell r="Q473" t="str">
            <v>73209VN</v>
          </cell>
          <cell r="R473" t="str">
            <v>VNOther</v>
          </cell>
          <cell r="S473" t="str">
            <v xml:space="preserve">Program Operation </v>
          </cell>
        </row>
        <row r="474">
          <cell r="L474">
            <v>0</v>
          </cell>
          <cell r="P474">
            <v>0</v>
          </cell>
          <cell r="Q474" t="str">
            <v/>
          </cell>
          <cell r="R474" t="str">
            <v>0</v>
          </cell>
          <cell r="S474" t="str">
            <v/>
          </cell>
        </row>
        <row r="475">
          <cell r="I475">
            <v>-1027421</v>
          </cell>
        </row>
        <row r="476">
          <cell r="I476">
            <v>1027421</v>
          </cell>
          <cell r="L476">
            <v>1027421</v>
          </cell>
          <cell r="P476">
            <v>0</v>
          </cell>
          <cell r="Q476" t="str">
            <v>73208VN</v>
          </cell>
          <cell r="R476" t="str">
            <v>VNOther</v>
          </cell>
          <cell r="S476" t="str">
            <v xml:space="preserve">Program Operation </v>
          </cell>
        </row>
        <row r="477">
          <cell r="L477">
            <v>0</v>
          </cell>
          <cell r="P477">
            <v>0</v>
          </cell>
          <cell r="Q477" t="str">
            <v/>
          </cell>
          <cell r="R477" t="str">
            <v>0</v>
          </cell>
          <cell r="S477" t="str">
            <v/>
          </cell>
        </row>
        <row r="478">
          <cell r="I478">
            <v>-11000</v>
          </cell>
        </row>
        <row r="479">
          <cell r="I479">
            <v>11000</v>
          </cell>
          <cell r="L479">
            <v>11000</v>
          </cell>
          <cell r="P479">
            <v>0</v>
          </cell>
          <cell r="Q479" t="str">
            <v>73209VN</v>
          </cell>
          <cell r="R479" t="str">
            <v>VNOther</v>
          </cell>
          <cell r="S479" t="str">
            <v xml:space="preserve">Program Operation </v>
          </cell>
        </row>
        <row r="480">
          <cell r="L480">
            <v>0</v>
          </cell>
          <cell r="P480">
            <v>0</v>
          </cell>
          <cell r="Q480" t="str">
            <v/>
          </cell>
          <cell r="R480" t="str">
            <v>0</v>
          </cell>
          <cell r="S480" t="str">
            <v/>
          </cell>
        </row>
        <row r="481">
          <cell r="I481">
            <v>-460000</v>
          </cell>
        </row>
        <row r="482">
          <cell r="I482">
            <v>460000</v>
          </cell>
          <cell r="L482">
            <v>460000</v>
          </cell>
          <cell r="P482">
            <v>0</v>
          </cell>
          <cell r="Q482" t="str">
            <v>73205VN</v>
          </cell>
          <cell r="R482" t="str">
            <v>VNOther</v>
          </cell>
          <cell r="S482" t="str">
            <v xml:space="preserve">Program Operation </v>
          </cell>
        </row>
        <row r="483">
          <cell r="L483">
            <v>0</v>
          </cell>
          <cell r="P483">
            <v>0</v>
          </cell>
          <cell r="Q483" t="str">
            <v/>
          </cell>
          <cell r="R483" t="str">
            <v>0</v>
          </cell>
          <cell r="S483" t="str">
            <v/>
          </cell>
        </row>
        <row r="484">
          <cell r="I484">
            <v>-22000</v>
          </cell>
        </row>
        <row r="485">
          <cell r="I485">
            <v>22000</v>
          </cell>
          <cell r="L485">
            <v>22000</v>
          </cell>
          <cell r="P485">
            <v>0</v>
          </cell>
          <cell r="Q485" t="str">
            <v>73209VN</v>
          </cell>
          <cell r="R485" t="str">
            <v>VNOther</v>
          </cell>
          <cell r="S485" t="str">
            <v xml:space="preserve">Program Operation </v>
          </cell>
        </row>
        <row r="486">
          <cell r="L486">
            <v>0</v>
          </cell>
          <cell r="P486">
            <v>0</v>
          </cell>
          <cell r="Q486" t="str">
            <v/>
          </cell>
          <cell r="R486" t="str">
            <v>0</v>
          </cell>
          <cell r="S486" t="str">
            <v/>
          </cell>
        </row>
        <row r="487">
          <cell r="I487">
            <v>-22000</v>
          </cell>
        </row>
        <row r="488">
          <cell r="I488">
            <v>22000</v>
          </cell>
          <cell r="L488">
            <v>22000</v>
          </cell>
          <cell r="P488">
            <v>0</v>
          </cell>
          <cell r="Q488" t="str">
            <v>73209VN</v>
          </cell>
          <cell r="R488" t="str">
            <v>VNOther</v>
          </cell>
          <cell r="S488" t="str">
            <v xml:space="preserve">Program Operation </v>
          </cell>
        </row>
        <row r="489">
          <cell r="L489">
            <v>0</v>
          </cell>
          <cell r="P489">
            <v>0</v>
          </cell>
          <cell r="Q489" t="str">
            <v/>
          </cell>
          <cell r="R489" t="str">
            <v>0</v>
          </cell>
          <cell r="S489" t="str">
            <v/>
          </cell>
        </row>
        <row r="490">
          <cell r="I490">
            <v>-472901</v>
          </cell>
        </row>
        <row r="491">
          <cell r="I491">
            <v>472901</v>
          </cell>
          <cell r="L491">
            <v>472901</v>
          </cell>
          <cell r="P491">
            <v>0</v>
          </cell>
          <cell r="Q491" t="str">
            <v>73208VN</v>
          </cell>
          <cell r="R491" t="str">
            <v>VNOther</v>
          </cell>
          <cell r="S491" t="str">
            <v xml:space="preserve">Program Operation </v>
          </cell>
        </row>
        <row r="492">
          <cell r="L492">
            <v>0</v>
          </cell>
          <cell r="P492">
            <v>0</v>
          </cell>
          <cell r="Q492" t="str">
            <v/>
          </cell>
          <cell r="R492" t="str">
            <v>0</v>
          </cell>
          <cell r="S492" t="str">
            <v/>
          </cell>
        </row>
        <row r="493">
          <cell r="I493">
            <v>-229617511</v>
          </cell>
        </row>
        <row r="494">
          <cell r="I494">
            <v>-229617511</v>
          </cell>
          <cell r="L494">
            <v>-229617511</v>
          </cell>
          <cell r="P494">
            <v>0</v>
          </cell>
          <cell r="Q494" t="str">
            <v>1500VN</v>
          </cell>
          <cell r="R494" t="str">
            <v>VNOt</v>
          </cell>
          <cell r="S494" t="str">
            <v>mannual input</v>
          </cell>
        </row>
        <row r="495">
          <cell r="L495">
            <v>0</v>
          </cell>
          <cell r="P495">
            <v>0</v>
          </cell>
          <cell r="Q495" t="str">
            <v/>
          </cell>
          <cell r="R495" t="str">
            <v>0</v>
          </cell>
          <cell r="S495" t="str">
            <v/>
          </cell>
        </row>
        <row r="496">
          <cell r="I496">
            <v>-11000</v>
          </cell>
        </row>
        <row r="497">
          <cell r="I497">
            <v>11000</v>
          </cell>
          <cell r="L497">
            <v>11000</v>
          </cell>
          <cell r="P497">
            <v>0</v>
          </cell>
          <cell r="Q497" t="str">
            <v>73209VN</v>
          </cell>
          <cell r="R497" t="str">
            <v>VNOther</v>
          </cell>
          <cell r="S497" t="str">
            <v xml:space="preserve">Program Operation </v>
          </cell>
        </row>
        <row r="498">
          <cell r="L498">
            <v>0</v>
          </cell>
          <cell r="P498">
            <v>0</v>
          </cell>
          <cell r="Q498" t="str">
            <v/>
          </cell>
          <cell r="R498" t="str">
            <v>0</v>
          </cell>
          <cell r="S498" t="str">
            <v/>
          </cell>
        </row>
        <row r="499">
          <cell r="I499">
            <v>-136400</v>
          </cell>
        </row>
        <row r="500">
          <cell r="I500">
            <v>136400</v>
          </cell>
          <cell r="L500">
            <v>136400</v>
          </cell>
          <cell r="P500">
            <v>0</v>
          </cell>
          <cell r="Q500" t="str">
            <v>73209VN</v>
          </cell>
          <cell r="R500" t="str">
            <v>VNOther</v>
          </cell>
          <cell r="S500" t="str">
            <v xml:space="preserve">Program Operation </v>
          </cell>
        </row>
        <row r="501">
          <cell r="L501">
            <v>0</v>
          </cell>
          <cell r="P501">
            <v>0</v>
          </cell>
          <cell r="Q501" t="str">
            <v/>
          </cell>
          <cell r="R501" t="str">
            <v>0</v>
          </cell>
          <cell r="S501" t="str">
            <v/>
          </cell>
        </row>
        <row r="502">
          <cell r="I502">
            <v>-133410135</v>
          </cell>
        </row>
        <row r="503">
          <cell r="I503">
            <v>102794525</v>
          </cell>
          <cell r="L503">
            <v>102794525</v>
          </cell>
          <cell r="P503">
            <v>0</v>
          </cell>
          <cell r="Q503" t="str">
            <v>71202VN</v>
          </cell>
          <cell r="R503" t="str">
            <v>VNOther</v>
          </cell>
          <cell r="S503" t="str">
            <v>Organisational capacity building</v>
          </cell>
        </row>
        <row r="504">
          <cell r="I504">
            <v>6285600</v>
          </cell>
          <cell r="L504">
            <v>6285600</v>
          </cell>
          <cell r="P504">
            <v>0</v>
          </cell>
          <cell r="Q504" t="str">
            <v>71202VN</v>
          </cell>
          <cell r="R504" t="str">
            <v>VNOther</v>
          </cell>
          <cell r="S504" t="str">
            <v xml:space="preserve">Organisational capacity building </v>
          </cell>
        </row>
        <row r="505">
          <cell r="I505">
            <v>0</v>
          </cell>
          <cell r="L505">
            <v>0</v>
          </cell>
          <cell r="P505">
            <v>0</v>
          </cell>
          <cell r="Q505" t="str">
            <v>71219VN</v>
          </cell>
          <cell r="R505" t="str">
            <v>0</v>
          </cell>
          <cell r="S505" t="str">
            <v/>
          </cell>
        </row>
        <row r="506">
          <cell r="I506">
            <v>68529683</v>
          </cell>
          <cell r="L506">
            <v>68529683</v>
          </cell>
          <cell r="P506">
            <v>0</v>
          </cell>
          <cell r="Q506" t="str">
            <v>71202VN</v>
          </cell>
          <cell r="R506" t="str">
            <v>VNOther</v>
          </cell>
          <cell r="S506" t="str">
            <v>Organisational capacity building</v>
          </cell>
        </row>
        <row r="507">
          <cell r="I507">
            <v>4190400</v>
          </cell>
          <cell r="L507">
            <v>4190400</v>
          </cell>
          <cell r="P507">
            <v>0</v>
          </cell>
          <cell r="Q507" t="str">
            <v>71202VN</v>
          </cell>
          <cell r="R507" t="str">
            <v>VNOther</v>
          </cell>
          <cell r="S507" t="str">
            <v xml:space="preserve">Organisational capacity building </v>
          </cell>
        </row>
        <row r="508">
          <cell r="I508">
            <v>0</v>
          </cell>
          <cell r="L508">
            <v>0</v>
          </cell>
          <cell r="P508">
            <v>0</v>
          </cell>
          <cell r="Q508" t="str">
            <v>71219VN</v>
          </cell>
          <cell r="R508" t="str">
            <v>0</v>
          </cell>
          <cell r="S508" t="str">
            <v/>
          </cell>
        </row>
        <row r="509">
          <cell r="I509">
            <v>48390073</v>
          </cell>
          <cell r="L509">
            <v>48390073</v>
          </cell>
          <cell r="P509">
            <v>0</v>
          </cell>
          <cell r="Q509" t="str">
            <v>1500VN</v>
          </cell>
          <cell r="R509" t="str">
            <v>VNOther</v>
          </cell>
          <cell r="S509" t="str">
            <v>mannual input</v>
          </cell>
        </row>
        <row r="510">
          <cell r="I510">
            <v>0</v>
          </cell>
          <cell r="L510">
            <v>0</v>
          </cell>
          <cell r="P510">
            <v>0</v>
          </cell>
          <cell r="Q510" t="str">
            <v>73209VN</v>
          </cell>
          <cell r="R510" t="str">
            <v>0</v>
          </cell>
          <cell r="S510" t="str">
            <v/>
          </cell>
        </row>
        <row r="511">
          <cell r="I511">
            <v>0</v>
          </cell>
          <cell r="L511">
            <v>0</v>
          </cell>
          <cell r="P511">
            <v>0</v>
          </cell>
          <cell r="Q511" t="str">
            <v>71219VN</v>
          </cell>
          <cell r="R511" t="str">
            <v>0</v>
          </cell>
          <cell r="S511" t="str">
            <v/>
          </cell>
        </row>
        <row r="512">
          <cell r="I512">
            <v>0</v>
          </cell>
          <cell r="L512">
            <v>0</v>
          </cell>
          <cell r="P512">
            <v>0</v>
          </cell>
          <cell r="Q512" t="str">
            <v>71219VN</v>
          </cell>
          <cell r="R512" t="str">
            <v>0</v>
          </cell>
          <cell r="S512" t="str">
            <v/>
          </cell>
        </row>
        <row r="513">
          <cell r="I513">
            <v>0</v>
          </cell>
          <cell r="L513">
            <v>0</v>
          </cell>
          <cell r="P513">
            <v>0</v>
          </cell>
          <cell r="Q513" t="str">
            <v>1500VN</v>
          </cell>
          <cell r="R513" t="str">
            <v>0</v>
          </cell>
          <cell r="S513" t="str">
            <v/>
          </cell>
        </row>
        <row r="514">
          <cell r="L514">
            <v>0</v>
          </cell>
          <cell r="P514">
            <v>0</v>
          </cell>
          <cell r="Q514" t="str">
            <v/>
          </cell>
          <cell r="R514" t="str">
            <v>0</v>
          </cell>
          <cell r="S514" t="str">
            <v/>
          </cell>
        </row>
        <row r="515">
          <cell r="I515">
            <v>-53650470</v>
          </cell>
        </row>
        <row r="516">
          <cell r="I516">
            <v>32846787</v>
          </cell>
          <cell r="L516">
            <v>32846787</v>
          </cell>
          <cell r="P516">
            <v>0</v>
          </cell>
          <cell r="Q516" t="str">
            <v>71401VN</v>
          </cell>
          <cell r="R516" t="str">
            <v>VNOther</v>
          </cell>
          <cell r="S516" t="str">
            <v>Organisational capacity building</v>
          </cell>
        </row>
        <row r="517">
          <cell r="I517">
            <v>0</v>
          </cell>
          <cell r="L517">
            <v>0</v>
          </cell>
          <cell r="P517">
            <v>0</v>
          </cell>
          <cell r="Q517" t="str">
            <v>71401VN</v>
          </cell>
          <cell r="R517" t="str">
            <v>0</v>
          </cell>
          <cell r="S517" t="str">
            <v/>
          </cell>
        </row>
        <row r="518">
          <cell r="I518">
            <v>-2546474</v>
          </cell>
          <cell r="L518">
            <v>-2546474</v>
          </cell>
          <cell r="P518">
            <v>0</v>
          </cell>
          <cell r="Q518" t="str">
            <v>71409VN</v>
          </cell>
          <cell r="R518" t="str">
            <v/>
          </cell>
          <cell r="S518" t="str">
            <v xml:space="preserve">Organisational capacity building </v>
          </cell>
        </row>
        <row r="519">
          <cell r="I519">
            <v>32846787</v>
          </cell>
          <cell r="L519">
            <v>32846787</v>
          </cell>
          <cell r="P519">
            <v>0</v>
          </cell>
          <cell r="Q519" t="str">
            <v>71401VN</v>
          </cell>
          <cell r="R519" t="str">
            <v>VNOther</v>
          </cell>
          <cell r="S519" t="str">
            <v>Organisational capacity building</v>
          </cell>
        </row>
        <row r="520">
          <cell r="I520">
            <v>0</v>
          </cell>
          <cell r="L520">
            <v>0</v>
          </cell>
          <cell r="P520">
            <v>0</v>
          </cell>
          <cell r="Q520" t="str">
            <v>71401VN</v>
          </cell>
          <cell r="R520" t="str">
            <v>0</v>
          </cell>
          <cell r="S520" t="str">
            <v/>
          </cell>
        </row>
        <row r="521">
          <cell r="I521">
            <v>-2546474</v>
          </cell>
          <cell r="L521">
            <v>-2546474</v>
          </cell>
          <cell r="P521">
            <v>0</v>
          </cell>
          <cell r="Q521" t="str">
            <v>71409VN</v>
          </cell>
          <cell r="R521" t="str">
            <v/>
          </cell>
          <cell r="S521" t="str">
            <v xml:space="preserve">Organisational capacity building </v>
          </cell>
        </row>
        <row r="522">
          <cell r="I522">
            <v>6950156</v>
          </cell>
          <cell r="L522">
            <v>6950156</v>
          </cell>
          <cell r="P522">
            <v>0</v>
          </cell>
          <cell r="Q522" t="str">
            <v>1500VN</v>
          </cell>
          <cell r="R522" t="str">
            <v>VNOther</v>
          </cell>
          <cell r="S522" t="str">
            <v>mannual input</v>
          </cell>
        </row>
        <row r="523">
          <cell r="I523">
            <v>0</v>
          </cell>
          <cell r="L523">
            <v>0</v>
          </cell>
          <cell r="P523">
            <v>0</v>
          </cell>
          <cell r="Q523" t="str">
            <v>73209VN</v>
          </cell>
          <cell r="R523" t="str">
            <v>0</v>
          </cell>
          <cell r="S523" t="str">
            <v/>
          </cell>
        </row>
        <row r="524">
          <cell r="I524">
            <v>5092948</v>
          </cell>
          <cell r="L524">
            <v>5092948</v>
          </cell>
          <cell r="P524">
            <v>0</v>
          </cell>
          <cell r="Q524" t="str">
            <v>71409VN</v>
          </cell>
          <cell r="R524" t="str">
            <v/>
          </cell>
          <cell r="S524" t="str">
            <v xml:space="preserve">Organisational capacity building </v>
          </cell>
        </row>
        <row r="525">
          <cell r="I525">
            <v>5120474</v>
          </cell>
          <cell r="L525">
            <v>5120474</v>
          </cell>
          <cell r="P525">
            <v>0</v>
          </cell>
          <cell r="Q525" t="str">
            <v>71409VN</v>
          </cell>
          <cell r="R525" t="str">
            <v>VNOther</v>
          </cell>
          <cell r="S525" t="str">
            <v xml:space="preserve">Organisational capacity building </v>
          </cell>
        </row>
        <row r="526">
          <cell r="I526">
            <v>5120474</v>
          </cell>
          <cell r="L526">
            <v>5120474</v>
          </cell>
          <cell r="P526">
            <v>0</v>
          </cell>
          <cell r="Q526" t="str">
            <v>71409VN</v>
          </cell>
          <cell r="R526" t="str">
            <v>VNOther</v>
          </cell>
          <cell r="S526" t="str">
            <v xml:space="preserve">Organisational capacity building </v>
          </cell>
        </row>
        <row r="527">
          <cell r="I527">
            <v>15333896</v>
          </cell>
          <cell r="L527">
            <v>15333896</v>
          </cell>
          <cell r="P527">
            <v>0</v>
          </cell>
          <cell r="Q527" t="str">
            <v>1500VN</v>
          </cell>
          <cell r="R527" t="str">
            <v>VNOther</v>
          </cell>
          <cell r="S527" t="str">
            <v>mannual input</v>
          </cell>
        </row>
        <row r="528">
          <cell r="L528">
            <v>0</v>
          </cell>
          <cell r="P528">
            <v>0</v>
          </cell>
          <cell r="Q528" t="str">
            <v/>
          </cell>
          <cell r="R528" t="str">
            <v>0</v>
          </cell>
          <cell r="S528" t="str">
            <v/>
          </cell>
        </row>
        <row r="529">
          <cell r="I529">
            <v>-59277249</v>
          </cell>
        </row>
        <row r="530">
          <cell r="I530">
            <v>73270565</v>
          </cell>
          <cell r="L530">
            <v>73270565</v>
          </cell>
          <cell r="P530">
            <v>0</v>
          </cell>
          <cell r="Q530" t="str">
            <v>71105VN</v>
          </cell>
          <cell r="R530" t="str">
            <v>VNHBC</v>
          </cell>
          <cell r="S530" t="str">
            <v>Organisational capacity building</v>
          </cell>
        </row>
        <row r="531">
          <cell r="I531">
            <v>0</v>
          </cell>
          <cell r="L531">
            <v>0</v>
          </cell>
          <cell r="P531">
            <v>0</v>
          </cell>
          <cell r="Q531" t="str">
            <v>71105VN</v>
          </cell>
          <cell r="R531" t="str">
            <v>0</v>
          </cell>
          <cell r="S531" t="str">
            <v/>
          </cell>
        </row>
        <row r="532">
          <cell r="I532">
            <v>-5167566</v>
          </cell>
          <cell r="L532">
            <v>-5167566</v>
          </cell>
          <cell r="P532">
            <v>0</v>
          </cell>
          <cell r="Q532" t="str">
            <v>71119VN</v>
          </cell>
          <cell r="R532" t="str">
            <v/>
          </cell>
          <cell r="S532" t="str">
            <v xml:space="preserve">Organisational capacity building </v>
          </cell>
        </row>
        <row r="533">
          <cell r="I533">
            <v>8825750</v>
          </cell>
          <cell r="L533">
            <v>8825750</v>
          </cell>
          <cell r="P533">
            <v>0</v>
          </cell>
          <cell r="Q533" t="str">
            <v>1500VN</v>
          </cell>
          <cell r="R533" t="str">
            <v>VNHBC</v>
          </cell>
          <cell r="S533" t="str">
            <v>mannual input</v>
          </cell>
        </row>
        <row r="534">
          <cell r="I534">
            <v>0</v>
          </cell>
          <cell r="L534">
            <v>0</v>
          </cell>
          <cell r="P534">
            <v>0</v>
          </cell>
          <cell r="Q534" t="str">
            <v>73209VN</v>
          </cell>
          <cell r="R534" t="str">
            <v>0</v>
          </cell>
          <cell r="S534" t="str">
            <v/>
          </cell>
        </row>
        <row r="535">
          <cell r="I535">
            <v>5167566</v>
          </cell>
          <cell r="L535">
            <v>5167566</v>
          </cell>
          <cell r="P535">
            <v>0</v>
          </cell>
          <cell r="Q535" t="str">
            <v>71119VN</v>
          </cell>
          <cell r="R535" t="str">
            <v/>
          </cell>
          <cell r="S535" t="str">
            <v xml:space="preserve">Organisational capacity building </v>
          </cell>
        </row>
        <row r="536">
          <cell r="I536">
            <v>10315566</v>
          </cell>
          <cell r="L536">
            <v>10315566</v>
          </cell>
          <cell r="P536">
            <v>0</v>
          </cell>
          <cell r="Q536" t="str">
            <v>71119VN</v>
          </cell>
          <cell r="R536" t="str">
            <v>VNHBC</v>
          </cell>
          <cell r="S536" t="str">
            <v xml:space="preserve">Organisational capacity building </v>
          </cell>
        </row>
        <row r="537">
          <cell r="I537">
            <v>15483132</v>
          </cell>
          <cell r="L537">
            <v>15483132</v>
          </cell>
          <cell r="P537">
            <v>0</v>
          </cell>
          <cell r="Q537" t="str">
            <v>1500VN</v>
          </cell>
          <cell r="R537" t="str">
            <v>VNHBC</v>
          </cell>
          <cell r="S537" t="str">
            <v>mannual input</v>
          </cell>
        </row>
        <row r="538">
          <cell r="L538">
            <v>0</v>
          </cell>
          <cell r="P538">
            <v>0</v>
          </cell>
          <cell r="Q538" t="str">
            <v/>
          </cell>
          <cell r="R538" t="str">
            <v>0</v>
          </cell>
          <cell r="S538" t="str">
            <v/>
          </cell>
        </row>
        <row r="539">
          <cell r="I539">
            <v>-48824724</v>
          </cell>
        </row>
        <row r="540">
          <cell r="I540">
            <v>19534433</v>
          </cell>
          <cell r="L540">
            <v>19534433</v>
          </cell>
          <cell r="P540">
            <v>0</v>
          </cell>
          <cell r="Q540" t="str">
            <v>71301VN</v>
          </cell>
          <cell r="R540" t="str">
            <v>VNOther</v>
          </cell>
          <cell r="S540" t="str">
            <v>Organisational capacity building</v>
          </cell>
        </row>
        <row r="541">
          <cell r="I541">
            <v>0</v>
          </cell>
          <cell r="L541">
            <v>0</v>
          </cell>
          <cell r="P541">
            <v>0</v>
          </cell>
          <cell r="Q541" t="str">
            <v>71301VN</v>
          </cell>
          <cell r="R541" t="str">
            <v>0</v>
          </cell>
          <cell r="S541" t="str">
            <v/>
          </cell>
        </row>
        <row r="542">
          <cell r="I542">
            <v>-1659554</v>
          </cell>
          <cell r="L542">
            <v>-1659554</v>
          </cell>
          <cell r="P542">
            <v>0</v>
          </cell>
          <cell r="Q542" t="str">
            <v>71399VN</v>
          </cell>
          <cell r="R542" t="str">
            <v/>
          </cell>
          <cell r="S542" t="str">
            <v xml:space="preserve">Organisational capacity building </v>
          </cell>
        </row>
        <row r="543">
          <cell r="I543">
            <v>39660818</v>
          </cell>
          <cell r="L543">
            <v>39660818</v>
          </cell>
          <cell r="P543">
            <v>0</v>
          </cell>
          <cell r="Q543" t="str">
            <v>71301VN</v>
          </cell>
          <cell r="R543" t="str">
            <v>VNOther</v>
          </cell>
          <cell r="S543" t="str">
            <v>Organisational capacity building</v>
          </cell>
        </row>
        <row r="544">
          <cell r="I544">
            <v>0</v>
          </cell>
          <cell r="L544">
            <v>0</v>
          </cell>
          <cell r="P544">
            <v>0</v>
          </cell>
          <cell r="Q544" t="str">
            <v>71301VN</v>
          </cell>
          <cell r="R544" t="str">
            <v>0</v>
          </cell>
          <cell r="S544" t="str">
            <v/>
          </cell>
        </row>
        <row r="545">
          <cell r="I545">
            <v>-3369399</v>
          </cell>
          <cell r="L545">
            <v>-3369399</v>
          </cell>
          <cell r="P545">
            <v>0</v>
          </cell>
          <cell r="Q545" t="str">
            <v>71399VN</v>
          </cell>
          <cell r="R545" t="str">
            <v/>
          </cell>
          <cell r="S545" t="str">
            <v xml:space="preserve">Organisational capacity building </v>
          </cell>
        </row>
        <row r="546">
          <cell r="I546">
            <v>5341574</v>
          </cell>
          <cell r="L546">
            <v>5341574</v>
          </cell>
          <cell r="P546">
            <v>0</v>
          </cell>
          <cell r="Q546" t="str">
            <v>1500VN</v>
          </cell>
          <cell r="R546" t="str">
            <v>VNOther</v>
          </cell>
          <cell r="S546" t="str">
            <v>mannual input</v>
          </cell>
        </row>
        <row r="547">
          <cell r="I547">
            <v>0</v>
          </cell>
          <cell r="L547">
            <v>0</v>
          </cell>
          <cell r="P547">
            <v>0</v>
          </cell>
          <cell r="Q547" t="str">
            <v>73209VN</v>
          </cell>
          <cell r="R547" t="str">
            <v>0</v>
          </cell>
          <cell r="S547" t="str">
            <v/>
          </cell>
        </row>
        <row r="548">
          <cell r="I548">
            <v>5028953</v>
          </cell>
          <cell r="L548">
            <v>5028953</v>
          </cell>
          <cell r="P548">
            <v>0</v>
          </cell>
          <cell r="Q548" t="str">
            <v>71399VN</v>
          </cell>
          <cell r="R548" t="str">
            <v/>
          </cell>
          <cell r="S548" t="str">
            <v xml:space="preserve">Organisational capacity building </v>
          </cell>
        </row>
        <row r="549">
          <cell r="I549">
            <v>3358394</v>
          </cell>
          <cell r="L549">
            <v>3358394</v>
          </cell>
          <cell r="P549">
            <v>0</v>
          </cell>
          <cell r="Q549" t="str">
            <v>71399VN</v>
          </cell>
          <cell r="R549" t="str">
            <v>VNOther</v>
          </cell>
          <cell r="S549" t="str">
            <v xml:space="preserve">Organisational capacity building </v>
          </cell>
        </row>
        <row r="550">
          <cell r="I550">
            <v>6818559</v>
          </cell>
          <cell r="L550">
            <v>6818559</v>
          </cell>
          <cell r="P550">
            <v>0</v>
          </cell>
          <cell r="Q550" t="str">
            <v>71399VN</v>
          </cell>
          <cell r="R550" t="str">
            <v>VNOther</v>
          </cell>
          <cell r="S550" t="str">
            <v xml:space="preserve">Organisational capacity building </v>
          </cell>
        </row>
        <row r="551">
          <cell r="I551">
            <v>15205906</v>
          </cell>
          <cell r="L551">
            <v>15205906</v>
          </cell>
          <cell r="P551">
            <v>0</v>
          </cell>
          <cell r="Q551" t="str">
            <v>1500VN</v>
          </cell>
          <cell r="R551" t="str">
            <v>VNOther</v>
          </cell>
          <cell r="S551" t="str">
            <v>mannual input</v>
          </cell>
        </row>
        <row r="552">
          <cell r="L552">
            <v>0</v>
          </cell>
          <cell r="P552">
            <v>0</v>
          </cell>
          <cell r="Q552" t="str">
            <v/>
          </cell>
          <cell r="R552" t="str">
            <v>0</v>
          </cell>
          <cell r="S552" t="str">
            <v/>
          </cell>
        </row>
        <row r="553">
          <cell r="I553">
            <v>-37407371</v>
          </cell>
        </row>
        <row r="554">
          <cell r="I554">
            <v>14629119</v>
          </cell>
          <cell r="L554">
            <v>14629119</v>
          </cell>
          <cell r="P554">
            <v>0</v>
          </cell>
          <cell r="Q554" t="str">
            <v>71204VN</v>
          </cell>
          <cell r="R554" t="str">
            <v>VNOther</v>
          </cell>
          <cell r="S554" t="str">
            <v>Organisational capacity building</v>
          </cell>
        </row>
        <row r="555">
          <cell r="I555">
            <v>0</v>
          </cell>
          <cell r="L555">
            <v>0</v>
          </cell>
          <cell r="P555">
            <v>0</v>
          </cell>
          <cell r="Q555" t="str">
            <v>71204VN</v>
          </cell>
          <cell r="R555" t="str">
            <v>0</v>
          </cell>
          <cell r="S555" t="str">
            <v/>
          </cell>
        </row>
        <row r="556">
          <cell r="I556">
            <v>-1512704</v>
          </cell>
          <cell r="L556">
            <v>-1512704</v>
          </cell>
          <cell r="P556">
            <v>0</v>
          </cell>
          <cell r="Q556" t="str">
            <v>71219VN</v>
          </cell>
          <cell r="R556" t="str">
            <v/>
          </cell>
          <cell r="S556" t="str">
            <v xml:space="preserve">Organisational capacity building </v>
          </cell>
        </row>
        <row r="557">
          <cell r="I557">
            <v>29701546</v>
          </cell>
          <cell r="L557">
            <v>29701546</v>
          </cell>
          <cell r="P557">
            <v>0</v>
          </cell>
          <cell r="Q557" t="str">
            <v>71204VN</v>
          </cell>
          <cell r="R557" t="str">
            <v>VNOther</v>
          </cell>
          <cell r="S557" t="str">
            <v>Organisational capacity building</v>
          </cell>
        </row>
        <row r="558">
          <cell r="I558">
            <v>0</v>
          </cell>
          <cell r="L558">
            <v>0</v>
          </cell>
          <cell r="P558">
            <v>0</v>
          </cell>
          <cell r="Q558" t="str">
            <v>71204VN</v>
          </cell>
          <cell r="R558" t="str">
            <v>0</v>
          </cell>
          <cell r="S558" t="str">
            <v/>
          </cell>
        </row>
        <row r="559">
          <cell r="I559">
            <v>-3071247</v>
          </cell>
          <cell r="L559">
            <v>-3071247</v>
          </cell>
          <cell r="P559">
            <v>0</v>
          </cell>
          <cell r="Q559" t="str">
            <v>71219VN</v>
          </cell>
          <cell r="R559" t="str">
            <v/>
          </cell>
          <cell r="S559" t="str">
            <v xml:space="preserve">Organisational capacity building </v>
          </cell>
        </row>
        <row r="560">
          <cell r="I560">
            <v>2339343</v>
          </cell>
          <cell r="L560">
            <v>2339343</v>
          </cell>
          <cell r="P560">
            <v>0</v>
          </cell>
          <cell r="Q560" t="str">
            <v>1500VN</v>
          </cell>
          <cell r="R560" t="str">
            <v>VNOther</v>
          </cell>
          <cell r="S560" t="str">
            <v>mannual input</v>
          </cell>
        </row>
        <row r="561">
          <cell r="I561">
            <v>0</v>
          </cell>
          <cell r="L561">
            <v>0</v>
          </cell>
          <cell r="P561">
            <v>0</v>
          </cell>
          <cell r="Q561" t="str">
            <v>73209VN</v>
          </cell>
          <cell r="R561" t="str">
            <v>0</v>
          </cell>
          <cell r="S561" t="str">
            <v/>
          </cell>
        </row>
        <row r="562">
          <cell r="I562">
            <v>4583950</v>
          </cell>
          <cell r="L562">
            <v>4583950</v>
          </cell>
          <cell r="P562">
            <v>0</v>
          </cell>
          <cell r="Q562" t="str">
            <v>71219VN</v>
          </cell>
          <cell r="R562" t="str">
            <v/>
          </cell>
          <cell r="S562" t="str">
            <v xml:space="preserve">Organisational capacity building </v>
          </cell>
        </row>
        <row r="563">
          <cell r="I563">
            <v>3097440</v>
          </cell>
          <cell r="L563">
            <v>3097440</v>
          </cell>
          <cell r="P563">
            <v>0</v>
          </cell>
          <cell r="Q563" t="str">
            <v>71219VN</v>
          </cell>
          <cell r="R563" t="str">
            <v>VNOther</v>
          </cell>
          <cell r="S563" t="str">
            <v xml:space="preserve">Organisational capacity building </v>
          </cell>
        </row>
        <row r="564">
          <cell r="I564">
            <v>6288743</v>
          </cell>
          <cell r="L564">
            <v>6288743</v>
          </cell>
          <cell r="P564">
            <v>0</v>
          </cell>
          <cell r="Q564" t="str">
            <v>71219VN</v>
          </cell>
          <cell r="R564" t="str">
            <v>VNOther</v>
          </cell>
          <cell r="S564" t="str">
            <v xml:space="preserve">Organisational capacity building </v>
          </cell>
        </row>
        <row r="565">
          <cell r="I565">
            <v>13970133</v>
          </cell>
          <cell r="L565">
            <v>13970133</v>
          </cell>
          <cell r="P565">
            <v>0</v>
          </cell>
          <cell r="Q565" t="str">
            <v>1500VN</v>
          </cell>
          <cell r="R565" t="str">
            <v>VNOther</v>
          </cell>
          <cell r="S565" t="str">
            <v>mannual input</v>
          </cell>
        </row>
        <row r="566">
          <cell r="L566">
            <v>0</v>
          </cell>
          <cell r="P566">
            <v>0</v>
          </cell>
          <cell r="Q566" t="str">
            <v/>
          </cell>
          <cell r="R566" t="str">
            <v>0</v>
          </cell>
          <cell r="S566" t="str">
            <v/>
          </cell>
        </row>
        <row r="567">
          <cell r="I567">
            <v>-23873842</v>
          </cell>
        </row>
        <row r="568">
          <cell r="I568">
            <v>28176939</v>
          </cell>
          <cell r="L568">
            <v>28176939</v>
          </cell>
          <cell r="P568">
            <v>0</v>
          </cell>
          <cell r="Q568" t="str">
            <v>71121VN</v>
          </cell>
          <cell r="R568" t="str">
            <v>VNMOET</v>
          </cell>
          <cell r="S568" t="str">
            <v>Organisational capacity building</v>
          </cell>
        </row>
        <row r="569">
          <cell r="I569">
            <v>0</v>
          </cell>
          <cell r="L569">
            <v>0</v>
          </cell>
          <cell r="P569">
            <v>0</v>
          </cell>
          <cell r="Q569" t="str">
            <v>71121VN</v>
          </cell>
          <cell r="R569" t="str">
            <v>0</v>
          </cell>
          <cell r="S569" t="str">
            <v/>
          </cell>
        </row>
        <row r="570">
          <cell r="I570">
            <v>-2913596</v>
          </cell>
          <cell r="L570">
            <v>-2913596</v>
          </cell>
          <cell r="P570">
            <v>0</v>
          </cell>
          <cell r="Q570" t="str">
            <v>71139VN</v>
          </cell>
          <cell r="R570" t="str">
            <v/>
          </cell>
          <cell r="S570" t="str">
            <v xml:space="preserve">Organisational capacity building </v>
          </cell>
        </row>
        <row r="571">
          <cell r="I571">
            <v>1389501</v>
          </cell>
          <cell r="L571">
            <v>1389501</v>
          </cell>
          <cell r="P571">
            <v>0</v>
          </cell>
          <cell r="Q571" t="str">
            <v>1500VN</v>
          </cell>
          <cell r="R571" t="str">
            <v>VNMOET</v>
          </cell>
          <cell r="S571" t="str">
            <v>mannual input</v>
          </cell>
        </row>
        <row r="572">
          <cell r="I572">
            <v>0</v>
          </cell>
          <cell r="L572">
            <v>0</v>
          </cell>
          <cell r="P572">
            <v>0</v>
          </cell>
          <cell r="Q572" t="str">
            <v>73209VN</v>
          </cell>
          <cell r="R572" t="str">
            <v>0</v>
          </cell>
          <cell r="S572" t="str">
            <v/>
          </cell>
        </row>
        <row r="573">
          <cell r="I573">
            <v>2913596</v>
          </cell>
          <cell r="L573">
            <v>2913596</v>
          </cell>
          <cell r="P573">
            <v>0</v>
          </cell>
          <cell r="Q573" t="str">
            <v>71139VN</v>
          </cell>
          <cell r="R573" t="str">
            <v/>
          </cell>
          <cell r="S573" t="str">
            <v xml:space="preserve">Organisational capacity building </v>
          </cell>
        </row>
        <row r="574">
          <cell r="I574">
            <v>5965935</v>
          </cell>
          <cell r="L574">
            <v>5965935</v>
          </cell>
          <cell r="P574">
            <v>0</v>
          </cell>
          <cell r="Q574" t="str">
            <v>71139VN</v>
          </cell>
          <cell r="R574" t="str">
            <v>VNMOET</v>
          </cell>
          <cell r="S574" t="str">
            <v xml:space="preserve">Organisational capacity building </v>
          </cell>
        </row>
        <row r="575">
          <cell r="I575">
            <v>8879531</v>
          </cell>
          <cell r="L575">
            <v>8879531</v>
          </cell>
          <cell r="P575">
            <v>0</v>
          </cell>
          <cell r="Q575" t="str">
            <v>1500VN</v>
          </cell>
          <cell r="R575" t="str">
            <v>VNMOET</v>
          </cell>
          <cell r="S575" t="str">
            <v>mannual input</v>
          </cell>
        </row>
        <row r="576">
          <cell r="L576">
            <v>0</v>
          </cell>
          <cell r="P576">
            <v>0</v>
          </cell>
          <cell r="Q576" t="str">
            <v/>
          </cell>
          <cell r="R576" t="str">
            <v>0</v>
          </cell>
          <cell r="S576" t="str">
            <v/>
          </cell>
        </row>
        <row r="577">
          <cell r="I577">
            <v>-55162782</v>
          </cell>
        </row>
        <row r="578">
          <cell r="I578">
            <v>64825376</v>
          </cell>
          <cell r="L578">
            <v>64825376</v>
          </cell>
          <cell r="P578">
            <v>0</v>
          </cell>
          <cell r="Q578" t="str">
            <v>71101VN</v>
          </cell>
          <cell r="R578" t="str">
            <v>VNHBC</v>
          </cell>
          <cell r="S578" t="str">
            <v>Organisational capacity building</v>
          </cell>
        </row>
        <row r="579">
          <cell r="I579">
            <v>0</v>
          </cell>
          <cell r="L579">
            <v>0</v>
          </cell>
          <cell r="P579">
            <v>0</v>
          </cell>
          <cell r="Q579" t="str">
            <v>71101VN</v>
          </cell>
          <cell r="R579" t="str">
            <v>0</v>
          </cell>
          <cell r="S579" t="str">
            <v/>
          </cell>
        </row>
        <row r="580">
          <cell r="I580">
            <v>-5084398</v>
          </cell>
          <cell r="L580">
            <v>-5084398</v>
          </cell>
          <cell r="P580">
            <v>0</v>
          </cell>
          <cell r="Q580" t="str">
            <v>71139VN</v>
          </cell>
          <cell r="R580" t="str">
            <v/>
          </cell>
          <cell r="S580" t="str">
            <v xml:space="preserve">Organisational capacity building </v>
          </cell>
        </row>
        <row r="581">
          <cell r="I581">
            <v>4578196</v>
          </cell>
          <cell r="L581">
            <v>4578196</v>
          </cell>
          <cell r="P581">
            <v>0</v>
          </cell>
          <cell r="Q581" t="str">
            <v>1500VN</v>
          </cell>
          <cell r="R581" t="str">
            <v>VNHBC</v>
          </cell>
          <cell r="S581" t="str">
            <v>mannual input</v>
          </cell>
        </row>
        <row r="582">
          <cell r="I582">
            <v>0</v>
          </cell>
          <cell r="L582">
            <v>0</v>
          </cell>
          <cell r="P582">
            <v>0</v>
          </cell>
          <cell r="Q582" t="str">
            <v>73209VN</v>
          </cell>
          <cell r="R582" t="str">
            <v>0</v>
          </cell>
          <cell r="S582" t="str">
            <v/>
          </cell>
        </row>
        <row r="583">
          <cell r="I583">
            <v>5084398</v>
          </cell>
          <cell r="L583">
            <v>5084398</v>
          </cell>
          <cell r="P583">
            <v>0</v>
          </cell>
          <cell r="Q583" t="str">
            <v>71139VN</v>
          </cell>
          <cell r="R583" t="str">
            <v/>
          </cell>
          <cell r="S583" t="str">
            <v xml:space="preserve">Organisational capacity building </v>
          </cell>
        </row>
        <row r="584">
          <cell r="I584">
            <v>10232398</v>
          </cell>
          <cell r="L584">
            <v>10232398</v>
          </cell>
          <cell r="P584">
            <v>0</v>
          </cell>
          <cell r="Q584" t="str">
            <v>71139VN</v>
          </cell>
          <cell r="R584" t="str">
            <v>VNHBC</v>
          </cell>
          <cell r="S584" t="str">
            <v xml:space="preserve">Organisational capacity building </v>
          </cell>
        </row>
        <row r="585">
          <cell r="I585">
            <v>15316796</v>
          </cell>
          <cell r="L585">
            <v>15316796</v>
          </cell>
          <cell r="P585">
            <v>0</v>
          </cell>
          <cell r="Q585" t="str">
            <v>1500VN</v>
          </cell>
          <cell r="R585" t="str">
            <v>VNHBC</v>
          </cell>
          <cell r="S585" t="str">
            <v>mannual input</v>
          </cell>
        </row>
        <row r="586">
          <cell r="L586">
            <v>0</v>
          </cell>
          <cell r="P586">
            <v>0</v>
          </cell>
          <cell r="Q586" t="str">
            <v/>
          </cell>
          <cell r="R586" t="str">
            <v>0</v>
          </cell>
          <cell r="S586" t="str">
            <v/>
          </cell>
        </row>
        <row r="587">
          <cell r="I587">
            <v>-18069847</v>
          </cell>
        </row>
        <row r="588">
          <cell r="I588">
            <v>0</v>
          </cell>
          <cell r="L588">
            <v>0</v>
          </cell>
          <cell r="P588">
            <v>0</v>
          </cell>
          <cell r="Q588" t="str">
            <v>71121VN</v>
          </cell>
          <cell r="R588" t="str">
            <v>0</v>
          </cell>
          <cell r="S588" t="str">
            <v/>
          </cell>
        </row>
        <row r="589">
          <cell r="I589">
            <v>0</v>
          </cell>
          <cell r="L589">
            <v>0</v>
          </cell>
          <cell r="P589">
            <v>0</v>
          </cell>
          <cell r="Q589" t="str">
            <v>71121VN</v>
          </cell>
          <cell r="R589" t="str">
            <v>0</v>
          </cell>
          <cell r="S589" t="str">
            <v/>
          </cell>
        </row>
        <row r="590">
          <cell r="I590">
            <v>0</v>
          </cell>
          <cell r="L590">
            <v>0</v>
          </cell>
          <cell r="P590">
            <v>0</v>
          </cell>
          <cell r="Q590" t="str">
            <v>71139VN</v>
          </cell>
          <cell r="R590" t="str">
            <v>0</v>
          </cell>
          <cell r="S590" t="str">
            <v/>
          </cell>
        </row>
        <row r="591">
          <cell r="I591">
            <v>20310548</v>
          </cell>
          <cell r="L591">
            <v>20310548</v>
          </cell>
          <cell r="P591">
            <v>0</v>
          </cell>
          <cell r="Q591" t="str">
            <v>71121VN</v>
          </cell>
          <cell r="R591" t="str">
            <v>VNHBC7</v>
          </cell>
          <cell r="S591" t="str">
            <v>Organisational capacity building</v>
          </cell>
        </row>
        <row r="592">
          <cell r="I592">
            <v>0</v>
          </cell>
          <cell r="L592">
            <v>0</v>
          </cell>
          <cell r="P592">
            <v>0</v>
          </cell>
          <cell r="Q592" t="str">
            <v>71121VN</v>
          </cell>
          <cell r="R592" t="str">
            <v>0</v>
          </cell>
          <cell r="S592" t="str">
            <v/>
          </cell>
        </row>
        <row r="593">
          <cell r="I593">
            <v>-2100183</v>
          </cell>
          <cell r="L593">
            <v>-2100183</v>
          </cell>
          <cell r="P593">
            <v>0</v>
          </cell>
          <cell r="Q593" t="str">
            <v>71139VN</v>
          </cell>
          <cell r="R593" t="str">
            <v/>
          </cell>
          <cell r="S593" t="str">
            <v xml:space="preserve">Organisational capacity building </v>
          </cell>
        </row>
        <row r="594">
          <cell r="I594">
            <v>140518</v>
          </cell>
          <cell r="L594">
            <v>140518</v>
          </cell>
          <cell r="P594">
            <v>0</v>
          </cell>
          <cell r="Q594" t="str">
            <v>1500VN</v>
          </cell>
          <cell r="R594" t="str">
            <v>VNHBC7</v>
          </cell>
          <cell r="S594" t="str">
            <v>mannual input</v>
          </cell>
        </row>
        <row r="595">
          <cell r="I595">
            <v>0</v>
          </cell>
          <cell r="L595">
            <v>0</v>
          </cell>
          <cell r="P595">
            <v>0</v>
          </cell>
          <cell r="Q595" t="str">
            <v>73209VN</v>
          </cell>
          <cell r="R595" t="str">
            <v>0</v>
          </cell>
          <cell r="S595" t="str">
            <v/>
          </cell>
        </row>
        <row r="596">
          <cell r="I596">
            <v>2100183</v>
          </cell>
          <cell r="L596">
            <v>2100183</v>
          </cell>
          <cell r="P596">
            <v>0</v>
          </cell>
          <cell r="Q596" t="str">
            <v>71139VN</v>
          </cell>
          <cell r="R596" t="str">
            <v/>
          </cell>
          <cell r="S596" t="str">
            <v xml:space="preserve">Organisational capacity building </v>
          </cell>
        </row>
        <row r="597">
          <cell r="I597">
            <v>0</v>
          </cell>
          <cell r="L597">
            <v>0</v>
          </cell>
          <cell r="P597">
            <v>0</v>
          </cell>
          <cell r="Q597" t="str">
            <v>71139VN</v>
          </cell>
          <cell r="R597" t="str">
            <v>0</v>
          </cell>
          <cell r="S597" t="str">
            <v/>
          </cell>
        </row>
        <row r="598">
          <cell r="I598">
            <v>4300375</v>
          </cell>
          <cell r="L598">
            <v>4300375</v>
          </cell>
          <cell r="P598">
            <v>0</v>
          </cell>
          <cell r="Q598" t="str">
            <v>71139VN</v>
          </cell>
          <cell r="R598" t="str">
            <v>VNHBC7</v>
          </cell>
          <cell r="S598" t="str">
            <v xml:space="preserve">Organisational capacity building </v>
          </cell>
        </row>
        <row r="599">
          <cell r="I599">
            <v>6400558</v>
          </cell>
          <cell r="L599">
            <v>6400558</v>
          </cell>
          <cell r="P599">
            <v>0</v>
          </cell>
          <cell r="Q599" t="str">
            <v>1500VN</v>
          </cell>
          <cell r="R599" t="str">
            <v>VNHBC7</v>
          </cell>
          <cell r="S599" t="str">
            <v>mannual input</v>
          </cell>
        </row>
        <row r="600">
          <cell r="L600">
            <v>0</v>
          </cell>
          <cell r="P600">
            <v>0</v>
          </cell>
          <cell r="Q600" t="str">
            <v/>
          </cell>
          <cell r="R600" t="str">
            <v>0</v>
          </cell>
          <cell r="S600" t="str">
            <v/>
          </cell>
        </row>
        <row r="601">
          <cell r="I601">
            <v>-44403360</v>
          </cell>
        </row>
        <row r="602">
          <cell r="I602">
            <v>43778176</v>
          </cell>
          <cell r="L602">
            <v>43778176</v>
          </cell>
          <cell r="P602">
            <v>0</v>
          </cell>
          <cell r="Q602" t="str">
            <v>71206VN</v>
          </cell>
          <cell r="R602" t="str">
            <v>VNMOET</v>
          </cell>
          <cell r="S602" t="str">
            <v>Organisational capacity building</v>
          </cell>
        </row>
        <row r="603">
          <cell r="I603">
            <v>0</v>
          </cell>
          <cell r="L603">
            <v>0</v>
          </cell>
          <cell r="P603">
            <v>0</v>
          </cell>
          <cell r="Q603" t="str">
            <v>71206VN</v>
          </cell>
          <cell r="R603" t="str">
            <v>0</v>
          </cell>
          <cell r="S603" t="str">
            <v/>
          </cell>
        </row>
        <row r="604">
          <cell r="I604">
            <v>-3987926</v>
          </cell>
          <cell r="L604">
            <v>-3987926</v>
          </cell>
          <cell r="P604">
            <v>0</v>
          </cell>
          <cell r="Q604" t="str">
            <v>71219VN</v>
          </cell>
          <cell r="R604" t="str">
            <v/>
          </cell>
          <cell r="S604" t="str">
            <v xml:space="preserve">Organisational capacity building </v>
          </cell>
        </row>
        <row r="605">
          <cell r="I605">
            <v>10944544</v>
          </cell>
          <cell r="L605">
            <v>10944544</v>
          </cell>
          <cell r="P605">
            <v>0</v>
          </cell>
          <cell r="Q605" t="str">
            <v>71206VN</v>
          </cell>
          <cell r="R605" t="str">
            <v>VNMOET</v>
          </cell>
          <cell r="S605" t="str">
            <v>Organisational capacity building</v>
          </cell>
        </row>
        <row r="606">
          <cell r="I606">
            <v>0</v>
          </cell>
          <cell r="L606">
            <v>0</v>
          </cell>
          <cell r="P606">
            <v>0</v>
          </cell>
          <cell r="Q606" t="str">
            <v>71206VN</v>
          </cell>
          <cell r="R606" t="str">
            <v>0</v>
          </cell>
          <cell r="S606" t="str">
            <v/>
          </cell>
        </row>
        <row r="607">
          <cell r="I607">
            <v>-996981</v>
          </cell>
          <cell r="L607">
            <v>-996981</v>
          </cell>
          <cell r="P607">
            <v>0</v>
          </cell>
          <cell r="Q607" t="str">
            <v>71219VN</v>
          </cell>
          <cell r="R607" t="str">
            <v/>
          </cell>
          <cell r="S607" t="str">
            <v xml:space="preserve">Organisational capacity building </v>
          </cell>
        </row>
        <row r="608">
          <cell r="I608">
            <v>5334453</v>
          </cell>
          <cell r="L608">
            <v>5334453</v>
          </cell>
          <cell r="P608">
            <v>0</v>
          </cell>
          <cell r="Q608" t="str">
            <v>1500VN</v>
          </cell>
          <cell r="R608" t="str">
            <v>VNMOET</v>
          </cell>
          <cell r="S608" t="str">
            <v>mannual input</v>
          </cell>
        </row>
        <row r="609">
          <cell r="I609">
            <v>0</v>
          </cell>
          <cell r="L609">
            <v>0</v>
          </cell>
          <cell r="P609">
            <v>0</v>
          </cell>
          <cell r="Q609" t="str">
            <v>73209VN</v>
          </cell>
          <cell r="R609" t="str">
            <v>0</v>
          </cell>
          <cell r="S609" t="str">
            <v/>
          </cell>
        </row>
        <row r="610">
          <cell r="I610">
            <v>4984907</v>
          </cell>
          <cell r="L610">
            <v>4984907</v>
          </cell>
          <cell r="P610">
            <v>0</v>
          </cell>
          <cell r="Q610" t="str">
            <v>71219VN</v>
          </cell>
          <cell r="R610" t="str">
            <v/>
          </cell>
          <cell r="S610" t="str">
            <v xml:space="preserve">Organisational capacity building </v>
          </cell>
        </row>
        <row r="611">
          <cell r="I611">
            <v>8106326</v>
          </cell>
          <cell r="L611">
            <v>8106326</v>
          </cell>
          <cell r="P611">
            <v>0</v>
          </cell>
          <cell r="Q611" t="str">
            <v>71219VN</v>
          </cell>
          <cell r="R611" t="str">
            <v>VNMOET</v>
          </cell>
          <cell r="S611" t="str">
            <v xml:space="preserve">Organisational capacity building </v>
          </cell>
        </row>
        <row r="612">
          <cell r="I612">
            <v>2026581</v>
          </cell>
          <cell r="L612">
            <v>2026581</v>
          </cell>
          <cell r="P612">
            <v>0</v>
          </cell>
          <cell r="Q612" t="str">
            <v>71219VN</v>
          </cell>
          <cell r="R612" t="str">
            <v>VNMOET</v>
          </cell>
          <cell r="S612" t="str">
            <v xml:space="preserve">Organisational capacity building </v>
          </cell>
        </row>
        <row r="613">
          <cell r="I613">
            <v>15117814</v>
          </cell>
          <cell r="L613">
            <v>15117814</v>
          </cell>
          <cell r="P613">
            <v>0</v>
          </cell>
          <cell r="Q613" t="str">
            <v>1500VN</v>
          </cell>
          <cell r="R613" t="str">
            <v>VNMOET</v>
          </cell>
          <cell r="S613" t="str">
            <v>mannual input</v>
          </cell>
        </row>
        <row r="614">
          <cell r="L614">
            <v>0</v>
          </cell>
          <cell r="P614">
            <v>0</v>
          </cell>
          <cell r="Q614" t="str">
            <v/>
          </cell>
          <cell r="R614" t="str">
            <v>0</v>
          </cell>
          <cell r="S614" t="str">
            <v/>
          </cell>
        </row>
        <row r="615">
          <cell r="I615">
            <v>-42352898</v>
          </cell>
        </row>
        <row r="616">
          <cell r="I616">
            <v>51986584</v>
          </cell>
          <cell r="L616">
            <v>51986584</v>
          </cell>
          <cell r="P616">
            <v>0</v>
          </cell>
          <cell r="Q616" t="str">
            <v>71208VN</v>
          </cell>
          <cell r="R616" t="str">
            <v>VNMOET</v>
          </cell>
          <cell r="S616" t="str">
            <v>Organisational capacity building</v>
          </cell>
        </row>
        <row r="617">
          <cell r="I617">
            <v>0</v>
          </cell>
          <cell r="L617">
            <v>0</v>
          </cell>
          <cell r="P617">
            <v>0</v>
          </cell>
          <cell r="Q617" t="str">
            <v>71208VN</v>
          </cell>
          <cell r="R617" t="str">
            <v>0</v>
          </cell>
          <cell r="S617" t="str">
            <v/>
          </cell>
        </row>
        <row r="618">
          <cell r="I618">
            <v>-4957962</v>
          </cell>
          <cell r="L618">
            <v>-4957962</v>
          </cell>
          <cell r="P618">
            <v>0</v>
          </cell>
          <cell r="Q618" t="str">
            <v>71219VN</v>
          </cell>
          <cell r="R618" t="str">
            <v/>
          </cell>
          <cell r="S618" t="str">
            <v xml:space="preserve">Organisational capacity building </v>
          </cell>
        </row>
        <row r="619">
          <cell r="I619">
            <v>4675724</v>
          </cell>
          <cell r="L619">
            <v>4675724</v>
          </cell>
          <cell r="P619">
            <v>0</v>
          </cell>
          <cell r="Q619" t="str">
            <v>1500VN</v>
          </cell>
          <cell r="R619" t="str">
            <v>VNMOET</v>
          </cell>
          <cell r="S619" t="str">
            <v>mannual input</v>
          </cell>
        </row>
        <row r="620">
          <cell r="I620">
            <v>0</v>
          </cell>
          <cell r="L620">
            <v>0</v>
          </cell>
          <cell r="P620">
            <v>0</v>
          </cell>
          <cell r="Q620" t="str">
            <v>73209VN</v>
          </cell>
          <cell r="R620" t="str">
            <v>0</v>
          </cell>
          <cell r="S620" t="str">
            <v/>
          </cell>
        </row>
        <row r="621">
          <cell r="I621">
            <v>4957962</v>
          </cell>
          <cell r="L621">
            <v>4957962</v>
          </cell>
          <cell r="P621">
            <v>0</v>
          </cell>
          <cell r="Q621" t="str">
            <v>71219VN</v>
          </cell>
          <cell r="R621" t="str">
            <v/>
          </cell>
          <cell r="S621" t="str">
            <v xml:space="preserve">Organisational capacity building </v>
          </cell>
        </row>
        <row r="622">
          <cell r="I622">
            <v>10105962</v>
          </cell>
          <cell r="L622">
            <v>10105962</v>
          </cell>
          <cell r="P622">
            <v>0</v>
          </cell>
          <cell r="Q622" t="str">
            <v>71219VN</v>
          </cell>
          <cell r="R622" t="str">
            <v>VNMOET</v>
          </cell>
          <cell r="S622" t="str">
            <v xml:space="preserve">Organisational capacity building </v>
          </cell>
        </row>
        <row r="623">
          <cell r="I623">
            <v>15063924</v>
          </cell>
          <cell r="L623">
            <v>15063924</v>
          </cell>
          <cell r="P623">
            <v>0</v>
          </cell>
          <cell r="Q623" t="str">
            <v>1500VN</v>
          </cell>
          <cell r="R623" t="str">
            <v>VNMOET</v>
          </cell>
          <cell r="S623" t="str">
            <v>mannual input</v>
          </cell>
        </row>
        <row r="624">
          <cell r="L624">
            <v>0</v>
          </cell>
          <cell r="P624">
            <v>0</v>
          </cell>
          <cell r="Q624" t="str">
            <v/>
          </cell>
          <cell r="R624" t="str">
            <v>0</v>
          </cell>
          <cell r="S624" t="str">
            <v/>
          </cell>
        </row>
        <row r="625">
          <cell r="I625">
            <v>-44403360</v>
          </cell>
        </row>
        <row r="626">
          <cell r="I626">
            <v>54722720</v>
          </cell>
          <cell r="L626">
            <v>54722720</v>
          </cell>
          <cell r="P626">
            <v>0</v>
          </cell>
          <cell r="Q626" t="str">
            <v>71208VN</v>
          </cell>
          <cell r="R626" t="str">
            <v>VNMOET</v>
          </cell>
          <cell r="S626" t="str">
            <v>Organisational capacity building</v>
          </cell>
        </row>
        <row r="627">
          <cell r="I627">
            <v>0</v>
          </cell>
          <cell r="L627">
            <v>0</v>
          </cell>
          <cell r="P627">
            <v>0</v>
          </cell>
          <cell r="Q627" t="str">
            <v>71208VN</v>
          </cell>
          <cell r="R627" t="str">
            <v>0</v>
          </cell>
          <cell r="S627" t="str">
            <v/>
          </cell>
        </row>
        <row r="628">
          <cell r="I628">
            <v>-4984907</v>
          </cell>
          <cell r="L628">
            <v>-4984907</v>
          </cell>
          <cell r="P628">
            <v>0</v>
          </cell>
          <cell r="Q628" t="str">
            <v>71219VN</v>
          </cell>
          <cell r="R628" t="str">
            <v/>
          </cell>
          <cell r="S628" t="str">
            <v xml:space="preserve">Organisational capacity building </v>
          </cell>
        </row>
        <row r="629">
          <cell r="I629">
            <v>5334453</v>
          </cell>
          <cell r="L629">
            <v>5334453</v>
          </cell>
          <cell r="P629">
            <v>0</v>
          </cell>
          <cell r="Q629" t="str">
            <v>1500VN</v>
          </cell>
          <cell r="R629" t="str">
            <v>VNMOET</v>
          </cell>
          <cell r="S629" t="str">
            <v>mannual input</v>
          </cell>
        </row>
        <row r="630">
          <cell r="I630">
            <v>0</v>
          </cell>
          <cell r="L630">
            <v>0</v>
          </cell>
          <cell r="P630">
            <v>0</v>
          </cell>
          <cell r="Q630" t="str">
            <v>73209VN</v>
          </cell>
          <cell r="R630" t="str">
            <v>0</v>
          </cell>
          <cell r="S630" t="str">
            <v/>
          </cell>
        </row>
        <row r="631">
          <cell r="I631">
            <v>4984907</v>
          </cell>
          <cell r="L631">
            <v>4984907</v>
          </cell>
          <cell r="P631">
            <v>0</v>
          </cell>
          <cell r="Q631" t="str">
            <v>71219VN</v>
          </cell>
          <cell r="R631" t="str">
            <v/>
          </cell>
          <cell r="S631" t="str">
            <v xml:space="preserve">Organisational capacity building </v>
          </cell>
        </row>
        <row r="632">
          <cell r="I632">
            <v>10132907</v>
          </cell>
          <cell r="L632">
            <v>10132907</v>
          </cell>
          <cell r="P632">
            <v>0</v>
          </cell>
          <cell r="Q632" t="str">
            <v>71219VN</v>
          </cell>
          <cell r="R632" t="str">
            <v>VNMOET</v>
          </cell>
          <cell r="S632" t="str">
            <v xml:space="preserve">Organisational capacity building </v>
          </cell>
        </row>
        <row r="633">
          <cell r="I633">
            <v>15117814</v>
          </cell>
          <cell r="L633">
            <v>15117814</v>
          </cell>
          <cell r="P633">
            <v>0</v>
          </cell>
          <cell r="Q633" t="str">
            <v>1500VN</v>
          </cell>
          <cell r="R633" t="str">
            <v>VNMOET</v>
          </cell>
          <cell r="S633" t="str">
            <v>mannual input</v>
          </cell>
        </row>
        <row r="634">
          <cell r="L634">
            <v>0</v>
          </cell>
          <cell r="P634">
            <v>0</v>
          </cell>
          <cell r="Q634" t="str">
            <v/>
          </cell>
          <cell r="R634" t="str">
            <v>0</v>
          </cell>
          <cell r="S634" t="str">
            <v/>
          </cell>
        </row>
        <row r="635">
          <cell r="I635">
            <v>-35930433</v>
          </cell>
        </row>
        <row r="636">
          <cell r="I636">
            <v>22362650</v>
          </cell>
          <cell r="L636">
            <v>22362650</v>
          </cell>
          <cell r="P636">
            <v>0</v>
          </cell>
          <cell r="Q636" t="str">
            <v>71205VN</v>
          </cell>
          <cell r="R636" t="str">
            <v>VNOther</v>
          </cell>
          <cell r="S636" t="str">
            <v>Organisational capacity building</v>
          </cell>
        </row>
        <row r="637">
          <cell r="I637">
            <v>0</v>
          </cell>
          <cell r="L637">
            <v>0</v>
          </cell>
          <cell r="P637">
            <v>0</v>
          </cell>
          <cell r="Q637" t="str">
            <v>71205VN</v>
          </cell>
          <cell r="R637" t="str">
            <v>0</v>
          </cell>
          <cell r="S637" t="str">
            <v/>
          </cell>
        </row>
        <row r="638">
          <cell r="I638">
            <v>-2312379</v>
          </cell>
          <cell r="L638">
            <v>-2312379</v>
          </cell>
          <cell r="P638">
            <v>0</v>
          </cell>
          <cell r="Q638" t="str">
            <v>71219VN</v>
          </cell>
          <cell r="R638" t="str">
            <v/>
          </cell>
          <cell r="S638" t="str">
            <v xml:space="preserve">Organisational capacity building </v>
          </cell>
        </row>
        <row r="639">
          <cell r="I639">
            <v>22362650</v>
          </cell>
          <cell r="L639">
            <v>22362650</v>
          </cell>
          <cell r="P639">
            <v>0</v>
          </cell>
          <cell r="Q639" t="str">
            <v>71205VN</v>
          </cell>
          <cell r="R639" t="str">
            <v>VNOther</v>
          </cell>
          <cell r="S639" t="str">
            <v>Organisational capacity building</v>
          </cell>
        </row>
        <row r="640">
          <cell r="I640">
            <v>0</v>
          </cell>
          <cell r="L640">
            <v>0</v>
          </cell>
          <cell r="P640">
            <v>0</v>
          </cell>
          <cell r="Q640" t="str">
            <v>71205VN</v>
          </cell>
          <cell r="R640" t="str">
            <v>0</v>
          </cell>
          <cell r="S640" t="str">
            <v/>
          </cell>
        </row>
        <row r="641">
          <cell r="I641">
            <v>-2312379</v>
          </cell>
          <cell r="L641">
            <v>-2312379</v>
          </cell>
          <cell r="P641">
            <v>0</v>
          </cell>
          <cell r="Q641" t="str">
            <v>71219VN</v>
          </cell>
          <cell r="R641" t="str">
            <v/>
          </cell>
          <cell r="S641" t="str">
            <v xml:space="preserve">Organisational capacity building </v>
          </cell>
        </row>
        <row r="642">
          <cell r="I642">
            <v>4170109</v>
          </cell>
          <cell r="L642">
            <v>4170109</v>
          </cell>
          <cell r="P642">
            <v>0</v>
          </cell>
          <cell r="Q642" t="str">
            <v>1500VN</v>
          </cell>
          <cell r="R642" t="str">
            <v>VNOther</v>
          </cell>
          <cell r="S642" t="str">
            <v>mannual input</v>
          </cell>
        </row>
        <row r="643">
          <cell r="I643">
            <v>0</v>
          </cell>
          <cell r="L643">
            <v>0</v>
          </cell>
          <cell r="P643">
            <v>0</v>
          </cell>
          <cell r="Q643" t="str">
            <v>73209VN</v>
          </cell>
          <cell r="R643" t="str">
            <v>0</v>
          </cell>
          <cell r="S643" t="str">
            <v/>
          </cell>
        </row>
        <row r="644">
          <cell r="I644">
            <v>4624757</v>
          </cell>
          <cell r="L644">
            <v>4624757</v>
          </cell>
          <cell r="P644">
            <v>0</v>
          </cell>
          <cell r="Q644" t="str">
            <v>71219VN</v>
          </cell>
          <cell r="R644" t="str">
            <v/>
          </cell>
          <cell r="S644" t="str">
            <v xml:space="preserve">Organisational capacity building </v>
          </cell>
        </row>
        <row r="645">
          <cell r="I645">
            <v>4734870</v>
          </cell>
          <cell r="L645">
            <v>4734870</v>
          </cell>
          <cell r="P645">
            <v>0</v>
          </cell>
          <cell r="Q645" t="str">
            <v>71219VN</v>
          </cell>
          <cell r="R645" t="str">
            <v>VNOther</v>
          </cell>
          <cell r="S645" t="str">
            <v xml:space="preserve">Organisational capacity building </v>
          </cell>
        </row>
        <row r="646">
          <cell r="I646">
            <v>4734870</v>
          </cell>
          <cell r="L646">
            <v>4734870</v>
          </cell>
          <cell r="P646">
            <v>0</v>
          </cell>
          <cell r="Q646" t="str">
            <v>71219VN</v>
          </cell>
          <cell r="R646" t="str">
            <v>VNOther</v>
          </cell>
          <cell r="S646" t="str">
            <v xml:space="preserve">Organisational capacity building </v>
          </cell>
        </row>
        <row r="647">
          <cell r="I647">
            <v>14094497</v>
          </cell>
          <cell r="L647">
            <v>14094497</v>
          </cell>
          <cell r="P647">
            <v>0</v>
          </cell>
          <cell r="Q647" t="str">
            <v>1500VN</v>
          </cell>
          <cell r="R647" t="str">
            <v>VNOther</v>
          </cell>
          <cell r="S647" t="str">
            <v>mannual input</v>
          </cell>
        </row>
        <row r="648">
          <cell r="L648">
            <v>0</v>
          </cell>
          <cell r="P648">
            <v>0</v>
          </cell>
          <cell r="Q648" t="str">
            <v/>
          </cell>
          <cell r="R648" t="str">
            <v>0</v>
          </cell>
          <cell r="S648" t="str">
            <v/>
          </cell>
        </row>
        <row r="649">
          <cell r="I649">
            <v>-61230993</v>
          </cell>
        </row>
        <row r="650">
          <cell r="I650">
            <v>37950733</v>
          </cell>
          <cell r="L650">
            <v>37950733</v>
          </cell>
          <cell r="P650">
            <v>0</v>
          </cell>
          <cell r="Q650" t="str">
            <v>71401VN</v>
          </cell>
          <cell r="R650" t="str">
            <v>VNOther</v>
          </cell>
          <cell r="S650" t="str">
            <v>Organisational capacity building</v>
          </cell>
        </row>
        <row r="651">
          <cell r="I651">
            <v>0</v>
          </cell>
          <cell r="L651">
            <v>0</v>
          </cell>
          <cell r="P651">
            <v>0</v>
          </cell>
          <cell r="Q651" t="str">
            <v>71401VN</v>
          </cell>
          <cell r="R651" t="str">
            <v>0</v>
          </cell>
          <cell r="S651" t="str">
            <v/>
          </cell>
        </row>
        <row r="652">
          <cell r="I652">
            <v>-2596738</v>
          </cell>
          <cell r="L652">
            <v>-2596738</v>
          </cell>
          <cell r="P652">
            <v>0</v>
          </cell>
          <cell r="Q652" t="str">
            <v>71409VN</v>
          </cell>
          <cell r="R652" t="str">
            <v/>
          </cell>
          <cell r="S652" t="str">
            <v xml:space="preserve">Organisational capacity building </v>
          </cell>
        </row>
        <row r="653">
          <cell r="I653">
            <v>37950733</v>
          </cell>
          <cell r="L653">
            <v>37950733</v>
          </cell>
          <cell r="P653">
            <v>0</v>
          </cell>
          <cell r="Q653" t="str">
            <v>71401VN</v>
          </cell>
          <cell r="R653" t="str">
            <v>VNOther</v>
          </cell>
          <cell r="S653" t="str">
            <v>Organisational capacity building</v>
          </cell>
        </row>
        <row r="654">
          <cell r="I654">
            <v>0</v>
          </cell>
          <cell r="L654">
            <v>0</v>
          </cell>
          <cell r="P654">
            <v>0</v>
          </cell>
          <cell r="Q654" t="str">
            <v>71401VN</v>
          </cell>
          <cell r="R654" t="str">
            <v>0</v>
          </cell>
          <cell r="S654" t="str">
            <v/>
          </cell>
        </row>
        <row r="655">
          <cell r="I655">
            <v>-2596738</v>
          </cell>
          <cell r="L655">
            <v>-2596738</v>
          </cell>
          <cell r="P655">
            <v>0</v>
          </cell>
          <cell r="Q655" t="str">
            <v>71409VN</v>
          </cell>
          <cell r="R655" t="str">
            <v/>
          </cell>
          <cell r="S655" t="str">
            <v xml:space="preserve">Organisational capacity building </v>
          </cell>
        </row>
        <row r="656">
          <cell r="I656">
            <v>9476998</v>
          </cell>
          <cell r="L656">
            <v>9476998</v>
          </cell>
          <cell r="P656">
            <v>0</v>
          </cell>
          <cell r="Q656" t="str">
            <v>1500VN</v>
          </cell>
          <cell r="R656" t="str">
            <v>VNOther</v>
          </cell>
          <cell r="S656" t="str">
            <v>mannual input</v>
          </cell>
        </row>
        <row r="657">
          <cell r="I657">
            <v>0</v>
          </cell>
          <cell r="L657">
            <v>0</v>
          </cell>
          <cell r="P657">
            <v>0</v>
          </cell>
          <cell r="Q657" t="str">
            <v>73209VN</v>
          </cell>
          <cell r="R657" t="str">
            <v>0</v>
          </cell>
          <cell r="S657" t="str">
            <v/>
          </cell>
        </row>
        <row r="658">
          <cell r="I658">
            <v>5193475</v>
          </cell>
          <cell r="L658">
            <v>5193475</v>
          </cell>
          <cell r="P658">
            <v>0</v>
          </cell>
          <cell r="Q658" t="str">
            <v>71409VN</v>
          </cell>
          <cell r="R658" t="str">
            <v/>
          </cell>
          <cell r="S658" t="str">
            <v xml:space="preserve">Organisational capacity building </v>
          </cell>
        </row>
        <row r="659">
          <cell r="I659">
            <v>5170738</v>
          </cell>
          <cell r="L659">
            <v>5170738</v>
          </cell>
          <cell r="P659">
            <v>0</v>
          </cell>
          <cell r="Q659" t="str">
            <v>71409VN</v>
          </cell>
          <cell r="R659" t="str">
            <v>VNOther</v>
          </cell>
          <cell r="S659" t="str">
            <v xml:space="preserve">Organisational capacity building </v>
          </cell>
        </row>
        <row r="660">
          <cell r="I660">
            <v>5170738</v>
          </cell>
          <cell r="L660">
            <v>5170738</v>
          </cell>
          <cell r="P660">
            <v>0</v>
          </cell>
          <cell r="Q660" t="str">
            <v>71409VN</v>
          </cell>
          <cell r="R660" t="str">
            <v>VNOther</v>
          </cell>
          <cell r="S660" t="str">
            <v xml:space="preserve">Organisational capacity building </v>
          </cell>
        </row>
        <row r="661">
          <cell r="I661">
            <v>15534950</v>
          </cell>
          <cell r="L661">
            <v>15534950</v>
          </cell>
          <cell r="P661">
            <v>0</v>
          </cell>
          <cell r="Q661" t="str">
            <v>1500VN</v>
          </cell>
          <cell r="R661" t="str">
            <v>VNOther</v>
          </cell>
          <cell r="S661" t="str">
            <v>mannual input</v>
          </cell>
        </row>
        <row r="662">
          <cell r="L662">
            <v>0</v>
          </cell>
          <cell r="P662">
            <v>0</v>
          </cell>
          <cell r="Q662" t="str">
            <v/>
          </cell>
          <cell r="R662" t="str">
            <v>0</v>
          </cell>
          <cell r="S662" t="str">
            <v/>
          </cell>
        </row>
        <row r="663">
          <cell r="I663">
            <v>-15415270</v>
          </cell>
        </row>
        <row r="664">
          <cell r="I664">
            <v>3205619</v>
          </cell>
          <cell r="L664">
            <v>3205619</v>
          </cell>
          <cell r="P664">
            <v>0</v>
          </cell>
          <cell r="Q664" t="str">
            <v>71132VN</v>
          </cell>
          <cell r="R664" t="str">
            <v>VNLA</v>
          </cell>
          <cell r="S664" t="str">
            <v>Organisational capacity building</v>
          </cell>
        </row>
        <row r="665">
          <cell r="I665">
            <v>664285</v>
          </cell>
          <cell r="L665">
            <v>664285</v>
          </cell>
          <cell r="P665">
            <v>0</v>
          </cell>
          <cell r="Q665" t="str">
            <v>71132VN</v>
          </cell>
          <cell r="R665" t="str">
            <v>VNLA</v>
          </cell>
          <cell r="S665" t="str">
            <v xml:space="preserve">Organisational capacity building </v>
          </cell>
        </row>
        <row r="666">
          <cell r="I666">
            <v>11767849</v>
          </cell>
          <cell r="L666">
            <v>11767849</v>
          </cell>
          <cell r="P666">
            <v>0</v>
          </cell>
          <cell r="Q666" t="str">
            <v>72102VN</v>
          </cell>
          <cell r="R666" t="str">
            <v>VNLA</v>
          </cell>
          <cell r="S666" t="str">
            <v>Organisational capacity building</v>
          </cell>
        </row>
        <row r="667">
          <cell r="I667">
            <v>0</v>
          </cell>
          <cell r="L667">
            <v>0</v>
          </cell>
          <cell r="P667">
            <v>0</v>
          </cell>
          <cell r="Q667" t="str">
            <v>71139VN</v>
          </cell>
          <cell r="R667" t="str">
            <v>0</v>
          </cell>
          <cell r="S667" t="str">
            <v/>
          </cell>
        </row>
        <row r="668">
          <cell r="I668">
            <v>222483</v>
          </cell>
          <cell r="L668">
            <v>222483</v>
          </cell>
          <cell r="P668">
            <v>0</v>
          </cell>
          <cell r="Q668" t="str">
            <v>1500VN</v>
          </cell>
          <cell r="R668" t="str">
            <v>VNLA</v>
          </cell>
          <cell r="S668" t="str">
            <v>mannual input</v>
          </cell>
        </row>
        <row r="669">
          <cell r="I669">
            <v>0</v>
          </cell>
          <cell r="L669">
            <v>0</v>
          </cell>
          <cell r="P669">
            <v>0</v>
          </cell>
          <cell r="Q669" t="str">
            <v>73209VN</v>
          </cell>
          <cell r="R669" t="str">
            <v>0</v>
          </cell>
          <cell r="S669" t="str">
            <v/>
          </cell>
        </row>
        <row r="670">
          <cell r="I670">
            <v>0</v>
          </cell>
          <cell r="L670">
            <v>0</v>
          </cell>
          <cell r="P670">
            <v>0</v>
          </cell>
          <cell r="Q670" t="str">
            <v>71139VN</v>
          </cell>
          <cell r="R670" t="str">
            <v>0</v>
          </cell>
          <cell r="S670" t="str">
            <v/>
          </cell>
        </row>
        <row r="671">
          <cell r="I671">
            <v>0</v>
          </cell>
          <cell r="L671">
            <v>0</v>
          </cell>
          <cell r="P671">
            <v>0</v>
          </cell>
          <cell r="Q671" t="str">
            <v>71139VN</v>
          </cell>
          <cell r="R671" t="str">
            <v>0</v>
          </cell>
          <cell r="S671" t="str">
            <v/>
          </cell>
        </row>
        <row r="672">
          <cell r="I672">
            <v>0</v>
          </cell>
          <cell r="L672">
            <v>0</v>
          </cell>
          <cell r="P672">
            <v>0</v>
          </cell>
          <cell r="Q672" t="str">
            <v>1500VN</v>
          </cell>
          <cell r="R672" t="str">
            <v>0</v>
          </cell>
          <cell r="S672" t="str">
            <v/>
          </cell>
        </row>
        <row r="673">
          <cell r="L673">
            <v>0</v>
          </cell>
          <cell r="P673">
            <v>0</v>
          </cell>
          <cell r="Q673" t="str">
            <v/>
          </cell>
          <cell r="R673" t="str">
            <v>0</v>
          </cell>
          <cell r="S673" t="str">
            <v/>
          </cell>
        </row>
        <row r="674">
          <cell r="I674">
            <v>-14343323</v>
          </cell>
        </row>
        <row r="675">
          <cell r="I675">
            <v>12452600</v>
          </cell>
          <cell r="L675">
            <v>12452600</v>
          </cell>
          <cell r="P675">
            <v>0</v>
          </cell>
          <cell r="Q675" t="str">
            <v>71132VN</v>
          </cell>
          <cell r="R675" t="str">
            <v>VNDN</v>
          </cell>
          <cell r="S675" t="str">
            <v>Organisational capacity building</v>
          </cell>
        </row>
        <row r="676">
          <cell r="I676">
            <v>2790000</v>
          </cell>
          <cell r="L676">
            <v>2790000</v>
          </cell>
          <cell r="P676">
            <v>0</v>
          </cell>
          <cell r="Q676" t="str">
            <v>71132VN</v>
          </cell>
          <cell r="R676" t="str">
            <v>VNDN</v>
          </cell>
          <cell r="S676" t="str">
            <v xml:space="preserve">Organisational capacity building </v>
          </cell>
        </row>
        <row r="677">
          <cell r="I677">
            <v>42840608</v>
          </cell>
          <cell r="L677">
            <v>42840608</v>
          </cell>
          <cell r="P677">
            <v>0</v>
          </cell>
          <cell r="Q677" t="str">
            <v>72102VN</v>
          </cell>
          <cell r="R677" t="str">
            <v>VNDN</v>
          </cell>
          <cell r="S677" t="str">
            <v>Education quality improvement</v>
          </cell>
        </row>
        <row r="678">
          <cell r="I678">
            <v>-1307523</v>
          </cell>
          <cell r="L678">
            <v>-1307523</v>
          </cell>
          <cell r="P678">
            <v>0</v>
          </cell>
          <cell r="Q678" t="str">
            <v>71139VN</v>
          </cell>
          <cell r="R678" t="str">
            <v/>
          </cell>
          <cell r="S678" t="str">
            <v xml:space="preserve">Organisational capacity building </v>
          </cell>
        </row>
        <row r="679">
          <cell r="I679">
            <v>7936421</v>
          </cell>
          <cell r="L679">
            <v>7936421</v>
          </cell>
          <cell r="P679">
            <v>0</v>
          </cell>
          <cell r="Q679" t="str">
            <v>1500VN</v>
          </cell>
          <cell r="R679" t="str">
            <v>VNDN</v>
          </cell>
          <cell r="S679" t="str">
            <v>mannual input</v>
          </cell>
        </row>
        <row r="680">
          <cell r="I680">
            <v>34495941</v>
          </cell>
          <cell r="L680">
            <v>34495941</v>
          </cell>
          <cell r="P680">
            <v>0</v>
          </cell>
          <cell r="Q680" t="str">
            <v>1500VN</v>
          </cell>
          <cell r="R680" t="e">
            <v>#VALUE!</v>
          </cell>
          <cell r="S680" t="str">
            <v>Organisational capacity building</v>
          </cell>
        </row>
        <row r="681">
          <cell r="I681">
            <v>1307523</v>
          </cell>
          <cell r="L681">
            <v>1307523</v>
          </cell>
          <cell r="P681">
            <v>0</v>
          </cell>
          <cell r="Q681" t="str">
            <v>71139VN</v>
          </cell>
          <cell r="R681" t="str">
            <v/>
          </cell>
          <cell r="S681" t="str">
            <v xml:space="preserve">Organisational capacity building </v>
          </cell>
        </row>
        <row r="682">
          <cell r="I682">
            <v>2677309</v>
          </cell>
          <cell r="L682">
            <v>2677309</v>
          </cell>
          <cell r="P682">
            <v>0</v>
          </cell>
          <cell r="Q682" t="str">
            <v>71139VN</v>
          </cell>
          <cell r="R682" t="str">
            <v>VNDN</v>
          </cell>
          <cell r="S682" t="str">
            <v xml:space="preserve">Organisational capacity building </v>
          </cell>
        </row>
        <row r="683">
          <cell r="I683">
            <v>3984832</v>
          </cell>
          <cell r="L683">
            <v>3984832</v>
          </cell>
          <cell r="P683">
            <v>0</v>
          </cell>
          <cell r="Q683" t="str">
            <v>1500VN</v>
          </cell>
          <cell r="R683" t="str">
            <v>VNDN</v>
          </cell>
          <cell r="S683" t="str">
            <v>mannual input</v>
          </cell>
        </row>
        <row r="684">
          <cell r="L684">
            <v>0</v>
          </cell>
          <cell r="P684">
            <v>0</v>
          </cell>
          <cell r="Q684" t="str">
            <v/>
          </cell>
          <cell r="R684" t="str">
            <v>0</v>
          </cell>
          <cell r="S684" t="str">
            <v/>
          </cell>
        </row>
        <row r="685">
          <cell r="I685">
            <v>-16954807</v>
          </cell>
        </row>
        <row r="686">
          <cell r="I686">
            <v>15826600</v>
          </cell>
          <cell r="L686">
            <v>15826600</v>
          </cell>
          <cell r="P686">
            <v>0</v>
          </cell>
          <cell r="Q686" t="str">
            <v>71132VN</v>
          </cell>
          <cell r="R686" t="str">
            <v>VNDN</v>
          </cell>
          <cell r="S686" t="str">
            <v>Organisational capacity building</v>
          </cell>
        </row>
        <row r="687">
          <cell r="I687">
            <v>2790000</v>
          </cell>
          <cell r="L687">
            <v>2790000</v>
          </cell>
          <cell r="P687">
            <v>0</v>
          </cell>
          <cell r="Q687" t="str">
            <v>71132VN</v>
          </cell>
          <cell r="R687" t="str">
            <v>VNDN</v>
          </cell>
          <cell r="S687" t="str">
            <v xml:space="preserve">Organisational capacity building </v>
          </cell>
        </row>
        <row r="688">
          <cell r="I688">
            <v>39801115</v>
          </cell>
          <cell r="L688">
            <v>39801115</v>
          </cell>
          <cell r="P688">
            <v>0</v>
          </cell>
          <cell r="Q688" t="str">
            <v>72102VN</v>
          </cell>
          <cell r="R688" t="str">
            <v>VNDN</v>
          </cell>
          <cell r="S688" t="str">
            <v>Education quality improvement</v>
          </cell>
        </row>
        <row r="689">
          <cell r="I689">
            <v>-1661793</v>
          </cell>
          <cell r="L689">
            <v>-1661793</v>
          </cell>
          <cell r="P689">
            <v>0</v>
          </cell>
          <cell r="Q689" t="str">
            <v>71139VN</v>
          </cell>
          <cell r="R689" t="str">
            <v/>
          </cell>
          <cell r="S689" t="str">
            <v xml:space="preserve">Organisational capacity building </v>
          </cell>
        </row>
        <row r="690">
          <cell r="I690">
            <v>5791481</v>
          </cell>
          <cell r="L690">
            <v>5791481</v>
          </cell>
          <cell r="P690">
            <v>0</v>
          </cell>
          <cell r="Q690" t="str">
            <v>1500VN</v>
          </cell>
          <cell r="R690" t="str">
            <v>VNDN</v>
          </cell>
          <cell r="S690" t="str">
            <v>mannual input</v>
          </cell>
        </row>
        <row r="691">
          <cell r="I691">
            <v>34009634</v>
          </cell>
          <cell r="L691">
            <v>34009634</v>
          </cell>
          <cell r="P691">
            <v>0</v>
          </cell>
          <cell r="Q691" t="str">
            <v>1500VN</v>
          </cell>
          <cell r="R691" t="e">
            <v>#VALUE!</v>
          </cell>
          <cell r="S691" t="str">
            <v>Organisational capacity building</v>
          </cell>
        </row>
        <row r="692">
          <cell r="I692">
            <v>1661793</v>
          </cell>
          <cell r="L692">
            <v>1661793</v>
          </cell>
          <cell r="P692">
            <v>0</v>
          </cell>
          <cell r="Q692" t="str">
            <v>71139VN</v>
          </cell>
          <cell r="R692" t="str">
            <v/>
          </cell>
          <cell r="S692" t="str">
            <v xml:space="preserve">Organisational capacity building </v>
          </cell>
        </row>
        <row r="693">
          <cell r="I693">
            <v>3402719</v>
          </cell>
          <cell r="L693">
            <v>3402719</v>
          </cell>
          <cell r="P693">
            <v>0</v>
          </cell>
          <cell r="Q693" t="str">
            <v>71139VN</v>
          </cell>
          <cell r="R693" t="str">
            <v>VNDN</v>
          </cell>
          <cell r="S693" t="str">
            <v xml:space="preserve">Organisational capacity building </v>
          </cell>
        </row>
        <row r="694">
          <cell r="I694">
            <v>5064512</v>
          </cell>
          <cell r="L694">
            <v>5064512</v>
          </cell>
          <cell r="P694">
            <v>0</v>
          </cell>
          <cell r="Q694" t="str">
            <v>1500VN</v>
          </cell>
          <cell r="R694" t="str">
            <v>VNDN</v>
          </cell>
          <cell r="S694" t="str">
            <v>mannual input</v>
          </cell>
        </row>
        <row r="695">
          <cell r="L695">
            <v>0</v>
          </cell>
          <cell r="P695">
            <v>0</v>
          </cell>
          <cell r="Q695" t="str">
            <v/>
          </cell>
          <cell r="R695" t="str">
            <v>0</v>
          </cell>
          <cell r="S695" t="str">
            <v/>
          </cell>
        </row>
        <row r="696">
          <cell r="I696">
            <v>-21452651</v>
          </cell>
        </row>
        <row r="697">
          <cell r="I697">
            <v>20363600</v>
          </cell>
          <cell r="L697">
            <v>20363600</v>
          </cell>
          <cell r="P697">
            <v>0</v>
          </cell>
          <cell r="Q697" t="str">
            <v>71132VN</v>
          </cell>
          <cell r="R697" t="str">
            <v>VNDN</v>
          </cell>
          <cell r="S697" t="str">
            <v>Organisational capacity building</v>
          </cell>
        </row>
        <row r="698">
          <cell r="I698">
            <v>2790000</v>
          </cell>
          <cell r="L698">
            <v>2790000</v>
          </cell>
          <cell r="P698">
            <v>0</v>
          </cell>
          <cell r="Q698" t="str">
            <v>71132VN</v>
          </cell>
          <cell r="R698" t="str">
            <v>VNDN</v>
          </cell>
          <cell r="S698" t="str">
            <v xml:space="preserve">Organisational capacity building </v>
          </cell>
        </row>
        <row r="699">
          <cell r="I699">
            <v>41536014</v>
          </cell>
          <cell r="L699">
            <v>41536014</v>
          </cell>
          <cell r="P699">
            <v>0</v>
          </cell>
          <cell r="Q699" t="str">
            <v>72102VN</v>
          </cell>
          <cell r="R699" t="str">
            <v>VNDN</v>
          </cell>
          <cell r="S699" t="str">
            <v>Education quality improvement</v>
          </cell>
        </row>
        <row r="700">
          <cell r="I700">
            <v>-2138178</v>
          </cell>
          <cell r="L700">
            <v>-2138178</v>
          </cell>
          <cell r="P700">
            <v>0</v>
          </cell>
          <cell r="Q700" t="str">
            <v>71139VN</v>
          </cell>
          <cell r="R700" t="str">
            <v/>
          </cell>
          <cell r="S700" t="str">
            <v xml:space="preserve">Organisational capacity building </v>
          </cell>
        </row>
        <row r="701">
          <cell r="I701">
            <v>7180359</v>
          </cell>
          <cell r="L701">
            <v>7180359</v>
          </cell>
          <cell r="P701">
            <v>0</v>
          </cell>
          <cell r="Q701" t="str">
            <v>1500VN</v>
          </cell>
          <cell r="R701" t="str">
            <v>VNDN</v>
          </cell>
          <cell r="S701" t="str">
            <v>mannual input</v>
          </cell>
        </row>
        <row r="702">
          <cell r="I702">
            <v>33918426</v>
          </cell>
          <cell r="L702">
            <v>33918426</v>
          </cell>
          <cell r="P702">
            <v>0</v>
          </cell>
          <cell r="Q702" t="str">
            <v>1500VN</v>
          </cell>
          <cell r="R702" t="e">
            <v>#VALUE!</v>
          </cell>
          <cell r="S702" t="str">
            <v>Organisational capacity building</v>
          </cell>
        </row>
        <row r="703">
          <cell r="I703">
            <v>2138178</v>
          </cell>
          <cell r="L703">
            <v>2138178</v>
          </cell>
          <cell r="P703">
            <v>0</v>
          </cell>
          <cell r="Q703" t="str">
            <v>71139VN</v>
          </cell>
          <cell r="R703" t="str">
            <v/>
          </cell>
          <cell r="S703" t="str">
            <v xml:space="preserve">Organisational capacity building </v>
          </cell>
        </row>
        <row r="704">
          <cell r="I704">
            <v>4378174</v>
          </cell>
          <cell r="L704">
            <v>4378174</v>
          </cell>
          <cell r="P704">
            <v>0</v>
          </cell>
          <cell r="Q704" t="str">
            <v>71139VN</v>
          </cell>
          <cell r="R704" t="str">
            <v>VNDN</v>
          </cell>
          <cell r="S704" t="str">
            <v xml:space="preserve">Organisational capacity building </v>
          </cell>
        </row>
        <row r="705">
          <cell r="I705">
            <v>6516352</v>
          </cell>
          <cell r="L705">
            <v>6516352</v>
          </cell>
          <cell r="P705">
            <v>0</v>
          </cell>
          <cell r="Q705" t="str">
            <v>1500VN</v>
          </cell>
          <cell r="R705" t="str">
            <v>VNDN</v>
          </cell>
          <cell r="S705" t="str">
            <v>mannual input</v>
          </cell>
        </row>
        <row r="706">
          <cell r="L706">
            <v>0</v>
          </cell>
          <cell r="P706">
            <v>0</v>
          </cell>
          <cell r="Q706" t="str">
            <v/>
          </cell>
          <cell r="R706" t="str">
            <v>0</v>
          </cell>
          <cell r="S706" t="str">
            <v/>
          </cell>
        </row>
        <row r="707">
          <cell r="I707">
            <v>-15985922</v>
          </cell>
        </row>
        <row r="708">
          <cell r="I708">
            <v>14263600</v>
          </cell>
          <cell r="L708">
            <v>14263600</v>
          </cell>
          <cell r="P708">
            <v>0</v>
          </cell>
          <cell r="Q708" t="str">
            <v>71132VN</v>
          </cell>
          <cell r="R708" t="str">
            <v>VNDN</v>
          </cell>
          <cell r="S708" t="str">
            <v>Organisational capacity building</v>
          </cell>
        </row>
        <row r="709">
          <cell r="I709">
            <v>2790000</v>
          </cell>
          <cell r="L709">
            <v>2790000</v>
          </cell>
          <cell r="P709">
            <v>0</v>
          </cell>
          <cell r="Q709" t="str">
            <v>71132VN</v>
          </cell>
          <cell r="R709" t="str">
            <v>VNDN</v>
          </cell>
          <cell r="S709" t="str">
            <v xml:space="preserve">Organisational capacity building </v>
          </cell>
        </row>
        <row r="710">
          <cell r="I710">
            <v>40300288</v>
          </cell>
          <cell r="L710">
            <v>40300288</v>
          </cell>
          <cell r="P710">
            <v>0</v>
          </cell>
          <cell r="Q710" t="str">
            <v>72102VN</v>
          </cell>
          <cell r="R710" t="str">
            <v>VNDN</v>
          </cell>
          <cell r="S710" t="str">
            <v>Education quality improvement</v>
          </cell>
        </row>
        <row r="711">
          <cell r="I711">
            <v>-1497678</v>
          </cell>
          <cell r="L711">
            <v>-1497678</v>
          </cell>
          <cell r="P711">
            <v>0</v>
          </cell>
          <cell r="Q711" t="str">
            <v>71139VN</v>
          </cell>
          <cell r="R711" t="str">
            <v/>
          </cell>
          <cell r="S711" t="str">
            <v xml:space="preserve">Organisational capacity building </v>
          </cell>
        </row>
        <row r="712">
          <cell r="I712">
            <v>5506553</v>
          </cell>
          <cell r="L712">
            <v>5506553</v>
          </cell>
          <cell r="P712">
            <v>0</v>
          </cell>
          <cell r="Q712" t="str">
            <v>1500VN</v>
          </cell>
          <cell r="R712" t="str">
            <v>VNDN</v>
          </cell>
          <cell r="S712" t="str">
            <v>mannual input</v>
          </cell>
        </row>
        <row r="713">
          <cell r="I713">
            <v>34363735</v>
          </cell>
          <cell r="L713">
            <v>34363735</v>
          </cell>
          <cell r="P713">
            <v>0</v>
          </cell>
          <cell r="Q713" t="str">
            <v>1500VN</v>
          </cell>
          <cell r="R713" t="e">
            <v>#VALUE!</v>
          </cell>
          <cell r="S713" t="str">
            <v>Organisational capacity building</v>
          </cell>
        </row>
        <row r="714">
          <cell r="I714">
            <v>1497678</v>
          </cell>
          <cell r="L714">
            <v>1497678</v>
          </cell>
          <cell r="P714">
            <v>0</v>
          </cell>
          <cell r="Q714" t="str">
            <v>71139VN</v>
          </cell>
          <cell r="R714" t="str">
            <v/>
          </cell>
          <cell r="S714" t="str">
            <v xml:space="preserve">Organisational capacity building </v>
          </cell>
        </row>
        <row r="715">
          <cell r="I715">
            <v>3066674</v>
          </cell>
          <cell r="L715">
            <v>3066674</v>
          </cell>
          <cell r="P715">
            <v>0</v>
          </cell>
          <cell r="Q715" t="str">
            <v>71139VN</v>
          </cell>
          <cell r="R715" t="str">
            <v>VNDN</v>
          </cell>
          <cell r="S715" t="str">
            <v xml:space="preserve">Organisational capacity building </v>
          </cell>
        </row>
        <row r="716">
          <cell r="I716">
            <v>4564352</v>
          </cell>
          <cell r="L716">
            <v>4564352</v>
          </cell>
          <cell r="P716">
            <v>0</v>
          </cell>
          <cell r="Q716" t="str">
            <v>1500VN</v>
          </cell>
          <cell r="R716" t="str">
            <v>VNDN</v>
          </cell>
          <cell r="S716" t="str">
            <v>mannual input</v>
          </cell>
        </row>
        <row r="717">
          <cell r="L717">
            <v>0</v>
          </cell>
          <cell r="P717">
            <v>0</v>
          </cell>
          <cell r="Q717" t="str">
            <v/>
          </cell>
          <cell r="R717" t="str">
            <v>0</v>
          </cell>
          <cell r="S717" t="str">
            <v/>
          </cell>
        </row>
        <row r="718">
          <cell r="I718">
            <v>-10885530</v>
          </cell>
        </row>
        <row r="719">
          <cell r="I719">
            <v>9749133</v>
          </cell>
          <cell r="L719">
            <v>9749133</v>
          </cell>
          <cell r="P719">
            <v>0</v>
          </cell>
          <cell r="Q719" t="str">
            <v>71132VN</v>
          </cell>
          <cell r="R719" t="str">
            <v>VNQN</v>
          </cell>
          <cell r="S719" t="str">
            <v>Organisational capacity building</v>
          </cell>
        </row>
        <row r="720">
          <cell r="I720">
            <v>2790000</v>
          </cell>
          <cell r="L720">
            <v>2790000</v>
          </cell>
          <cell r="P720">
            <v>0</v>
          </cell>
          <cell r="Q720" t="str">
            <v>71132VN</v>
          </cell>
          <cell r="R720" t="str">
            <v>VNQN</v>
          </cell>
          <cell r="S720" t="str">
            <v xml:space="preserve">Organisational capacity building </v>
          </cell>
        </row>
        <row r="721">
          <cell r="I721">
            <v>40718948</v>
          </cell>
          <cell r="L721">
            <v>40718948</v>
          </cell>
          <cell r="P721">
            <v>0</v>
          </cell>
          <cell r="Q721" t="str">
            <v>72102VN</v>
          </cell>
          <cell r="R721" t="str">
            <v>VNQN</v>
          </cell>
          <cell r="S721" t="str">
            <v>Education quality improvement</v>
          </cell>
        </row>
        <row r="722">
          <cell r="I722">
            <v>-1653603</v>
          </cell>
          <cell r="L722">
            <v>-1653603</v>
          </cell>
          <cell r="P722">
            <v>0</v>
          </cell>
          <cell r="Q722" t="str">
            <v>71139VN</v>
          </cell>
          <cell r="R722" t="str">
            <v/>
          </cell>
          <cell r="S722" t="str">
            <v xml:space="preserve">Organisational capacity building </v>
          </cell>
        </row>
        <row r="723">
          <cell r="I723">
            <v>6703620</v>
          </cell>
          <cell r="L723">
            <v>6703620</v>
          </cell>
          <cell r="P723">
            <v>0</v>
          </cell>
          <cell r="Q723" t="str">
            <v>1500VN</v>
          </cell>
          <cell r="R723" t="str">
            <v>VNQN</v>
          </cell>
          <cell r="S723" t="str">
            <v>mannual input</v>
          </cell>
        </row>
        <row r="724">
          <cell r="I724">
            <v>34015328</v>
          </cell>
          <cell r="L724">
            <v>34015328</v>
          </cell>
          <cell r="P724">
            <v>0</v>
          </cell>
          <cell r="Q724" t="str">
            <v>1500VN</v>
          </cell>
          <cell r="R724" t="e">
            <v>#VALUE!</v>
          </cell>
          <cell r="S724" t="str">
            <v>Organisational capacity building</v>
          </cell>
        </row>
        <row r="725">
          <cell r="I725">
            <v>1653603</v>
          </cell>
          <cell r="L725">
            <v>1653603</v>
          </cell>
          <cell r="P725">
            <v>0</v>
          </cell>
          <cell r="Q725" t="str">
            <v>71139VN</v>
          </cell>
          <cell r="R725" t="str">
            <v/>
          </cell>
          <cell r="S725" t="str">
            <v xml:space="preserve">Organisational capacity building </v>
          </cell>
        </row>
        <row r="726">
          <cell r="I726">
            <v>3385949</v>
          </cell>
          <cell r="L726">
            <v>3385949</v>
          </cell>
          <cell r="P726">
            <v>0</v>
          </cell>
          <cell r="Q726" t="str">
            <v>71139VN</v>
          </cell>
          <cell r="R726" t="str">
            <v>VNQN</v>
          </cell>
          <cell r="S726" t="str">
            <v xml:space="preserve">Organisational capacity building </v>
          </cell>
        </row>
        <row r="727">
          <cell r="I727">
            <v>5039552</v>
          </cell>
          <cell r="L727">
            <v>5039552</v>
          </cell>
          <cell r="P727">
            <v>0</v>
          </cell>
          <cell r="Q727" t="str">
            <v>1500VN</v>
          </cell>
          <cell r="R727" t="str">
            <v>VNQN</v>
          </cell>
          <cell r="S727" t="str">
            <v>mannual input</v>
          </cell>
        </row>
        <row r="728">
          <cell r="L728">
            <v>0</v>
          </cell>
          <cell r="P728">
            <v>0</v>
          </cell>
          <cell r="Q728" t="str">
            <v/>
          </cell>
          <cell r="R728" t="str">
            <v>0</v>
          </cell>
          <cell r="S728" t="str">
            <v/>
          </cell>
        </row>
        <row r="729">
          <cell r="I729">
            <v>-14623147</v>
          </cell>
        </row>
        <row r="730">
          <cell r="I730">
            <v>12718600</v>
          </cell>
          <cell r="L730">
            <v>12718600</v>
          </cell>
          <cell r="P730">
            <v>0</v>
          </cell>
          <cell r="Q730" t="str">
            <v>71132VN</v>
          </cell>
          <cell r="R730" t="str">
            <v>VNQN</v>
          </cell>
          <cell r="S730" t="str">
            <v>Organisational capacity building</v>
          </cell>
        </row>
        <row r="731">
          <cell r="I731">
            <v>2790000</v>
          </cell>
          <cell r="L731">
            <v>2790000</v>
          </cell>
          <cell r="P731">
            <v>0</v>
          </cell>
          <cell r="Q731" t="str">
            <v>71132VN</v>
          </cell>
          <cell r="R731" t="str">
            <v>VNQN</v>
          </cell>
          <cell r="S731" t="str">
            <v xml:space="preserve">Organisational capacity building </v>
          </cell>
        </row>
        <row r="732">
          <cell r="I732">
            <v>41483080</v>
          </cell>
          <cell r="L732">
            <v>41483080</v>
          </cell>
          <cell r="P732">
            <v>0</v>
          </cell>
          <cell r="Q732" t="str">
            <v>72102VN</v>
          </cell>
          <cell r="R732" t="str">
            <v>VNQN</v>
          </cell>
          <cell r="S732" t="str">
            <v>Education quality improvement</v>
          </cell>
        </row>
        <row r="733">
          <cell r="I733">
            <v>-1335453</v>
          </cell>
          <cell r="L733">
            <v>-1335453</v>
          </cell>
          <cell r="P733">
            <v>0</v>
          </cell>
          <cell r="Q733" t="str">
            <v>71139VN</v>
          </cell>
          <cell r="R733" t="str">
            <v/>
          </cell>
          <cell r="S733" t="str">
            <v xml:space="preserve">Organisational capacity building </v>
          </cell>
        </row>
        <row r="734">
          <cell r="I734">
            <v>6556557</v>
          </cell>
          <cell r="L734">
            <v>6556557</v>
          </cell>
          <cell r="P734">
            <v>0</v>
          </cell>
          <cell r="Q734" t="str">
            <v>1500VN</v>
          </cell>
          <cell r="R734" t="str">
            <v>VNQN</v>
          </cell>
          <cell r="S734" t="str">
            <v>mannual input</v>
          </cell>
        </row>
        <row r="735">
          <cell r="I735">
            <v>34476523</v>
          </cell>
          <cell r="L735">
            <v>34476523</v>
          </cell>
          <cell r="P735">
            <v>0</v>
          </cell>
          <cell r="Q735" t="str">
            <v>1500VN</v>
          </cell>
          <cell r="R735" t="e">
            <v>#VALUE!</v>
          </cell>
          <cell r="S735" t="str">
            <v>Organisational capacity building</v>
          </cell>
        </row>
        <row r="736">
          <cell r="I736">
            <v>1335453</v>
          </cell>
          <cell r="L736">
            <v>1335453</v>
          </cell>
          <cell r="P736">
            <v>0</v>
          </cell>
          <cell r="Q736" t="str">
            <v>71139VN</v>
          </cell>
          <cell r="R736" t="str">
            <v/>
          </cell>
          <cell r="S736" t="str">
            <v xml:space="preserve">Organisational capacity building </v>
          </cell>
        </row>
        <row r="737">
          <cell r="I737">
            <v>2734499</v>
          </cell>
          <cell r="L737">
            <v>2734499</v>
          </cell>
          <cell r="P737">
            <v>0</v>
          </cell>
          <cell r="Q737" t="str">
            <v>71139VN</v>
          </cell>
          <cell r="R737" t="str">
            <v>VNQN</v>
          </cell>
          <cell r="S737" t="str">
            <v xml:space="preserve">Organisational capacity building </v>
          </cell>
        </row>
        <row r="738">
          <cell r="I738">
            <v>4069952</v>
          </cell>
          <cell r="L738">
            <v>4069952</v>
          </cell>
          <cell r="P738">
            <v>0</v>
          </cell>
          <cell r="Q738" t="str">
            <v>1500VN</v>
          </cell>
          <cell r="R738" t="str">
            <v>VNQN</v>
          </cell>
          <cell r="S738" t="str">
            <v>mannual input</v>
          </cell>
        </row>
        <row r="739">
          <cell r="L739">
            <v>0</v>
          </cell>
          <cell r="P739">
            <v>0</v>
          </cell>
          <cell r="Q739" t="str">
            <v/>
          </cell>
          <cell r="R739" t="str">
            <v>0</v>
          </cell>
          <cell r="S739" t="str">
            <v/>
          </cell>
        </row>
        <row r="740">
          <cell r="I740">
            <v>-17123147</v>
          </cell>
        </row>
        <row r="741">
          <cell r="I741">
            <v>12718600</v>
          </cell>
          <cell r="L741">
            <v>12718600</v>
          </cell>
          <cell r="P741">
            <v>0</v>
          </cell>
          <cell r="Q741" t="str">
            <v>71132VN</v>
          </cell>
          <cell r="R741" t="str">
            <v>VNHD</v>
          </cell>
          <cell r="S741" t="str">
            <v>Organisational capacity building</v>
          </cell>
        </row>
        <row r="742">
          <cell r="I742">
            <v>2790000</v>
          </cell>
          <cell r="L742">
            <v>2790000</v>
          </cell>
          <cell r="P742">
            <v>0</v>
          </cell>
          <cell r="Q742" t="str">
            <v>71132VN</v>
          </cell>
          <cell r="R742" t="str">
            <v>VNHD</v>
          </cell>
          <cell r="S742" t="str">
            <v xml:space="preserve">Organisational capacity building </v>
          </cell>
        </row>
        <row r="743">
          <cell r="I743">
            <v>2950000</v>
          </cell>
          <cell r="L743">
            <v>2950000</v>
          </cell>
          <cell r="P743">
            <v>0</v>
          </cell>
          <cell r="Q743" t="str">
            <v>72102VN</v>
          </cell>
          <cell r="R743" t="str">
            <v>VNHD</v>
          </cell>
          <cell r="S743" t="str">
            <v>Education quality improvement</v>
          </cell>
        </row>
        <row r="744">
          <cell r="I744">
            <v>-1335453</v>
          </cell>
          <cell r="L744">
            <v>-1335453</v>
          </cell>
          <cell r="P744">
            <v>0</v>
          </cell>
          <cell r="Q744" t="str">
            <v>71139VN</v>
          </cell>
          <cell r="R744" t="str">
            <v/>
          </cell>
          <cell r="S744" t="str">
            <v xml:space="preserve">Organisational capacity building </v>
          </cell>
        </row>
        <row r="745">
          <cell r="I745">
            <v>0</v>
          </cell>
          <cell r="L745">
            <v>0</v>
          </cell>
          <cell r="P745">
            <v>0</v>
          </cell>
          <cell r="Q745" t="str">
            <v>1500VN</v>
          </cell>
          <cell r="R745" t="str">
            <v>0</v>
          </cell>
          <cell r="S745" t="str">
            <v/>
          </cell>
        </row>
        <row r="746">
          <cell r="I746">
            <v>0</v>
          </cell>
          <cell r="L746">
            <v>0</v>
          </cell>
          <cell r="P746">
            <v>0</v>
          </cell>
          <cell r="Q746" t="str">
            <v>73209VN</v>
          </cell>
          <cell r="R746" t="str">
            <v>0</v>
          </cell>
          <cell r="S746" t="str">
            <v/>
          </cell>
        </row>
        <row r="747">
          <cell r="I747">
            <v>1335453</v>
          </cell>
          <cell r="L747">
            <v>1335453</v>
          </cell>
          <cell r="P747">
            <v>0</v>
          </cell>
          <cell r="Q747" t="str">
            <v>71139VN</v>
          </cell>
          <cell r="R747" t="str">
            <v/>
          </cell>
          <cell r="S747" t="str">
            <v xml:space="preserve">Organisational capacity building </v>
          </cell>
        </row>
        <row r="748">
          <cell r="I748">
            <v>2734499</v>
          </cell>
          <cell r="L748">
            <v>2734499</v>
          </cell>
          <cell r="P748">
            <v>0</v>
          </cell>
          <cell r="Q748" t="str">
            <v>71139VN</v>
          </cell>
          <cell r="R748" t="str">
            <v>VNHD</v>
          </cell>
          <cell r="S748" t="str">
            <v xml:space="preserve">Organisational capacity building </v>
          </cell>
        </row>
        <row r="749">
          <cell r="I749">
            <v>4069952</v>
          </cell>
          <cell r="L749">
            <v>4069952</v>
          </cell>
          <cell r="P749">
            <v>0</v>
          </cell>
          <cell r="Q749" t="str">
            <v>1500VN</v>
          </cell>
          <cell r="R749" t="str">
            <v>VNHD</v>
          </cell>
          <cell r="S749" t="str">
            <v>mannual input</v>
          </cell>
        </row>
        <row r="750">
          <cell r="L750">
            <v>0</v>
          </cell>
          <cell r="P750">
            <v>0</v>
          </cell>
          <cell r="Q750" t="str">
            <v/>
          </cell>
          <cell r="R750" t="str">
            <v>0</v>
          </cell>
          <cell r="S750" t="str">
            <v/>
          </cell>
        </row>
        <row r="751">
          <cell r="I751">
            <v>-15367626</v>
          </cell>
        </row>
        <row r="752">
          <cell r="I752">
            <v>14263600</v>
          </cell>
          <cell r="L752">
            <v>14263600</v>
          </cell>
          <cell r="P752">
            <v>0</v>
          </cell>
          <cell r="Q752" t="str">
            <v>71132VN</v>
          </cell>
          <cell r="R752" t="str">
            <v>VNHCM</v>
          </cell>
          <cell r="S752" t="str">
            <v>Organisational capacity building</v>
          </cell>
        </row>
        <row r="753">
          <cell r="I753">
            <v>2790000</v>
          </cell>
          <cell r="L753">
            <v>2790000</v>
          </cell>
          <cell r="P753">
            <v>0</v>
          </cell>
          <cell r="Q753" t="str">
            <v>71132VN</v>
          </cell>
          <cell r="R753" t="str">
            <v>VNHCM</v>
          </cell>
          <cell r="S753" t="str">
            <v xml:space="preserve">Organisational capacity building </v>
          </cell>
        </row>
        <row r="754">
          <cell r="I754">
            <v>0</v>
          </cell>
          <cell r="L754">
            <v>0</v>
          </cell>
          <cell r="P754">
            <v>0</v>
          </cell>
          <cell r="Q754" t="str">
            <v>72102VN</v>
          </cell>
          <cell r="R754" t="str">
            <v>0</v>
          </cell>
          <cell r="S754" t="str">
            <v/>
          </cell>
        </row>
        <row r="755">
          <cell r="I755">
            <v>-1497678</v>
          </cell>
          <cell r="L755">
            <v>-1497678</v>
          </cell>
          <cell r="P755">
            <v>0</v>
          </cell>
          <cell r="Q755" t="str">
            <v>71139VN</v>
          </cell>
          <cell r="R755" t="str">
            <v/>
          </cell>
          <cell r="S755" t="str">
            <v xml:space="preserve">Organisational capacity building </v>
          </cell>
        </row>
        <row r="756">
          <cell r="I756">
            <v>188296</v>
          </cell>
          <cell r="L756">
            <v>188296</v>
          </cell>
          <cell r="P756">
            <v>0</v>
          </cell>
          <cell r="Q756" t="str">
            <v>1500VN</v>
          </cell>
          <cell r="R756" t="str">
            <v>VNHCM</v>
          </cell>
          <cell r="S756" t="str">
            <v>mannual input</v>
          </cell>
        </row>
        <row r="757">
          <cell r="I757">
            <v>0</v>
          </cell>
          <cell r="L757">
            <v>0</v>
          </cell>
          <cell r="P757">
            <v>0</v>
          </cell>
          <cell r="Q757" t="str">
            <v>73209VN</v>
          </cell>
          <cell r="R757" t="str">
            <v>0</v>
          </cell>
          <cell r="S757" t="str">
            <v/>
          </cell>
        </row>
        <row r="758">
          <cell r="I758">
            <v>1497678</v>
          </cell>
          <cell r="L758">
            <v>1497678</v>
          </cell>
          <cell r="P758">
            <v>0</v>
          </cell>
          <cell r="Q758" t="str">
            <v>71139VN</v>
          </cell>
          <cell r="R758" t="str">
            <v/>
          </cell>
          <cell r="S758" t="str">
            <v xml:space="preserve">Organisational capacity building </v>
          </cell>
        </row>
        <row r="759">
          <cell r="I759">
            <v>3066674</v>
          </cell>
          <cell r="L759">
            <v>3066674</v>
          </cell>
          <cell r="P759">
            <v>0</v>
          </cell>
          <cell r="Q759" t="str">
            <v>71139VN</v>
          </cell>
          <cell r="R759" t="str">
            <v>VNHCM</v>
          </cell>
          <cell r="S759" t="str">
            <v xml:space="preserve">Organisational capacity building </v>
          </cell>
        </row>
        <row r="760">
          <cell r="I760">
            <v>4564352</v>
          </cell>
          <cell r="L760">
            <v>4564352</v>
          </cell>
          <cell r="P760">
            <v>0</v>
          </cell>
          <cell r="Q760" t="str">
            <v>1500VN</v>
          </cell>
          <cell r="R760" t="str">
            <v>VNHCM</v>
          </cell>
          <cell r="S760" t="str">
            <v>mannual input</v>
          </cell>
        </row>
        <row r="761">
          <cell r="L761">
            <v>0</v>
          </cell>
          <cell r="P761">
            <v>0</v>
          </cell>
          <cell r="Q761" t="str">
            <v/>
          </cell>
          <cell r="R761" t="str">
            <v>0</v>
          </cell>
          <cell r="S761" t="str">
            <v/>
          </cell>
        </row>
        <row r="762">
          <cell r="I762">
            <v>-12141336</v>
          </cell>
        </row>
        <row r="763">
          <cell r="I763">
            <v>10867505</v>
          </cell>
          <cell r="L763">
            <v>10867505</v>
          </cell>
          <cell r="P763">
            <v>0</v>
          </cell>
          <cell r="Q763" t="str">
            <v>71132VN</v>
          </cell>
          <cell r="R763" t="str">
            <v>VNHCM</v>
          </cell>
          <cell r="S763" t="str">
            <v>Organisational capacity building</v>
          </cell>
        </row>
        <row r="764">
          <cell r="I764">
            <v>2790000</v>
          </cell>
          <cell r="L764">
            <v>2790000</v>
          </cell>
          <cell r="P764">
            <v>0</v>
          </cell>
          <cell r="Q764" t="str">
            <v>71132VN</v>
          </cell>
          <cell r="R764" t="str">
            <v>VNHCM</v>
          </cell>
          <cell r="S764" t="str">
            <v xml:space="preserve">Organisational capacity building </v>
          </cell>
        </row>
        <row r="765">
          <cell r="I765">
            <v>0</v>
          </cell>
          <cell r="L765">
            <v>0</v>
          </cell>
          <cell r="P765">
            <v>0</v>
          </cell>
          <cell r="Q765" t="str">
            <v>72102VN</v>
          </cell>
          <cell r="R765" t="str">
            <v>0</v>
          </cell>
          <cell r="S765" t="str">
            <v/>
          </cell>
        </row>
        <row r="766">
          <cell r="I766">
            <v>-1497678</v>
          </cell>
          <cell r="L766">
            <v>-1497678</v>
          </cell>
          <cell r="P766">
            <v>0</v>
          </cell>
          <cell r="Q766" t="str">
            <v>71139VN</v>
          </cell>
          <cell r="R766" t="str">
            <v/>
          </cell>
          <cell r="S766" t="str">
            <v xml:space="preserve">Organisational capacity building </v>
          </cell>
        </row>
        <row r="767">
          <cell r="I767">
            <v>18491</v>
          </cell>
          <cell r="L767">
            <v>18491</v>
          </cell>
          <cell r="P767">
            <v>0</v>
          </cell>
          <cell r="Q767" t="str">
            <v>1500VN</v>
          </cell>
          <cell r="R767" t="str">
            <v>VNHCM</v>
          </cell>
          <cell r="S767" t="str">
            <v>mannual input</v>
          </cell>
        </row>
        <row r="768">
          <cell r="I768">
            <v>0</v>
          </cell>
          <cell r="L768">
            <v>0</v>
          </cell>
          <cell r="P768">
            <v>0</v>
          </cell>
          <cell r="Q768" t="str">
            <v>73209VN</v>
          </cell>
          <cell r="R768" t="str">
            <v>0</v>
          </cell>
          <cell r="S768" t="str">
            <v/>
          </cell>
        </row>
        <row r="769">
          <cell r="I769">
            <v>1497678</v>
          </cell>
          <cell r="L769">
            <v>1497678</v>
          </cell>
          <cell r="P769">
            <v>0</v>
          </cell>
          <cell r="Q769" t="str">
            <v>71139VN</v>
          </cell>
          <cell r="R769" t="str">
            <v/>
          </cell>
          <cell r="S769" t="str">
            <v xml:space="preserve">Organisational capacity building </v>
          </cell>
        </row>
        <row r="770">
          <cell r="I770">
            <v>3066674</v>
          </cell>
          <cell r="L770">
            <v>3066674</v>
          </cell>
          <cell r="P770">
            <v>0</v>
          </cell>
          <cell r="Q770" t="str">
            <v>71139VN</v>
          </cell>
          <cell r="R770" t="str">
            <v>VNHCM</v>
          </cell>
          <cell r="S770" t="str">
            <v xml:space="preserve">Organisational capacity building </v>
          </cell>
        </row>
        <row r="771">
          <cell r="I771">
            <v>4564352</v>
          </cell>
          <cell r="L771">
            <v>4564352</v>
          </cell>
          <cell r="P771">
            <v>0</v>
          </cell>
          <cell r="Q771" t="str">
            <v>1500VN</v>
          </cell>
          <cell r="R771" t="str">
            <v>VNHCM</v>
          </cell>
          <cell r="S771" t="str">
            <v>mannual input</v>
          </cell>
        </row>
        <row r="772">
          <cell r="L772">
            <v>0</v>
          </cell>
          <cell r="P772">
            <v>0</v>
          </cell>
          <cell r="Q772" t="str">
            <v/>
          </cell>
          <cell r="R772" t="str">
            <v>0</v>
          </cell>
          <cell r="S772" t="str">
            <v/>
          </cell>
        </row>
        <row r="773">
          <cell r="I773">
            <v>-7316533</v>
          </cell>
        </row>
        <row r="774">
          <cell r="I774">
            <v>8129481</v>
          </cell>
          <cell r="L774">
            <v>8129481</v>
          </cell>
          <cell r="P774">
            <v>0</v>
          </cell>
          <cell r="Q774" t="str">
            <v>71302VN</v>
          </cell>
          <cell r="R774" t="str">
            <v>VNOther</v>
          </cell>
          <cell r="S774" t="str">
            <v>Organisational capacity building</v>
          </cell>
        </row>
        <row r="775">
          <cell r="I775">
            <v>812948</v>
          </cell>
          <cell r="L775">
            <v>812948</v>
          </cell>
          <cell r="P775">
            <v>0</v>
          </cell>
          <cell r="Q775" t="str">
            <v>1500VN</v>
          </cell>
          <cell r="R775" t="str">
            <v>VNOther</v>
          </cell>
          <cell r="S775" t="str">
            <v>mannual input</v>
          </cell>
        </row>
        <row r="776">
          <cell r="I776">
            <v>0</v>
          </cell>
          <cell r="L776">
            <v>0</v>
          </cell>
          <cell r="P776">
            <v>0</v>
          </cell>
          <cell r="Q776" t="str">
            <v>73209VN</v>
          </cell>
          <cell r="R776" t="str">
            <v>0</v>
          </cell>
          <cell r="S776" t="str">
            <v/>
          </cell>
        </row>
        <row r="777">
          <cell r="L777">
            <v>0</v>
          </cell>
          <cell r="P777">
            <v>0</v>
          </cell>
          <cell r="Q777" t="str">
            <v/>
          </cell>
          <cell r="R777" t="str">
            <v>0</v>
          </cell>
          <cell r="S777" t="str">
            <v/>
          </cell>
        </row>
        <row r="778">
          <cell r="I778">
            <v>-71658789</v>
          </cell>
        </row>
        <row r="779">
          <cell r="I779">
            <v>78927000</v>
          </cell>
          <cell r="L779">
            <v>78927000</v>
          </cell>
          <cell r="P779">
            <v>0</v>
          </cell>
          <cell r="Q779" t="str">
            <v>71201VN</v>
          </cell>
          <cell r="R779" t="str">
            <v>VNMOET</v>
          </cell>
          <cell r="S779" t="str">
            <v>Organisational capacity building</v>
          </cell>
        </row>
        <row r="780">
          <cell r="I780">
            <v>10371270</v>
          </cell>
          <cell r="L780">
            <v>10371270</v>
          </cell>
          <cell r="P780">
            <v>0</v>
          </cell>
          <cell r="Q780" t="str">
            <v>71201VN</v>
          </cell>
          <cell r="R780" t="str">
            <v>VNMOET</v>
          </cell>
          <cell r="S780" t="str">
            <v xml:space="preserve">Organisational capacity building </v>
          </cell>
        </row>
        <row r="781">
          <cell r="I781">
            <v>0</v>
          </cell>
          <cell r="L781">
            <v>0</v>
          </cell>
          <cell r="P781">
            <v>0</v>
          </cell>
          <cell r="Q781" t="str">
            <v>71219VN</v>
          </cell>
          <cell r="R781" t="str">
            <v>0</v>
          </cell>
          <cell r="S781" t="str">
            <v/>
          </cell>
        </row>
        <row r="782">
          <cell r="I782">
            <v>17639481</v>
          </cell>
          <cell r="L782">
            <v>17639481</v>
          </cell>
          <cell r="P782">
            <v>0</v>
          </cell>
          <cell r="Q782" t="str">
            <v>1500VN</v>
          </cell>
          <cell r="R782" t="str">
            <v>VNMOET</v>
          </cell>
          <cell r="S782" t="str">
            <v>mannual input</v>
          </cell>
        </row>
        <row r="783">
          <cell r="I783">
            <v>0</v>
          </cell>
          <cell r="L783">
            <v>0</v>
          </cell>
          <cell r="P783">
            <v>0</v>
          </cell>
          <cell r="Q783" t="str">
            <v>73209VN</v>
          </cell>
          <cell r="R783" t="str">
            <v>0</v>
          </cell>
          <cell r="S783" t="str">
            <v/>
          </cell>
        </row>
        <row r="784">
          <cell r="I784">
            <v>0</v>
          </cell>
          <cell r="L784">
            <v>0</v>
          </cell>
          <cell r="P784">
            <v>0</v>
          </cell>
          <cell r="Q784" t="str">
            <v>71219VN</v>
          </cell>
          <cell r="R784" t="str">
            <v>0</v>
          </cell>
          <cell r="S784" t="str">
            <v/>
          </cell>
        </row>
        <row r="785">
          <cell r="I785">
            <v>0</v>
          </cell>
          <cell r="L785">
            <v>0</v>
          </cell>
          <cell r="P785">
            <v>0</v>
          </cell>
          <cell r="Q785" t="str">
            <v>71219VN</v>
          </cell>
          <cell r="R785" t="str">
            <v>0</v>
          </cell>
          <cell r="S785" t="str">
            <v/>
          </cell>
        </row>
        <row r="786">
          <cell r="I786">
            <v>0</v>
          </cell>
          <cell r="L786">
            <v>0</v>
          </cell>
          <cell r="P786">
            <v>0</v>
          </cell>
          <cell r="Q786" t="str">
            <v>1500VN</v>
          </cell>
          <cell r="R786" t="str">
            <v>0</v>
          </cell>
          <cell r="S786" t="str">
            <v/>
          </cell>
        </row>
        <row r="787">
          <cell r="L787">
            <v>0</v>
          </cell>
          <cell r="P787">
            <v>0</v>
          </cell>
          <cell r="Q787" t="str">
            <v/>
          </cell>
          <cell r="R787" t="str">
            <v>0</v>
          </cell>
          <cell r="S787" t="str">
            <v/>
          </cell>
        </row>
        <row r="788">
          <cell r="I788">
            <v>-13246876</v>
          </cell>
        </row>
        <row r="789">
          <cell r="I789">
            <v>11263600</v>
          </cell>
          <cell r="L789">
            <v>11263600</v>
          </cell>
          <cell r="P789">
            <v>0</v>
          </cell>
          <cell r="Q789" t="str">
            <v>71132VN</v>
          </cell>
          <cell r="R789" t="str">
            <v>VNQN</v>
          </cell>
          <cell r="S789" t="str">
            <v>Organisational capacity building</v>
          </cell>
        </row>
        <row r="790">
          <cell r="I790">
            <v>2790000</v>
          </cell>
          <cell r="L790">
            <v>2790000</v>
          </cell>
          <cell r="P790">
            <v>0</v>
          </cell>
          <cell r="Q790" t="str">
            <v>71132VN</v>
          </cell>
          <cell r="R790" t="str">
            <v>VNQN</v>
          </cell>
          <cell r="S790" t="str">
            <v xml:space="preserve">Organisational capacity building </v>
          </cell>
        </row>
        <row r="791">
          <cell r="I791">
            <v>43411522</v>
          </cell>
          <cell r="L791">
            <v>43411522</v>
          </cell>
          <cell r="P791">
            <v>0</v>
          </cell>
          <cell r="Q791" t="str">
            <v>72102VN</v>
          </cell>
          <cell r="R791" t="str">
            <v>VNQN</v>
          </cell>
          <cell r="S791" t="str">
            <v>Education quality improvement</v>
          </cell>
        </row>
        <row r="792">
          <cell r="I792">
            <v>-1182678</v>
          </cell>
          <cell r="L792">
            <v>-1182678</v>
          </cell>
          <cell r="P792">
            <v>0</v>
          </cell>
          <cell r="Q792" t="str">
            <v>71139VN</v>
          </cell>
          <cell r="R792" t="str">
            <v/>
          </cell>
          <cell r="S792" t="str">
            <v xml:space="preserve">Organisational capacity building </v>
          </cell>
        </row>
        <row r="793">
          <cell r="I793">
            <v>7813111</v>
          </cell>
          <cell r="L793">
            <v>7813111</v>
          </cell>
          <cell r="P793">
            <v>0</v>
          </cell>
          <cell r="Q793" t="str">
            <v>1500VN</v>
          </cell>
          <cell r="R793" t="str">
            <v>VNQN</v>
          </cell>
          <cell r="S793" t="str">
            <v>mannual input</v>
          </cell>
        </row>
        <row r="794">
          <cell r="I794">
            <v>35222457</v>
          </cell>
          <cell r="L794">
            <v>35222457</v>
          </cell>
          <cell r="P794">
            <v>0</v>
          </cell>
          <cell r="Q794" t="str">
            <v>1500VN</v>
          </cell>
          <cell r="R794" t="e">
            <v>#VALUE!</v>
          </cell>
          <cell r="S794" t="str">
            <v>Organisational capacity building</v>
          </cell>
        </row>
        <row r="795">
          <cell r="I795">
            <v>1182678</v>
          </cell>
          <cell r="L795">
            <v>1182678</v>
          </cell>
          <cell r="P795">
            <v>0</v>
          </cell>
          <cell r="Q795" t="str">
            <v>71139VN</v>
          </cell>
          <cell r="R795" t="str">
            <v/>
          </cell>
          <cell r="S795" t="str">
            <v xml:space="preserve">Organisational capacity building </v>
          </cell>
        </row>
        <row r="796">
          <cell r="I796">
            <v>2421674</v>
          </cell>
          <cell r="L796">
            <v>2421674</v>
          </cell>
          <cell r="P796">
            <v>0</v>
          </cell>
          <cell r="Q796" t="str">
            <v>71139VN</v>
          </cell>
          <cell r="R796" t="str">
            <v>VNQN</v>
          </cell>
          <cell r="S796" t="str">
            <v xml:space="preserve">Organisational capacity building </v>
          </cell>
        </row>
        <row r="797">
          <cell r="I797">
            <v>3604352</v>
          </cell>
          <cell r="L797">
            <v>3604352</v>
          </cell>
          <cell r="P797">
            <v>0</v>
          </cell>
          <cell r="Q797" t="str">
            <v>1500VN</v>
          </cell>
          <cell r="R797" t="str">
            <v>VNQN</v>
          </cell>
          <cell r="S797" t="str">
            <v>mannual input</v>
          </cell>
        </row>
        <row r="798">
          <cell r="L798">
            <v>0</v>
          </cell>
          <cell r="P798">
            <v>0</v>
          </cell>
          <cell r="Q798" t="str">
            <v/>
          </cell>
          <cell r="R798" t="str">
            <v>0</v>
          </cell>
          <cell r="S798" t="str">
            <v/>
          </cell>
        </row>
        <row r="799">
          <cell r="I799">
            <v>0</v>
          </cell>
        </row>
        <row r="800">
          <cell r="I800">
            <v>0</v>
          </cell>
          <cell r="L800">
            <v>0</v>
          </cell>
          <cell r="P800">
            <v>0</v>
          </cell>
          <cell r="Q800" t="str">
            <v>71132VN</v>
          </cell>
          <cell r="R800" t="str">
            <v>0</v>
          </cell>
          <cell r="S800" t="str">
            <v/>
          </cell>
        </row>
        <row r="801">
          <cell r="I801">
            <v>0</v>
          </cell>
          <cell r="L801">
            <v>0</v>
          </cell>
          <cell r="P801">
            <v>0</v>
          </cell>
          <cell r="Q801" t="str">
            <v>71132VN</v>
          </cell>
          <cell r="R801" t="str">
            <v>0</v>
          </cell>
          <cell r="S801" t="str">
            <v/>
          </cell>
        </row>
        <row r="802">
          <cell r="I802">
            <v>0</v>
          </cell>
          <cell r="L802">
            <v>0</v>
          </cell>
          <cell r="P802">
            <v>0</v>
          </cell>
          <cell r="Q802" t="str">
            <v>72102VN</v>
          </cell>
          <cell r="R802" t="str">
            <v>0</v>
          </cell>
          <cell r="S802" t="str">
            <v/>
          </cell>
        </row>
        <row r="803">
          <cell r="I803">
            <v>0</v>
          </cell>
          <cell r="L803">
            <v>0</v>
          </cell>
          <cell r="P803">
            <v>0</v>
          </cell>
          <cell r="Q803" t="str">
            <v>71139VN</v>
          </cell>
          <cell r="R803" t="str">
            <v>0</v>
          </cell>
          <cell r="S803" t="str">
            <v/>
          </cell>
        </row>
        <row r="804">
          <cell r="I804">
            <v>0</v>
          </cell>
          <cell r="L804">
            <v>0</v>
          </cell>
          <cell r="P804">
            <v>0</v>
          </cell>
          <cell r="Q804" t="str">
            <v>1500VN</v>
          </cell>
          <cell r="R804" t="str">
            <v>0</v>
          </cell>
          <cell r="S804" t="str">
            <v/>
          </cell>
        </row>
        <row r="805">
          <cell r="I805">
            <v>0</v>
          </cell>
          <cell r="L805">
            <v>0</v>
          </cell>
          <cell r="P805">
            <v>0</v>
          </cell>
          <cell r="Q805" t="str">
            <v>73209VN</v>
          </cell>
          <cell r="R805" t="str">
            <v>0</v>
          </cell>
          <cell r="S805" t="str">
            <v/>
          </cell>
        </row>
        <row r="806">
          <cell r="I806">
            <v>0</v>
          </cell>
          <cell r="L806">
            <v>0</v>
          </cell>
          <cell r="P806">
            <v>0</v>
          </cell>
          <cell r="Q806" t="str">
            <v>71139VN</v>
          </cell>
          <cell r="R806" t="str">
            <v>0</v>
          </cell>
          <cell r="S806" t="str">
            <v/>
          </cell>
        </row>
        <row r="807">
          <cell r="I807">
            <v>0</v>
          </cell>
          <cell r="L807">
            <v>0</v>
          </cell>
          <cell r="P807">
            <v>0</v>
          </cell>
          <cell r="Q807" t="str">
            <v>71139VN</v>
          </cell>
          <cell r="R807" t="str">
            <v>0</v>
          </cell>
          <cell r="S807" t="str">
            <v/>
          </cell>
        </row>
        <row r="808">
          <cell r="I808">
            <v>0</v>
          </cell>
          <cell r="L808">
            <v>0</v>
          </cell>
          <cell r="P808">
            <v>0</v>
          </cell>
          <cell r="Q808" t="str">
            <v>1500VN</v>
          </cell>
          <cell r="R808" t="str">
            <v>0</v>
          </cell>
          <cell r="S808" t="str">
            <v/>
          </cell>
        </row>
        <row r="809">
          <cell r="L809">
            <v>0</v>
          </cell>
          <cell r="P809">
            <v>0</v>
          </cell>
          <cell r="Q809" t="str">
            <v/>
          </cell>
          <cell r="R809" t="str">
            <v>0</v>
          </cell>
          <cell r="S809" t="str">
            <v/>
          </cell>
        </row>
        <row r="810">
          <cell r="I810">
            <v>-14293250</v>
          </cell>
        </row>
        <row r="811">
          <cell r="I811">
            <v>13000000</v>
          </cell>
          <cell r="L811">
            <v>13000000</v>
          </cell>
          <cell r="P811">
            <v>0</v>
          </cell>
          <cell r="Q811" t="str">
            <v>71132VN</v>
          </cell>
          <cell r="R811" t="str">
            <v>VNLA</v>
          </cell>
          <cell r="S811" t="str">
            <v>Organisational capacity building</v>
          </cell>
        </row>
        <row r="812">
          <cell r="I812">
            <v>2790000</v>
          </cell>
          <cell r="L812">
            <v>2790000</v>
          </cell>
          <cell r="P812">
            <v>0</v>
          </cell>
          <cell r="Q812" t="str">
            <v>71132VN</v>
          </cell>
          <cell r="R812" t="str">
            <v>VNLA</v>
          </cell>
          <cell r="S812" t="str">
            <v xml:space="preserve">Organisational capacity building </v>
          </cell>
        </row>
        <row r="813">
          <cell r="I813">
            <v>0</v>
          </cell>
          <cell r="L813">
            <v>0</v>
          </cell>
          <cell r="P813">
            <v>0</v>
          </cell>
          <cell r="Q813" t="str">
            <v>72102VN</v>
          </cell>
          <cell r="R813" t="str">
            <v>0</v>
          </cell>
          <cell r="S813" t="str">
            <v/>
          </cell>
        </row>
        <row r="814">
          <cell r="I814">
            <v>-1365000</v>
          </cell>
          <cell r="L814">
            <v>-1365000</v>
          </cell>
          <cell r="P814">
            <v>0</v>
          </cell>
          <cell r="Q814" t="str">
            <v>71139VN</v>
          </cell>
          <cell r="R814" t="str">
            <v/>
          </cell>
          <cell r="S814" t="str">
            <v xml:space="preserve">Organisational capacity building </v>
          </cell>
        </row>
        <row r="815">
          <cell r="I815">
            <v>131750</v>
          </cell>
          <cell r="L815">
            <v>131750</v>
          </cell>
          <cell r="P815">
            <v>0</v>
          </cell>
          <cell r="Q815" t="str">
            <v>1500VN</v>
          </cell>
          <cell r="R815" t="str">
            <v>VNLA</v>
          </cell>
          <cell r="S815" t="str">
            <v>mannual input</v>
          </cell>
        </row>
        <row r="816">
          <cell r="I816">
            <v>0</v>
          </cell>
          <cell r="L816">
            <v>0</v>
          </cell>
          <cell r="P816">
            <v>0</v>
          </cell>
          <cell r="Q816" t="str">
            <v>73209VN</v>
          </cell>
          <cell r="R816" t="str">
            <v>0</v>
          </cell>
          <cell r="S816" t="str">
            <v/>
          </cell>
        </row>
        <row r="817">
          <cell r="I817">
            <v>1365000</v>
          </cell>
          <cell r="L817">
            <v>1365000</v>
          </cell>
          <cell r="P817">
            <v>0</v>
          </cell>
          <cell r="Q817" t="str">
            <v>71139VN</v>
          </cell>
          <cell r="R817" t="str">
            <v/>
          </cell>
          <cell r="S817" t="str">
            <v xml:space="preserve">Organisational capacity building </v>
          </cell>
        </row>
        <row r="818">
          <cell r="I818">
            <v>2795000</v>
          </cell>
          <cell r="L818">
            <v>2795000</v>
          </cell>
          <cell r="P818">
            <v>0</v>
          </cell>
          <cell r="Q818" t="str">
            <v>71139VN</v>
          </cell>
          <cell r="R818" t="str">
            <v>VNLA</v>
          </cell>
          <cell r="S818" t="str">
            <v xml:space="preserve">Organisational capacity building </v>
          </cell>
        </row>
        <row r="819">
          <cell r="I819">
            <v>4160000</v>
          </cell>
          <cell r="L819">
            <v>4160000</v>
          </cell>
          <cell r="P819">
            <v>0</v>
          </cell>
          <cell r="Q819" t="str">
            <v>1500VN</v>
          </cell>
          <cell r="R819" t="str">
            <v>VNLA</v>
          </cell>
          <cell r="S819" t="str">
            <v>mannual input</v>
          </cell>
        </row>
        <row r="820">
          <cell r="L820">
            <v>0</v>
          </cell>
          <cell r="P820">
            <v>0</v>
          </cell>
          <cell r="Q820" t="str">
            <v/>
          </cell>
          <cell r="R820" t="str">
            <v>0</v>
          </cell>
          <cell r="S820" t="str">
            <v/>
          </cell>
        </row>
        <row r="821">
          <cell r="I821">
            <v>-4475000</v>
          </cell>
        </row>
        <row r="822">
          <cell r="I822">
            <v>5000000</v>
          </cell>
          <cell r="L822">
            <v>5000000</v>
          </cell>
          <cell r="P822">
            <v>0</v>
          </cell>
          <cell r="Q822" t="str">
            <v>71204VN</v>
          </cell>
          <cell r="R822" t="str">
            <v>VNOther</v>
          </cell>
          <cell r="S822" t="str">
            <v>Organisational capacity building</v>
          </cell>
        </row>
        <row r="823">
          <cell r="I823">
            <v>0</v>
          </cell>
          <cell r="L823">
            <v>0</v>
          </cell>
          <cell r="P823">
            <v>0</v>
          </cell>
          <cell r="Q823" t="str">
            <v>71204VN</v>
          </cell>
          <cell r="R823" t="str">
            <v>0</v>
          </cell>
          <cell r="S823" t="str">
            <v/>
          </cell>
        </row>
        <row r="824">
          <cell r="I824">
            <v>-525000</v>
          </cell>
          <cell r="L824">
            <v>-525000</v>
          </cell>
          <cell r="P824">
            <v>0</v>
          </cell>
          <cell r="Q824" t="str">
            <v>71219VN</v>
          </cell>
          <cell r="R824" t="str">
            <v/>
          </cell>
          <cell r="S824" t="str">
            <v xml:space="preserve">Organisational capacity building </v>
          </cell>
        </row>
        <row r="825">
          <cell r="I825">
            <v>0</v>
          </cell>
          <cell r="L825">
            <v>0</v>
          </cell>
          <cell r="P825">
            <v>0</v>
          </cell>
          <cell r="Q825" t="str">
            <v>1500VN</v>
          </cell>
          <cell r="R825" t="str">
            <v>0</v>
          </cell>
          <cell r="S825" t="str">
            <v/>
          </cell>
        </row>
        <row r="826">
          <cell r="I826">
            <v>0</v>
          </cell>
          <cell r="L826">
            <v>0</v>
          </cell>
          <cell r="P826">
            <v>0</v>
          </cell>
          <cell r="Q826" t="str">
            <v>73209VN</v>
          </cell>
          <cell r="R826" t="str">
            <v>0</v>
          </cell>
          <cell r="S826" t="str">
            <v/>
          </cell>
        </row>
        <row r="827">
          <cell r="I827">
            <v>525000</v>
          </cell>
          <cell r="L827">
            <v>525000</v>
          </cell>
          <cell r="P827">
            <v>0</v>
          </cell>
          <cell r="Q827" t="str">
            <v>71219VN</v>
          </cell>
          <cell r="R827" t="str">
            <v/>
          </cell>
          <cell r="S827" t="str">
            <v xml:space="preserve">Organisational capacity building </v>
          </cell>
        </row>
        <row r="828">
          <cell r="I828">
            <v>1075000</v>
          </cell>
          <cell r="L828">
            <v>1075000</v>
          </cell>
          <cell r="P828">
            <v>0</v>
          </cell>
          <cell r="Q828" t="str">
            <v>71219VN</v>
          </cell>
          <cell r="R828" t="str">
            <v>VNOther</v>
          </cell>
          <cell r="S828" t="str">
            <v xml:space="preserve">Organisational capacity building </v>
          </cell>
        </row>
        <row r="829">
          <cell r="I829">
            <v>1600000</v>
          </cell>
          <cell r="L829">
            <v>1600000</v>
          </cell>
          <cell r="P829">
            <v>0</v>
          </cell>
          <cell r="Q829" t="str">
            <v>1500VN</v>
          </cell>
          <cell r="R829" t="str">
            <v>VNOther</v>
          </cell>
          <cell r="S829" t="str">
            <v>mannual input</v>
          </cell>
        </row>
        <row r="830">
          <cell r="L830">
            <v>0</v>
          </cell>
          <cell r="P830">
            <v>0</v>
          </cell>
          <cell r="Q830" t="str">
            <v/>
          </cell>
          <cell r="R830" t="str">
            <v>0</v>
          </cell>
          <cell r="S830" t="str">
            <v/>
          </cell>
        </row>
        <row r="831">
          <cell r="I831">
            <v>-14272356</v>
          </cell>
        </row>
        <row r="832">
          <cell r="I832">
            <v>12425000</v>
          </cell>
          <cell r="L832">
            <v>12425000</v>
          </cell>
          <cell r="P832">
            <v>0</v>
          </cell>
          <cell r="Q832" t="str">
            <v>71132VN</v>
          </cell>
          <cell r="R832" t="str">
            <v>VNQN</v>
          </cell>
          <cell r="S832" t="str">
            <v>Organisational capacity building</v>
          </cell>
        </row>
        <row r="833">
          <cell r="I833">
            <v>2790000</v>
          </cell>
          <cell r="L833">
            <v>2790000</v>
          </cell>
          <cell r="P833">
            <v>0</v>
          </cell>
          <cell r="Q833" t="str">
            <v>71132VN</v>
          </cell>
          <cell r="R833" t="str">
            <v>VNQN</v>
          </cell>
          <cell r="S833" t="str">
            <v xml:space="preserve">Organisational capacity building </v>
          </cell>
        </row>
        <row r="834">
          <cell r="I834">
            <v>42773375</v>
          </cell>
          <cell r="L834">
            <v>42773375</v>
          </cell>
          <cell r="P834">
            <v>0</v>
          </cell>
          <cell r="Q834" t="str">
            <v>72102VN</v>
          </cell>
          <cell r="R834" t="str">
            <v>VNQN</v>
          </cell>
          <cell r="S834" t="str">
            <v>Education quality improvement</v>
          </cell>
        </row>
        <row r="835">
          <cell r="I835">
            <v>-1304625</v>
          </cell>
          <cell r="L835">
            <v>-1304625</v>
          </cell>
          <cell r="P835">
            <v>0</v>
          </cell>
          <cell r="Q835" t="str">
            <v>71139VN</v>
          </cell>
          <cell r="R835" t="str">
            <v/>
          </cell>
          <cell r="S835" t="str">
            <v xml:space="preserve">Organisational capacity building </v>
          </cell>
        </row>
        <row r="836">
          <cell r="I836">
            <v>7913438</v>
          </cell>
          <cell r="L836">
            <v>7913438</v>
          </cell>
          <cell r="P836">
            <v>0</v>
          </cell>
          <cell r="Q836" t="str">
            <v>1500VN</v>
          </cell>
          <cell r="R836" t="str">
            <v>VNQN</v>
          </cell>
          <cell r="S836" t="str">
            <v>mannual input</v>
          </cell>
        </row>
        <row r="837">
          <cell r="I837">
            <v>34497956</v>
          </cell>
          <cell r="L837">
            <v>34497956</v>
          </cell>
          <cell r="P837">
            <v>0</v>
          </cell>
          <cell r="Q837" t="str">
            <v>1500VN</v>
          </cell>
          <cell r="R837" t="e">
            <v>#VALUE!</v>
          </cell>
          <cell r="S837" t="str">
            <v>Organisational capacity building</v>
          </cell>
        </row>
        <row r="838">
          <cell r="I838">
            <v>1304625</v>
          </cell>
          <cell r="L838">
            <v>1304625</v>
          </cell>
          <cell r="P838">
            <v>0</v>
          </cell>
          <cell r="Q838" t="str">
            <v>71139VN</v>
          </cell>
          <cell r="R838" t="str">
            <v/>
          </cell>
          <cell r="S838" t="str">
            <v xml:space="preserve">Organisational capacity building </v>
          </cell>
        </row>
        <row r="839">
          <cell r="I839">
            <v>2671375</v>
          </cell>
          <cell r="L839">
            <v>2671375</v>
          </cell>
          <cell r="P839">
            <v>0</v>
          </cell>
          <cell r="Q839" t="str">
            <v>71139VN</v>
          </cell>
          <cell r="R839" t="str">
            <v>VNQN</v>
          </cell>
          <cell r="S839" t="str">
            <v xml:space="preserve">Organisational capacity building </v>
          </cell>
        </row>
        <row r="840">
          <cell r="I840">
            <v>3976000</v>
          </cell>
          <cell r="L840">
            <v>3976000</v>
          </cell>
          <cell r="P840">
            <v>0</v>
          </cell>
          <cell r="Q840" t="str">
            <v>1500VN</v>
          </cell>
          <cell r="R840" t="str">
            <v>VNQN</v>
          </cell>
          <cell r="S840" t="str">
            <v>mannual input</v>
          </cell>
        </row>
        <row r="841">
          <cell r="L841">
            <v>0</v>
          </cell>
          <cell r="P841">
            <v>0</v>
          </cell>
          <cell r="Q841" t="str">
            <v/>
          </cell>
          <cell r="R841" t="str">
            <v>0</v>
          </cell>
          <cell r="S841" t="str">
            <v/>
          </cell>
        </row>
        <row r="842">
          <cell r="I842">
            <v>-12528964</v>
          </cell>
        </row>
        <row r="843">
          <cell r="I843">
            <v>11142857</v>
          </cell>
          <cell r="L843">
            <v>11142857</v>
          </cell>
          <cell r="P843">
            <v>0</v>
          </cell>
          <cell r="Q843" t="str">
            <v>71132VN</v>
          </cell>
          <cell r="R843" t="str">
            <v>VNBN</v>
          </cell>
          <cell r="S843" t="str">
            <v>Organisational capacity building</v>
          </cell>
        </row>
        <row r="844">
          <cell r="I844">
            <v>2790000</v>
          </cell>
          <cell r="L844">
            <v>2790000</v>
          </cell>
          <cell r="P844">
            <v>0</v>
          </cell>
          <cell r="Q844" t="str">
            <v>71132VN</v>
          </cell>
          <cell r="R844" t="str">
            <v>VNBN</v>
          </cell>
          <cell r="S844" t="str">
            <v xml:space="preserve">Organisational capacity building </v>
          </cell>
        </row>
        <row r="845">
          <cell r="I845">
            <v>0</v>
          </cell>
          <cell r="L845">
            <v>0</v>
          </cell>
          <cell r="P845">
            <v>0</v>
          </cell>
          <cell r="Q845" t="str">
            <v>72102VN</v>
          </cell>
          <cell r="R845" t="str">
            <v>0</v>
          </cell>
          <cell r="S845" t="str">
            <v/>
          </cell>
        </row>
        <row r="846">
          <cell r="I846">
            <v>-1365000</v>
          </cell>
          <cell r="L846">
            <v>-1365000</v>
          </cell>
          <cell r="P846">
            <v>0</v>
          </cell>
          <cell r="Q846" t="str">
            <v>71139VN</v>
          </cell>
          <cell r="R846" t="str">
            <v/>
          </cell>
          <cell r="S846" t="str">
            <v xml:space="preserve">Organisational capacity building </v>
          </cell>
        </row>
        <row r="847">
          <cell r="I847">
            <v>38893</v>
          </cell>
          <cell r="L847">
            <v>38893</v>
          </cell>
          <cell r="P847">
            <v>0</v>
          </cell>
          <cell r="Q847" t="str">
            <v>1500VN</v>
          </cell>
          <cell r="R847" t="str">
            <v>VNBN</v>
          </cell>
          <cell r="S847" t="str">
            <v>mannual input</v>
          </cell>
        </row>
        <row r="848">
          <cell r="I848">
            <v>0</v>
          </cell>
          <cell r="L848">
            <v>0</v>
          </cell>
          <cell r="P848">
            <v>0</v>
          </cell>
          <cell r="Q848" t="str">
            <v>73209VN</v>
          </cell>
          <cell r="R848" t="str">
            <v>0</v>
          </cell>
          <cell r="S848" t="str">
            <v/>
          </cell>
        </row>
        <row r="849">
          <cell r="I849">
            <v>1365000</v>
          </cell>
          <cell r="L849">
            <v>1365000</v>
          </cell>
          <cell r="P849">
            <v>0</v>
          </cell>
          <cell r="Q849" t="str">
            <v>71139VN</v>
          </cell>
          <cell r="R849" t="str">
            <v/>
          </cell>
          <cell r="S849" t="str">
            <v xml:space="preserve">Organisational capacity building </v>
          </cell>
        </row>
        <row r="850">
          <cell r="I850">
            <v>2795000</v>
          </cell>
          <cell r="L850">
            <v>2795000</v>
          </cell>
          <cell r="P850">
            <v>0</v>
          </cell>
          <cell r="Q850" t="str">
            <v>71139VN</v>
          </cell>
          <cell r="R850" t="str">
            <v>VNBN</v>
          </cell>
          <cell r="S850" t="str">
            <v xml:space="preserve">Organisational capacity building </v>
          </cell>
        </row>
        <row r="851">
          <cell r="I851">
            <v>4160000</v>
          </cell>
          <cell r="L851">
            <v>4160000</v>
          </cell>
          <cell r="P851">
            <v>0</v>
          </cell>
          <cell r="Q851" t="str">
            <v>1500VN</v>
          </cell>
          <cell r="R851" t="str">
            <v>VNBN</v>
          </cell>
          <cell r="S851" t="str">
            <v>mannual input</v>
          </cell>
        </row>
        <row r="852">
          <cell r="L852">
            <v>0</v>
          </cell>
          <cell r="P852">
            <v>0</v>
          </cell>
          <cell r="Q852" t="str">
            <v/>
          </cell>
          <cell r="R852" t="str">
            <v>0</v>
          </cell>
          <cell r="S852" t="str">
            <v/>
          </cell>
        </row>
        <row r="853">
          <cell r="I853">
            <v>-12528964</v>
          </cell>
        </row>
        <row r="854">
          <cell r="I854">
            <v>11142857</v>
          </cell>
          <cell r="L854">
            <v>11142857</v>
          </cell>
          <cell r="P854">
            <v>0</v>
          </cell>
          <cell r="Q854" t="str">
            <v>71132VN</v>
          </cell>
          <cell r="R854" t="str">
            <v>VNBN</v>
          </cell>
          <cell r="S854" t="str">
            <v>Organisational capacity building</v>
          </cell>
        </row>
        <row r="855">
          <cell r="I855">
            <v>2790000</v>
          </cell>
          <cell r="L855">
            <v>2790000</v>
          </cell>
          <cell r="P855">
            <v>0</v>
          </cell>
          <cell r="Q855" t="str">
            <v>71132VN</v>
          </cell>
          <cell r="R855" t="str">
            <v>VNBN</v>
          </cell>
          <cell r="S855" t="str">
            <v xml:space="preserve">Organisational capacity building </v>
          </cell>
        </row>
        <row r="856">
          <cell r="I856">
            <v>0</v>
          </cell>
          <cell r="L856">
            <v>0</v>
          </cell>
          <cell r="P856">
            <v>0</v>
          </cell>
          <cell r="Q856" t="str">
            <v>72102VN</v>
          </cell>
          <cell r="R856" t="str">
            <v>0</v>
          </cell>
          <cell r="S856" t="str">
            <v/>
          </cell>
        </row>
        <row r="857">
          <cell r="I857">
            <v>-1365000</v>
          </cell>
          <cell r="L857">
            <v>-1365000</v>
          </cell>
          <cell r="P857">
            <v>0</v>
          </cell>
          <cell r="Q857" t="str">
            <v>71139VN</v>
          </cell>
          <cell r="R857" t="str">
            <v/>
          </cell>
          <cell r="S857" t="str">
            <v xml:space="preserve">Organisational capacity building </v>
          </cell>
        </row>
        <row r="858">
          <cell r="I858">
            <v>38893</v>
          </cell>
          <cell r="L858">
            <v>38893</v>
          </cell>
          <cell r="P858">
            <v>0</v>
          </cell>
          <cell r="Q858" t="str">
            <v>1500VN</v>
          </cell>
          <cell r="R858" t="str">
            <v>VNBN</v>
          </cell>
          <cell r="S858" t="str">
            <v>mannual input</v>
          </cell>
        </row>
        <row r="859">
          <cell r="I859">
            <v>0</v>
          </cell>
          <cell r="L859">
            <v>0</v>
          </cell>
          <cell r="P859">
            <v>0</v>
          </cell>
          <cell r="Q859" t="str">
            <v>73209VN</v>
          </cell>
          <cell r="R859" t="str">
            <v>0</v>
          </cell>
          <cell r="S859" t="str">
            <v/>
          </cell>
        </row>
        <row r="860">
          <cell r="I860">
            <v>1365000</v>
          </cell>
          <cell r="L860">
            <v>1365000</v>
          </cell>
          <cell r="P860">
            <v>0</v>
          </cell>
          <cell r="Q860" t="str">
            <v>71139VN</v>
          </cell>
          <cell r="R860" t="str">
            <v/>
          </cell>
          <cell r="S860" t="str">
            <v xml:space="preserve">Organisational capacity building </v>
          </cell>
        </row>
        <row r="861">
          <cell r="I861">
            <v>2795000</v>
          </cell>
          <cell r="L861">
            <v>2795000</v>
          </cell>
          <cell r="P861">
            <v>0</v>
          </cell>
          <cell r="Q861" t="str">
            <v>71139VN</v>
          </cell>
          <cell r="R861" t="str">
            <v>VNBN</v>
          </cell>
          <cell r="S861" t="str">
            <v xml:space="preserve">Organisational capacity building </v>
          </cell>
        </row>
        <row r="862">
          <cell r="I862">
            <v>4160000</v>
          </cell>
          <cell r="L862">
            <v>4160000</v>
          </cell>
          <cell r="P862">
            <v>0</v>
          </cell>
          <cell r="Q862" t="str">
            <v>1500VN</v>
          </cell>
          <cell r="R862" t="str">
            <v>VNBN</v>
          </cell>
          <cell r="S862" t="str">
            <v>mannual input</v>
          </cell>
        </row>
        <row r="863">
          <cell r="L863">
            <v>0</v>
          </cell>
          <cell r="P863">
            <v>0</v>
          </cell>
          <cell r="Q863" t="str">
            <v/>
          </cell>
          <cell r="R863" t="str">
            <v>0</v>
          </cell>
          <cell r="S863" t="str">
            <v/>
          </cell>
        </row>
        <row r="864">
          <cell r="I864">
            <v>0</v>
          </cell>
        </row>
        <row r="865">
          <cell r="I865">
            <v>-59754545</v>
          </cell>
          <cell r="L865">
            <v>-59754545</v>
          </cell>
          <cell r="P865">
            <v>0</v>
          </cell>
          <cell r="Q865" t="str">
            <v>1252VN</v>
          </cell>
          <cell r="R865" t="e">
            <v>#VALUE!</v>
          </cell>
          <cell r="S865" t="str">
            <v>mannual input</v>
          </cell>
        </row>
        <row r="866">
          <cell r="I866">
            <v>15600000</v>
          </cell>
          <cell r="L866">
            <v>15600000</v>
          </cell>
          <cell r="P866">
            <v>0</v>
          </cell>
          <cell r="Q866" t="str">
            <v>72102VN</v>
          </cell>
          <cell r="R866" t="str">
            <v>VNHDTOT</v>
          </cell>
          <cell r="S866" t="str">
            <v>Education quality improvement</v>
          </cell>
        </row>
        <row r="867">
          <cell r="I867">
            <v>44154545</v>
          </cell>
          <cell r="L867">
            <v>44154545</v>
          </cell>
          <cell r="P867">
            <v>0</v>
          </cell>
          <cell r="Q867" t="str">
            <v>73102VN</v>
          </cell>
          <cell r="R867" t="str">
            <v>VNHDTOT</v>
          </cell>
          <cell r="S867" t="str">
            <v>Education quality improvement</v>
          </cell>
        </row>
        <row r="868">
          <cell r="I868">
            <v>0</v>
          </cell>
          <cell r="L868">
            <v>0</v>
          </cell>
          <cell r="P868">
            <v>0</v>
          </cell>
          <cell r="Q868" t="str">
            <v>73102VN</v>
          </cell>
          <cell r="R868" t="str">
            <v>0</v>
          </cell>
          <cell r="S868" t="str">
            <v/>
          </cell>
        </row>
        <row r="869">
          <cell r="L869">
            <v>0</v>
          </cell>
          <cell r="P869">
            <v>0</v>
          </cell>
          <cell r="Q869" t="str">
            <v/>
          </cell>
          <cell r="R869" t="str">
            <v>0</v>
          </cell>
          <cell r="S869" t="str">
            <v/>
          </cell>
        </row>
        <row r="870">
          <cell r="I870">
            <v>0</v>
          </cell>
        </row>
        <row r="871">
          <cell r="I871">
            <v>-86000000</v>
          </cell>
          <cell r="L871">
            <v>-86000000</v>
          </cell>
          <cell r="P871">
            <v>0</v>
          </cell>
          <cell r="Q871" t="str">
            <v>1252VN</v>
          </cell>
          <cell r="R871" t="e">
            <v>#VALUE!</v>
          </cell>
          <cell r="S871" t="str">
            <v>mannual input</v>
          </cell>
        </row>
        <row r="872">
          <cell r="I872">
            <v>25000000</v>
          </cell>
          <cell r="L872">
            <v>25000000</v>
          </cell>
          <cell r="P872">
            <v>0</v>
          </cell>
          <cell r="Q872" t="str">
            <v>72102VN</v>
          </cell>
          <cell r="R872" t="str">
            <v>VNHD2</v>
          </cell>
          <cell r="S872" t="str">
            <v>Education quality improvement</v>
          </cell>
        </row>
        <row r="873">
          <cell r="I873">
            <v>29000000</v>
          </cell>
          <cell r="L873">
            <v>29000000</v>
          </cell>
          <cell r="P873">
            <v>0</v>
          </cell>
          <cell r="Q873" t="str">
            <v>73102VN</v>
          </cell>
          <cell r="R873" t="str">
            <v>VNHD2</v>
          </cell>
          <cell r="S873" t="str">
            <v>Education quality improvement</v>
          </cell>
        </row>
        <row r="874">
          <cell r="I874">
            <v>32000000</v>
          </cell>
          <cell r="L874">
            <v>32000000</v>
          </cell>
          <cell r="P874">
            <v>0</v>
          </cell>
          <cell r="Q874" t="str">
            <v>73102VN</v>
          </cell>
          <cell r="R874" t="e">
            <v>#VALUE!</v>
          </cell>
          <cell r="S874" t="str">
            <v>Education quality improvement</v>
          </cell>
        </row>
        <row r="875">
          <cell r="L875">
            <v>0</v>
          </cell>
          <cell r="P875">
            <v>0</v>
          </cell>
          <cell r="Q875" t="str">
            <v/>
          </cell>
          <cell r="R875" t="str">
            <v>0</v>
          </cell>
          <cell r="S875" t="str">
            <v/>
          </cell>
        </row>
        <row r="876">
          <cell r="I876">
            <v>0</v>
          </cell>
        </row>
        <row r="877">
          <cell r="I877">
            <v>-41980000</v>
          </cell>
          <cell r="L877">
            <v>-41980000</v>
          </cell>
          <cell r="P877">
            <v>0</v>
          </cell>
          <cell r="Q877" t="str">
            <v>1252VN</v>
          </cell>
          <cell r="R877" t="e">
            <v>#VALUE!</v>
          </cell>
          <cell r="S877" t="str">
            <v>mannual input</v>
          </cell>
        </row>
        <row r="878">
          <cell r="I878">
            <v>22900000</v>
          </cell>
          <cell r="L878">
            <v>22900000</v>
          </cell>
          <cell r="P878">
            <v>0</v>
          </cell>
          <cell r="Q878" t="str">
            <v>72102VN</v>
          </cell>
          <cell r="R878" t="str">
            <v>VNQN2</v>
          </cell>
          <cell r="S878" t="str">
            <v>Education quality improvement</v>
          </cell>
        </row>
        <row r="879">
          <cell r="I879">
            <v>14080000</v>
          </cell>
          <cell r="L879">
            <v>14080000</v>
          </cell>
          <cell r="P879">
            <v>0</v>
          </cell>
          <cell r="Q879" t="str">
            <v>73102VN</v>
          </cell>
          <cell r="R879" t="str">
            <v>VNQN2</v>
          </cell>
          <cell r="S879" t="str">
            <v>Education quality improvement</v>
          </cell>
        </row>
        <row r="880">
          <cell r="I880">
            <v>5000000</v>
          </cell>
          <cell r="L880">
            <v>5000000</v>
          </cell>
          <cell r="P880">
            <v>0</v>
          </cell>
          <cell r="Q880" t="str">
            <v>73102VN</v>
          </cell>
          <cell r="R880" t="str">
            <v>VNQN</v>
          </cell>
          <cell r="S880" t="str">
            <v>Education quality improvement</v>
          </cell>
        </row>
        <row r="881">
          <cell r="L881">
            <v>0</v>
          </cell>
          <cell r="P881">
            <v>0</v>
          </cell>
          <cell r="Q881" t="str">
            <v/>
          </cell>
          <cell r="R881" t="str">
            <v>0</v>
          </cell>
          <cell r="S881" t="str">
            <v/>
          </cell>
        </row>
        <row r="882">
          <cell r="I882">
            <v>0</v>
          </cell>
        </row>
        <row r="883">
          <cell r="I883">
            <v>-21420000</v>
          </cell>
          <cell r="L883">
            <v>-21420000</v>
          </cell>
          <cell r="P883">
            <v>0</v>
          </cell>
          <cell r="Q883" t="str">
            <v>1252VN</v>
          </cell>
          <cell r="R883" t="e">
            <v>#VALUE!</v>
          </cell>
          <cell r="S883" t="str">
            <v>mannual input</v>
          </cell>
        </row>
        <row r="884">
          <cell r="I884">
            <v>10500000</v>
          </cell>
          <cell r="L884">
            <v>10500000</v>
          </cell>
          <cell r="P884">
            <v>0</v>
          </cell>
          <cell r="Q884" t="str">
            <v>72102VN</v>
          </cell>
          <cell r="R884" t="str">
            <v>VNQN</v>
          </cell>
          <cell r="S884" t="str">
            <v>Education quality improvement</v>
          </cell>
        </row>
        <row r="885">
          <cell r="I885">
            <v>10920000</v>
          </cell>
          <cell r="L885">
            <v>10920000</v>
          </cell>
          <cell r="P885">
            <v>0</v>
          </cell>
          <cell r="Q885" t="str">
            <v>73102VN</v>
          </cell>
          <cell r="R885" t="str">
            <v>VNQN</v>
          </cell>
          <cell r="S885" t="str">
            <v>Education quality improvement</v>
          </cell>
        </row>
        <row r="886">
          <cell r="L886">
            <v>0</v>
          </cell>
          <cell r="P886">
            <v>0</v>
          </cell>
          <cell r="Q886" t="str">
            <v/>
          </cell>
          <cell r="R886" t="str">
            <v>0</v>
          </cell>
          <cell r="S886" t="str">
            <v/>
          </cell>
        </row>
        <row r="887">
          <cell r="I887">
            <v>0</v>
          </cell>
        </row>
        <row r="888">
          <cell r="I888">
            <v>-605848</v>
          </cell>
          <cell r="L888">
            <v>-605848</v>
          </cell>
          <cell r="P888">
            <v>0</v>
          </cell>
          <cell r="Q888" t="str">
            <v>73102VN</v>
          </cell>
          <cell r="R888" t="str">
            <v>VNQN</v>
          </cell>
          <cell r="S888" t="str">
            <v>Education quality improvement</v>
          </cell>
        </row>
        <row r="889">
          <cell r="I889">
            <v>605848</v>
          </cell>
          <cell r="L889">
            <v>605848</v>
          </cell>
          <cell r="P889">
            <v>0</v>
          </cell>
          <cell r="Q889" t="str">
            <v>1230VN</v>
          </cell>
          <cell r="R889" t="str">
            <v>QN DOET refund bank interest, net off receivable</v>
          </cell>
          <cell r="S889" t="str">
            <v>mannual input</v>
          </cell>
        </row>
        <row r="890">
          <cell r="L890">
            <v>0</v>
          </cell>
          <cell r="P890">
            <v>0</v>
          </cell>
          <cell r="Q890" t="str">
            <v/>
          </cell>
          <cell r="R890" t="str">
            <v>0</v>
          </cell>
          <cell r="S890" t="str">
            <v/>
          </cell>
        </row>
        <row r="891">
          <cell r="L891">
            <v>0</v>
          </cell>
          <cell r="P891">
            <v>0</v>
          </cell>
          <cell r="Q891" t="str">
            <v/>
          </cell>
          <cell r="R891" t="str">
            <v>0</v>
          </cell>
          <cell r="S891" t="str">
            <v/>
          </cell>
        </row>
        <row r="892">
          <cell r="L892">
            <v>0</v>
          </cell>
          <cell r="P892">
            <v>0</v>
          </cell>
          <cell r="Q892" t="str">
            <v/>
          </cell>
          <cell r="R892" t="str">
            <v>0</v>
          </cell>
          <cell r="S892" t="str">
            <v/>
          </cell>
        </row>
        <row r="893">
          <cell r="S893" t="str">
            <v/>
          </cell>
        </row>
        <row r="894">
          <cell r="I894">
            <v>17513</v>
          </cell>
          <cell r="L894">
            <v>17513</v>
          </cell>
          <cell r="P894">
            <v>0</v>
          </cell>
          <cell r="Q894" t="str">
            <v>3100VN</v>
          </cell>
          <cell r="R894" t="e">
            <v>#VALUE!</v>
          </cell>
          <cell r="S894" t="str">
            <v/>
          </cell>
        </row>
        <row r="895">
          <cell r="L895">
            <v>0</v>
          </cell>
          <cell r="P895">
            <v>0</v>
          </cell>
          <cell r="Q895" t="str">
            <v/>
          </cell>
          <cell r="R895" t="str">
            <v>0</v>
          </cell>
          <cell r="S895" t="str">
            <v/>
          </cell>
        </row>
        <row r="896">
          <cell r="S896" t="str">
            <v/>
          </cell>
        </row>
        <row r="897">
          <cell r="I897">
            <v>22000</v>
          </cell>
          <cell r="L897">
            <v>22000</v>
          </cell>
          <cell r="P897">
            <v>0</v>
          </cell>
          <cell r="Q897" t="str">
            <v>73209VN</v>
          </cell>
          <cell r="R897" t="str">
            <v>VNOther</v>
          </cell>
          <cell r="S897" t="str">
            <v xml:space="preserve">Program Operation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90599-351C-48A9-A14E-1B6DCEBFBCA5}">
  <dimension ref="A2:B16"/>
  <sheetViews>
    <sheetView workbookViewId="0">
      <selection activeCell="C21" sqref="C21"/>
    </sheetView>
  </sheetViews>
  <sheetFormatPr baseColWidth="10" defaultColWidth="9" defaultRowHeight="15" x14ac:dyDescent="0.2"/>
  <cols>
    <col min="1" max="1" width="13.5" style="2" customWidth="1"/>
    <col min="2" max="16384" width="9" style="2"/>
  </cols>
  <sheetData>
    <row r="2" spans="1:2" x14ac:dyDescent="0.2">
      <c r="A2" s="1" t="s">
        <v>74</v>
      </c>
      <c r="B2" s="2" t="s">
        <v>90</v>
      </c>
    </row>
    <row r="3" spans="1:2" x14ac:dyDescent="0.2">
      <c r="A3" s="1" t="s">
        <v>75</v>
      </c>
      <c r="B3" s="2" t="s">
        <v>91</v>
      </c>
    </row>
    <row r="4" spans="1:2" x14ac:dyDescent="0.2">
      <c r="A4" s="1">
        <v>2</v>
      </c>
      <c r="B4" s="2" t="s">
        <v>76</v>
      </c>
    </row>
    <row r="5" spans="1:2" x14ac:dyDescent="0.2">
      <c r="A5" s="1">
        <v>3</v>
      </c>
      <c r="B5" s="2" t="s">
        <v>77</v>
      </c>
    </row>
    <row r="6" spans="1:2" x14ac:dyDescent="0.2">
      <c r="A6" s="3">
        <v>4</v>
      </c>
      <c r="B6" s="2" t="s">
        <v>78</v>
      </c>
    </row>
    <row r="7" spans="1:2" x14ac:dyDescent="0.2">
      <c r="A7" s="4"/>
      <c r="B7" s="2" t="s">
        <v>79</v>
      </c>
    </row>
    <row r="8" spans="1:2" x14ac:dyDescent="0.2">
      <c r="A8" s="5"/>
      <c r="B8" s="2" t="s">
        <v>80</v>
      </c>
    </row>
    <row r="9" spans="1:2" x14ac:dyDescent="0.2">
      <c r="A9" s="6"/>
      <c r="B9" s="2" t="s">
        <v>81</v>
      </c>
    </row>
    <row r="12" spans="1:2" x14ac:dyDescent="0.2">
      <c r="A12" s="2" t="s">
        <v>82</v>
      </c>
      <c r="B12" s="2" t="s">
        <v>83</v>
      </c>
    </row>
    <row r="13" spans="1:2" x14ac:dyDescent="0.2">
      <c r="B13" s="2" t="s">
        <v>84</v>
      </c>
    </row>
    <row r="14" spans="1:2" x14ac:dyDescent="0.2">
      <c r="B14" s="2" t="s">
        <v>85</v>
      </c>
    </row>
    <row r="15" spans="1:2" x14ac:dyDescent="0.2">
      <c r="A15" s="2" t="s">
        <v>86</v>
      </c>
      <c r="B15" s="2" t="s">
        <v>87</v>
      </c>
    </row>
    <row r="16" spans="1:2" x14ac:dyDescent="0.2">
      <c r="A16" s="2" t="s">
        <v>88</v>
      </c>
      <c r="B16" s="2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7E02D-5868-4BCA-82ED-38845812F5B3}">
  <sheetPr>
    <tabColor rgb="FF0070C0"/>
    <pageSetUpPr fitToPage="1"/>
  </sheetPr>
  <dimension ref="A2:W58"/>
  <sheetViews>
    <sheetView zoomScale="90" zoomScaleNormal="90" workbookViewId="0">
      <pane xSplit="3" ySplit="15" topLeftCell="D27" activePane="bottomRight" state="frozen"/>
      <selection activeCell="H1071" sqref="H1071"/>
      <selection pane="topRight" activeCell="H1071" sqref="H1071"/>
      <selection pane="bottomLeft" activeCell="H1071" sqref="H1071"/>
      <selection pane="bottomRight" activeCell="D53" sqref="D53"/>
    </sheetView>
  </sheetViews>
  <sheetFormatPr baseColWidth="10" defaultColWidth="8.83203125" defaultRowHeight="16" x14ac:dyDescent="0.2"/>
  <cols>
    <col min="1" max="1" width="8.33203125" style="28" customWidth="1"/>
    <col min="2" max="2" width="15.5" style="28" hidden="1" customWidth="1"/>
    <col min="3" max="3" width="26.5" style="28" customWidth="1"/>
    <col min="4" max="4" width="19.5" style="115" customWidth="1"/>
    <col min="5" max="5" width="16" style="115" customWidth="1"/>
    <col min="6" max="6" width="19.33203125" style="115" customWidth="1"/>
    <col min="7" max="9" width="14.6640625" style="115" customWidth="1"/>
    <col min="10" max="12" width="16" style="115" customWidth="1"/>
    <col min="13" max="13" width="2.1640625" style="28" customWidth="1"/>
    <col min="14" max="14" width="15.6640625" style="28" customWidth="1"/>
    <col min="15" max="15" width="17" style="28" customWidth="1"/>
    <col min="16" max="16" width="16.1640625" style="28" bestFit="1" customWidth="1"/>
    <col min="17" max="17" width="20.33203125" style="28" bestFit="1" customWidth="1"/>
    <col min="18" max="18" width="19.83203125" style="28" hidden="1" customWidth="1"/>
    <col min="19" max="19" width="20.33203125" style="28" hidden="1" customWidth="1"/>
    <col min="20" max="20" width="24.1640625" style="28" hidden="1" customWidth="1"/>
    <col min="21" max="21" width="8.83203125" style="28" hidden="1" customWidth="1"/>
    <col min="22" max="22" width="17.1640625" style="28" customWidth="1"/>
    <col min="23" max="23" width="19.6640625" style="28" customWidth="1"/>
    <col min="24" max="16384" width="8.83203125" style="28"/>
  </cols>
  <sheetData>
    <row r="2" spans="1:23" ht="20" x14ac:dyDescent="0.2">
      <c r="A2" s="25"/>
      <c r="B2" s="25"/>
      <c r="C2" s="26" t="s">
        <v>70</v>
      </c>
      <c r="D2" s="27"/>
      <c r="E2" s="27"/>
      <c r="F2" s="27"/>
      <c r="G2" s="27"/>
      <c r="H2" s="27"/>
      <c r="I2" s="27"/>
      <c r="J2" s="27"/>
      <c r="K2" s="27"/>
      <c r="L2" s="27"/>
      <c r="M2" s="25"/>
      <c r="N2" s="25"/>
      <c r="O2" s="25"/>
      <c r="P2" s="25"/>
    </row>
    <row r="3" spans="1:23" ht="20" x14ac:dyDescent="0.2">
      <c r="A3" s="202" t="s">
        <v>299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8" t="s">
        <v>300</v>
      </c>
    </row>
    <row r="4" spans="1:23" ht="23.5" customHeight="1" x14ac:dyDescent="0.2">
      <c r="A4" s="202" t="str">
        <f>"Period: "&amp;TEXT(Q4,"mmm yyyy")</f>
        <v>Period: Jan 1900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9">
        <f>'[2](1a)Transactions'!P9</f>
        <v>0</v>
      </c>
    </row>
    <row r="5" spans="1:23" x14ac:dyDescent="0.2">
      <c r="A5" s="25"/>
      <c r="B5" s="25"/>
      <c r="C5" s="25"/>
      <c r="D5" s="30"/>
      <c r="E5" s="30"/>
      <c r="F5" s="30"/>
      <c r="G5" s="31"/>
      <c r="H5" s="31"/>
      <c r="I5" s="31"/>
      <c r="J5" s="32"/>
      <c r="K5" s="31"/>
      <c r="L5" s="31"/>
      <c r="M5" s="31"/>
      <c r="N5" s="31"/>
      <c r="O5" s="31"/>
      <c r="P5" s="31"/>
    </row>
    <row r="6" spans="1:23" s="121" customFormat="1" x14ac:dyDescent="0.2">
      <c r="A6" s="117"/>
      <c r="B6" s="117"/>
      <c r="C6" s="117"/>
      <c r="D6" s="118" t="s">
        <v>10</v>
      </c>
      <c r="E6" s="118" t="s">
        <v>10</v>
      </c>
      <c r="F6" s="118" t="s">
        <v>10</v>
      </c>
      <c r="G6" s="119" t="s">
        <v>9</v>
      </c>
      <c r="H6" s="119" t="s">
        <v>9</v>
      </c>
      <c r="I6" s="119" t="s">
        <v>9</v>
      </c>
      <c r="J6" s="120" t="s">
        <v>301</v>
      </c>
      <c r="K6" s="120" t="s">
        <v>301</v>
      </c>
      <c r="L6" s="120" t="s">
        <v>301</v>
      </c>
      <c r="M6" s="117"/>
      <c r="N6" s="117"/>
      <c r="O6" s="117"/>
      <c r="P6" s="117"/>
    </row>
    <row r="7" spans="1:23" x14ac:dyDescent="0.2">
      <c r="A7" s="31"/>
      <c r="B7" s="33"/>
      <c r="C7" s="203" t="s">
        <v>302</v>
      </c>
      <c r="D7" s="206" t="s">
        <v>303</v>
      </c>
      <c r="E7" s="206"/>
      <c r="F7" s="206"/>
      <c r="G7" s="206" t="s">
        <v>304</v>
      </c>
      <c r="H7" s="206"/>
      <c r="I7" s="206"/>
      <c r="J7" s="206" t="s">
        <v>305</v>
      </c>
      <c r="K7" s="206"/>
      <c r="L7" s="206"/>
      <c r="M7" s="34"/>
      <c r="N7" s="205" t="s">
        <v>306</v>
      </c>
      <c r="O7" s="205"/>
      <c r="P7" s="205"/>
    </row>
    <row r="8" spans="1:23" ht="28" x14ac:dyDescent="0.2">
      <c r="A8" s="31"/>
      <c r="B8" s="33"/>
      <c r="C8" s="204"/>
      <c r="D8" s="35" t="s">
        <v>307</v>
      </c>
      <c r="E8" s="35" t="s">
        <v>308</v>
      </c>
      <c r="F8" s="35" t="s">
        <v>309</v>
      </c>
      <c r="G8" s="35" t="s">
        <v>307</v>
      </c>
      <c r="H8" s="35" t="s">
        <v>308</v>
      </c>
      <c r="I8" s="35" t="s">
        <v>309</v>
      </c>
      <c r="J8" s="35" t="s">
        <v>307</v>
      </c>
      <c r="K8" s="35" t="s">
        <v>308</v>
      </c>
      <c r="L8" s="35" t="s">
        <v>309</v>
      </c>
      <c r="M8" s="34"/>
      <c r="N8" s="36" t="s">
        <v>307</v>
      </c>
      <c r="O8" s="36" t="s">
        <v>308</v>
      </c>
      <c r="P8" s="36" t="s">
        <v>309</v>
      </c>
      <c r="S8" s="28" t="s">
        <v>310</v>
      </c>
    </row>
    <row r="9" spans="1:23" x14ac:dyDescent="0.2">
      <c r="A9" s="31"/>
      <c r="B9" s="33"/>
      <c r="C9" s="37"/>
      <c r="D9" s="38"/>
      <c r="E9" s="38"/>
      <c r="F9" s="39">
        <v>381123118</v>
      </c>
      <c r="G9" s="38"/>
      <c r="H9" s="38"/>
      <c r="I9" s="40">
        <v>14720.93</v>
      </c>
      <c r="J9" s="38"/>
      <c r="K9" s="38"/>
      <c r="L9" s="38">
        <v>0</v>
      </c>
      <c r="M9" s="34"/>
      <c r="N9" s="41"/>
      <c r="O9" s="41"/>
      <c r="P9" s="41"/>
    </row>
    <row r="10" spans="1:23" x14ac:dyDescent="0.2">
      <c r="A10" s="31"/>
      <c r="B10" s="33"/>
      <c r="C10" s="42" t="s">
        <v>311</v>
      </c>
      <c r="D10" s="43">
        <f>E13</f>
        <v>1032116636</v>
      </c>
      <c r="E10" s="43">
        <f>F9</f>
        <v>381123118</v>
      </c>
      <c r="F10" s="43">
        <f>F9</f>
        <v>381123118</v>
      </c>
      <c r="G10" s="44">
        <f>H13</f>
        <v>2604.4300000000512</v>
      </c>
      <c r="H10" s="44">
        <f>I9</f>
        <v>14720.93</v>
      </c>
      <c r="I10" s="44">
        <f>I9</f>
        <v>14720.93</v>
      </c>
      <c r="J10" s="43">
        <f>K13</f>
        <v>36756</v>
      </c>
      <c r="K10" s="43">
        <f>L9</f>
        <v>0</v>
      </c>
      <c r="L10" s="43">
        <f>L9</f>
        <v>0</v>
      </c>
      <c r="M10" s="45"/>
      <c r="N10" s="43"/>
      <c r="O10" s="43"/>
      <c r="P10" s="46">
        <f>P9</f>
        <v>0</v>
      </c>
    </row>
    <row r="11" spans="1:23" x14ac:dyDescent="0.2">
      <c r="A11" s="31"/>
      <c r="B11" s="33"/>
      <c r="C11" s="47" t="s">
        <v>312</v>
      </c>
      <c r="D11" s="48">
        <f>D19</f>
        <v>0</v>
      </c>
      <c r="E11" s="48">
        <f t="shared" ref="E11:L11" si="0">E19</f>
        <v>26740970066</v>
      </c>
      <c r="F11" s="48">
        <f t="shared" si="0"/>
        <v>26740970066</v>
      </c>
      <c r="G11" s="49">
        <f>G20+G22+G23</f>
        <v>0</v>
      </c>
      <c r="H11" s="49">
        <f t="shared" ref="H11:I11" si="1">H20+H22+H23</f>
        <v>904900</v>
      </c>
      <c r="I11" s="49">
        <f t="shared" si="1"/>
        <v>904900</v>
      </c>
      <c r="J11" s="48">
        <f t="shared" si="0"/>
        <v>0</v>
      </c>
      <c r="K11" s="48">
        <f t="shared" si="0"/>
        <v>36756</v>
      </c>
      <c r="L11" s="48">
        <f t="shared" si="0"/>
        <v>36756</v>
      </c>
      <c r="M11" s="25"/>
      <c r="N11" s="48">
        <f>N19</f>
        <v>0</v>
      </c>
      <c r="O11" s="48">
        <f t="shared" ref="O11:P11" si="2">O19</f>
        <v>26518081304</v>
      </c>
      <c r="P11" s="48">
        <f t="shared" si="2"/>
        <v>26518081304</v>
      </c>
      <c r="R11" s="28" t="s">
        <v>313</v>
      </c>
      <c r="S11" s="50">
        <v>26518306769</v>
      </c>
      <c r="T11" s="50">
        <f>P11-S11</f>
        <v>-225465</v>
      </c>
    </row>
    <row r="12" spans="1:23" x14ac:dyDescent="0.2">
      <c r="A12" s="31"/>
      <c r="B12" s="33"/>
      <c r="C12" s="47" t="s">
        <v>314</v>
      </c>
      <c r="D12" s="48">
        <f>+D27+D51-D24</f>
        <v>0</v>
      </c>
      <c r="E12" s="48">
        <f t="shared" ref="E12:L12" si="3">+E27+E51-E24</f>
        <v>26089976548</v>
      </c>
      <c r="F12" s="48">
        <f t="shared" si="3"/>
        <v>26089976548</v>
      </c>
      <c r="G12" s="49">
        <f>+G27+G51-G24-G21</f>
        <v>0</v>
      </c>
      <c r="H12" s="49">
        <f t="shared" ref="H12:I12" si="4">+H27+H51-H24-H21</f>
        <v>917016.5</v>
      </c>
      <c r="I12" s="49">
        <f t="shared" si="4"/>
        <v>917016.5</v>
      </c>
      <c r="J12" s="48">
        <f t="shared" si="3"/>
        <v>0</v>
      </c>
      <c r="K12" s="48">
        <f t="shared" si="3"/>
        <v>0</v>
      </c>
      <c r="L12" s="48">
        <f t="shared" si="3"/>
        <v>0</v>
      </c>
      <c r="M12" s="25"/>
      <c r="N12" s="48">
        <f>N27+N51</f>
        <v>410584783</v>
      </c>
      <c r="O12" s="48">
        <f>O27+O51</f>
        <v>26245937720</v>
      </c>
      <c r="P12" s="48">
        <f>P27+P51</f>
        <v>26656522503</v>
      </c>
      <c r="R12" s="28" t="s">
        <v>315</v>
      </c>
      <c r="S12" s="50">
        <v>25264622246</v>
      </c>
      <c r="T12" s="50">
        <f>P27-S12</f>
        <v>598238</v>
      </c>
      <c r="V12" s="51"/>
    </row>
    <row r="13" spans="1:23" s="51" customFormat="1" x14ac:dyDescent="0.2">
      <c r="A13" s="31"/>
      <c r="B13" s="33"/>
      <c r="C13" s="52" t="s">
        <v>316</v>
      </c>
      <c r="D13" s="53">
        <f>D10+D11-D12</f>
        <v>1032116636</v>
      </c>
      <c r="E13" s="53">
        <f>E10+E11-E12</f>
        <v>1032116636</v>
      </c>
      <c r="F13" s="53">
        <f>F9+F11-F12</f>
        <v>1032116636</v>
      </c>
      <c r="G13" s="54">
        <f>G10+G11-G12</f>
        <v>2604.4300000000512</v>
      </c>
      <c r="H13" s="54">
        <f>H10+H11-H12</f>
        <v>2604.4300000000512</v>
      </c>
      <c r="I13" s="54">
        <f>I9+I11-I12</f>
        <v>2604.4300000000512</v>
      </c>
      <c r="J13" s="53">
        <f>J10+J11-J12</f>
        <v>36756</v>
      </c>
      <c r="K13" s="53">
        <f>K10+K11-K12</f>
        <v>36756</v>
      </c>
      <c r="L13" s="53">
        <f>L9+L11-L12</f>
        <v>36756</v>
      </c>
      <c r="M13" s="45"/>
      <c r="N13" s="53"/>
      <c r="O13" s="53"/>
      <c r="P13" s="53"/>
      <c r="R13" s="28"/>
      <c r="T13" s="50">
        <v>-10642772</v>
      </c>
      <c r="U13" s="28" t="s">
        <v>317</v>
      </c>
      <c r="V13" s="50"/>
      <c r="W13" s="55"/>
    </row>
    <row r="14" spans="1:23" x14ac:dyDescent="0.2">
      <c r="A14" s="25"/>
      <c r="B14" s="25"/>
      <c r="C14" s="25"/>
      <c r="D14" s="27"/>
      <c r="E14" s="27"/>
      <c r="F14" s="27"/>
      <c r="G14" s="27"/>
      <c r="H14" s="27"/>
      <c r="I14" s="27"/>
      <c r="J14" s="27"/>
      <c r="K14" s="27"/>
      <c r="L14" s="27"/>
      <c r="M14" s="25"/>
      <c r="N14" s="25"/>
      <c r="O14" s="25"/>
      <c r="P14" s="25"/>
      <c r="R14" s="51"/>
      <c r="T14" s="56">
        <v>471208089</v>
      </c>
      <c r="U14" s="28" t="s">
        <v>318</v>
      </c>
    </row>
    <row r="15" spans="1:23" ht="14.5" customHeight="1" x14ac:dyDescent="0.2">
      <c r="A15" s="207" t="s">
        <v>319</v>
      </c>
      <c r="B15" s="57"/>
      <c r="C15" s="203" t="s">
        <v>302</v>
      </c>
      <c r="D15" s="206" t="s">
        <v>303</v>
      </c>
      <c r="E15" s="206"/>
      <c r="F15" s="206"/>
      <c r="G15" s="206" t="s">
        <v>304</v>
      </c>
      <c r="H15" s="206"/>
      <c r="I15" s="206"/>
      <c r="J15" s="206" t="s">
        <v>305</v>
      </c>
      <c r="K15" s="206"/>
      <c r="L15" s="206"/>
      <c r="M15" s="34"/>
      <c r="N15" s="205" t="s">
        <v>306</v>
      </c>
      <c r="O15" s="205"/>
      <c r="P15" s="205"/>
      <c r="T15" s="56">
        <v>-494931356</v>
      </c>
      <c r="U15" s="28" t="s">
        <v>320</v>
      </c>
    </row>
    <row r="16" spans="1:23" ht="28" x14ac:dyDescent="0.2">
      <c r="A16" s="208"/>
      <c r="B16" s="58"/>
      <c r="C16" s="204"/>
      <c r="D16" s="125" t="s">
        <v>307</v>
      </c>
      <c r="E16" s="35" t="s">
        <v>308</v>
      </c>
      <c r="F16" s="35" t="s">
        <v>309</v>
      </c>
      <c r="G16" s="125" t="s">
        <v>307</v>
      </c>
      <c r="H16" s="35" t="s">
        <v>308</v>
      </c>
      <c r="I16" s="35" t="s">
        <v>309</v>
      </c>
      <c r="J16" s="125" t="s">
        <v>307</v>
      </c>
      <c r="K16" s="35" t="s">
        <v>308</v>
      </c>
      <c r="L16" s="35" t="s">
        <v>309</v>
      </c>
      <c r="M16" s="34"/>
      <c r="N16" s="125" t="s">
        <v>307</v>
      </c>
      <c r="O16" s="36" t="s">
        <v>308</v>
      </c>
      <c r="P16" s="36" t="s">
        <v>309</v>
      </c>
      <c r="T16" s="59"/>
    </row>
    <row r="17" spans="1:23" x14ac:dyDescent="0.2">
      <c r="A17" s="60"/>
      <c r="B17" s="60"/>
      <c r="C17" s="61" t="s">
        <v>311</v>
      </c>
      <c r="D17" s="62">
        <f>E54</f>
        <v>1032116636</v>
      </c>
      <c r="E17" s="62">
        <f>F9</f>
        <v>381123118</v>
      </c>
      <c r="F17" s="63">
        <f>F9</f>
        <v>381123118</v>
      </c>
      <c r="G17" s="64">
        <f>H54</f>
        <v>2604.4300000000003</v>
      </c>
      <c r="H17" s="64">
        <f>I9</f>
        <v>14720.93</v>
      </c>
      <c r="I17" s="64">
        <f>I9</f>
        <v>14720.93</v>
      </c>
      <c r="J17" s="62">
        <f>K54</f>
        <v>36756</v>
      </c>
      <c r="K17" s="62">
        <f>L9</f>
        <v>0</v>
      </c>
      <c r="L17" s="63">
        <f>L9</f>
        <v>0</v>
      </c>
      <c r="M17" s="34"/>
      <c r="N17" s="65">
        <f>O10</f>
        <v>0</v>
      </c>
      <c r="O17" s="65">
        <f>P10</f>
        <v>0</v>
      </c>
      <c r="P17" s="65">
        <f>P10</f>
        <v>0</v>
      </c>
    </row>
    <row r="18" spans="1:23" x14ac:dyDescent="0.2">
      <c r="A18" s="66"/>
      <c r="B18" s="66"/>
      <c r="C18" s="67"/>
      <c r="D18" s="68"/>
      <c r="E18" s="68"/>
      <c r="F18" s="68"/>
      <c r="G18" s="69"/>
      <c r="H18" s="69"/>
      <c r="I18" s="69"/>
      <c r="J18" s="68"/>
      <c r="K18" s="68"/>
      <c r="L18" s="68"/>
      <c r="M18" s="34"/>
      <c r="N18" s="70"/>
      <c r="O18" s="70"/>
      <c r="P18" s="70"/>
    </row>
    <row r="19" spans="1:23" x14ac:dyDescent="0.2">
      <c r="A19" s="71" t="s">
        <v>321</v>
      </c>
      <c r="B19" s="71"/>
      <c r="C19" s="72" t="s">
        <v>322</v>
      </c>
      <c r="D19" s="73">
        <f>SUM(D20:D23)</f>
        <v>0</v>
      </c>
      <c r="E19" s="73">
        <f t="shared" ref="E19:F19" si="5">SUM(E20:E23)</f>
        <v>26740970066</v>
      </c>
      <c r="F19" s="73">
        <f t="shared" si="5"/>
        <v>26740970066</v>
      </c>
      <c r="G19" s="74">
        <f t="shared" ref="G19:L19" si="6">SUM(G20:G23)</f>
        <v>0</v>
      </c>
      <c r="H19" s="74">
        <f t="shared" si="6"/>
        <v>-9600</v>
      </c>
      <c r="I19" s="74">
        <f t="shared" si="6"/>
        <v>-9600</v>
      </c>
      <c r="J19" s="73">
        <f t="shared" si="6"/>
        <v>0</v>
      </c>
      <c r="K19" s="73">
        <f t="shared" si="6"/>
        <v>36756</v>
      </c>
      <c r="L19" s="73">
        <f t="shared" si="6"/>
        <v>36756</v>
      </c>
      <c r="M19" s="34"/>
      <c r="N19" s="73">
        <f t="shared" ref="N19:P19" si="7">SUM(N20:N23)</f>
        <v>0</v>
      </c>
      <c r="O19" s="73">
        <f t="shared" si="7"/>
        <v>26518081304</v>
      </c>
      <c r="P19" s="73">
        <f t="shared" si="7"/>
        <v>26518081304</v>
      </c>
    </row>
    <row r="20" spans="1:23" x14ac:dyDescent="0.2">
      <c r="A20" s="75">
        <v>1</v>
      </c>
      <c r="B20" s="76" t="s">
        <v>323</v>
      </c>
      <c r="C20" s="77" t="s">
        <v>323</v>
      </c>
      <c r="D20" s="123">
        <f>SUMIFS('[2](1a)Transactions'!$L:$L,'[2](1a)Transactions'!$R:$R,$C20,'[2](1a)Transactions'!$P:$P,$Q$4,'[2](1a)Transactions'!$Q:$Q,"30")</f>
        <v>0</v>
      </c>
      <c r="E20" s="78">
        <f>'[1]Output (Oct)'!G21</f>
        <v>3100680000</v>
      </c>
      <c r="F20" s="78">
        <f>SUM(D20:E20)</f>
        <v>3100680000</v>
      </c>
      <c r="G20" s="122">
        <f>SUMIFS('[2](1a)Transactions'!$L:$L,'[2](1a)Transactions'!$R:$R,$C20,'[2](1a)Transactions'!$P:$P,$Q$4,'[2](1a)Transactions'!$Q:$Q,"29")</f>
        <v>0</v>
      </c>
      <c r="H20" s="79">
        <f>'[1]Output (Oct)'!J21</f>
        <v>904900</v>
      </c>
      <c r="I20" s="79">
        <f>SUM(G20:H20)</f>
        <v>904900</v>
      </c>
      <c r="J20" s="122">
        <f>SUMIFS('[2](1a)Transactions'!$L:$L,'[2](1a)Transactions'!$R:$R,$C20,'[2](1a)Transactions'!$P:$P,$Q$4,'[2](1a)Transactions'!$Q:$Q,"31")</f>
        <v>0</v>
      </c>
      <c r="K20" s="78">
        <f>'[1]Output (Oct)'!M21</f>
        <v>0</v>
      </c>
      <c r="L20" s="78">
        <f>SUM(J20:K20)</f>
        <v>0</v>
      </c>
      <c r="M20" s="34"/>
      <c r="N20" s="123">
        <f>SUMIFS('[2](1a)Transactions'!$I:$I,'[2](1a)Transactions'!$R:$R,$C20,'[2](1a)Transactions'!$P:$P,$Q$4)</f>
        <v>0</v>
      </c>
      <c r="O20" s="124">
        <f>'[1]Output (Oct)'!Q21</f>
        <v>26516539482</v>
      </c>
      <c r="P20" s="78">
        <f>SUM(N20:O20)</f>
        <v>26516539482</v>
      </c>
    </row>
    <row r="21" spans="1:23" s="83" customFormat="1" x14ac:dyDescent="0.2">
      <c r="A21" s="75">
        <v>2</v>
      </c>
      <c r="B21" s="76" t="s">
        <v>324</v>
      </c>
      <c r="C21" s="77" t="s">
        <v>325</v>
      </c>
      <c r="D21" s="123">
        <f>SUMIFS('[2](1a)Transactions'!$L:$L,'[2](1a)Transactions'!$R:$R,$C21,'[2](1a)Transactions'!$P:$P,$Q$4,'[2](1a)Transactions'!$Q:$Q,"30")</f>
        <v>0</v>
      </c>
      <c r="E21" s="80">
        <f>'[1]Output (Oct)'!G22</f>
        <v>23638785000</v>
      </c>
      <c r="F21" s="80">
        <f t="shared" ref="F21:F25" si="8">SUM(D21:E21)</f>
        <v>23638785000</v>
      </c>
      <c r="G21" s="122">
        <f>SUMIFS('[2](1a)Transactions'!$L:$L,'[2](1a)Transactions'!$R:$R,$C21,'[2](1a)Transactions'!$P:$P,$Q$4,'[2](1a)Transactions'!$Q:$Q,"29")</f>
        <v>0</v>
      </c>
      <c r="H21" s="81">
        <f>'[1]Output (Oct)'!J22</f>
        <v>-914500</v>
      </c>
      <c r="I21" s="81">
        <f t="shared" ref="I21:I25" si="9">SUM(G21:H21)</f>
        <v>-914500</v>
      </c>
      <c r="J21" s="122">
        <f>SUMIFS('[2](1a)Transactions'!$L:$L,'[2](1a)Transactions'!$R:$R,$C21,'[2](1a)Transactions'!$P:$P,$Q$4,'[2](1a)Transactions'!$Q:$Q,"31")</f>
        <v>0</v>
      </c>
      <c r="K21" s="78">
        <f>'[1]Output (Oct)'!M22</f>
        <v>0</v>
      </c>
      <c r="L21" s="80">
        <f t="shared" ref="L21:L25" si="10">SUM(J21:K21)</f>
        <v>0</v>
      </c>
      <c r="M21" s="82"/>
      <c r="N21" s="123">
        <f>SUMIFS('[2](1a)Transactions'!$I:$I,'[2](1a)Transactions'!$R:$R,$C21,'[2](1a)Transactions'!$P:$P,$Q$4)</f>
        <v>0</v>
      </c>
      <c r="O21" s="80">
        <f>'[1]Output (Oct)'!Q22</f>
        <v>0</v>
      </c>
      <c r="P21" s="78">
        <f t="shared" ref="P21:P25" si="11">SUM(N21:O21)</f>
        <v>0</v>
      </c>
      <c r="Q21" s="28"/>
      <c r="R21" s="28"/>
      <c r="S21" s="28"/>
      <c r="T21" s="28"/>
      <c r="U21" s="28"/>
    </row>
    <row r="22" spans="1:23" x14ac:dyDescent="0.2">
      <c r="A22" s="75">
        <v>3</v>
      </c>
      <c r="B22" s="76" t="s">
        <v>326</v>
      </c>
      <c r="C22" s="77" t="s">
        <v>326</v>
      </c>
      <c r="D22" s="123">
        <f>SUMIFS('[2](1a)Transactions'!$L:$L,'[2](1a)Transactions'!$R:$R,$C22,'[2](1a)Transactions'!$P:$P,$Q$4,'[2](1a)Transactions'!$Q:$Q,"30")</f>
        <v>0</v>
      </c>
      <c r="E22" s="78">
        <f>'[1]Output (Oct)'!G23</f>
        <v>1505066</v>
      </c>
      <c r="F22" s="78">
        <f t="shared" si="8"/>
        <v>1505066</v>
      </c>
      <c r="G22" s="122">
        <f>SUMIFS('[2](1a)Transactions'!$L:$L,'[2](1a)Transactions'!$R:$R,$C22,'[2](1a)Transactions'!$P:$P,$Q$4,'[2](1a)Transactions'!$Q:$Q,"29")</f>
        <v>0</v>
      </c>
      <c r="H22" s="79">
        <f>'[1]Output (Oct)'!J23</f>
        <v>0</v>
      </c>
      <c r="I22" s="79">
        <f t="shared" si="9"/>
        <v>0</v>
      </c>
      <c r="J22" s="122">
        <f>SUMIFS('[2](1a)Transactions'!$L:$L,'[2](1a)Transactions'!$R:$R,$C22,'[2](1a)Transactions'!$P:$P,$Q$4,'[2](1a)Transactions'!$Q:$Q,"31")</f>
        <v>0</v>
      </c>
      <c r="K22" s="78">
        <f>'[1]Output (Oct)'!M23</f>
        <v>36756</v>
      </c>
      <c r="L22" s="78">
        <f t="shared" si="10"/>
        <v>36756</v>
      </c>
      <c r="M22" s="34"/>
      <c r="N22" s="123">
        <f>SUMIFS('[2](1a)Transactions'!$I:$I,'[2](1a)Transactions'!$R:$R,$C22,'[2](1a)Transactions'!$P:$P,$Q$4)</f>
        <v>0</v>
      </c>
      <c r="O22" s="78">
        <f>'[1]Output (Oct)'!Q23</f>
        <v>1541822</v>
      </c>
      <c r="P22" s="78">
        <f t="shared" si="11"/>
        <v>1541822</v>
      </c>
    </row>
    <row r="23" spans="1:23" x14ac:dyDescent="0.2">
      <c r="A23" s="75">
        <v>4</v>
      </c>
      <c r="B23" s="76" t="s">
        <v>327</v>
      </c>
      <c r="C23" s="77" t="s">
        <v>327</v>
      </c>
      <c r="D23" s="123">
        <f>SUMIFS('[2](1a)Transactions'!$L:$L,'[2](1a)Transactions'!$R:$R,$C23,'[2](1a)Transactions'!$P:$P,$Q$4,'[2](1a)Transactions'!$Q:$Q,"30")</f>
        <v>0</v>
      </c>
      <c r="E23" s="78">
        <f>'[1]Output (Oct)'!G24</f>
        <v>0</v>
      </c>
      <c r="F23" s="78">
        <f t="shared" si="8"/>
        <v>0</v>
      </c>
      <c r="G23" s="122">
        <f>SUMIFS('[2](1a)Transactions'!$L:$L,'[2](1a)Transactions'!$R:$R,$C23,'[2](1a)Transactions'!$P:$P,$Q$4,'[2](1a)Transactions'!$Q:$Q,"29")</f>
        <v>0</v>
      </c>
      <c r="H23" s="79">
        <f>'[1]Output (Oct)'!J24</f>
        <v>0</v>
      </c>
      <c r="I23" s="79">
        <f t="shared" si="9"/>
        <v>0</v>
      </c>
      <c r="J23" s="122">
        <f>SUMIFS('[2](1a)Transactions'!$L:$L,'[2](1a)Transactions'!$R:$R,$C23,'[2](1a)Transactions'!$P:$P,$Q$4,'[2](1a)Transactions'!$Q:$Q,"31")</f>
        <v>0</v>
      </c>
      <c r="K23" s="78">
        <f>'[1]Output (Oct)'!M24</f>
        <v>0</v>
      </c>
      <c r="L23" s="78">
        <f t="shared" si="10"/>
        <v>0</v>
      </c>
      <c r="M23" s="34"/>
      <c r="N23" s="123">
        <f>SUMIFS('[2](1a)Transactions'!$I:$I,'[2](1a)Transactions'!$R:$R,$C23,'[2](1a)Transactions'!$P:$P,$Q$4)</f>
        <v>0</v>
      </c>
      <c r="O23" s="78">
        <f>'[1]Output (Oct)'!Q24</f>
        <v>0</v>
      </c>
      <c r="P23" s="78">
        <f t="shared" si="11"/>
        <v>0</v>
      </c>
    </row>
    <row r="24" spans="1:23" x14ac:dyDescent="0.2">
      <c r="A24" s="84" t="s">
        <v>328</v>
      </c>
      <c r="B24" s="76"/>
      <c r="C24" s="85" t="s">
        <v>329</v>
      </c>
      <c r="D24" s="86">
        <f>SUM(D25)</f>
        <v>0</v>
      </c>
      <c r="E24" s="86">
        <f t="shared" ref="E24:F24" si="12">SUM(E25)</f>
        <v>-8592221548</v>
      </c>
      <c r="F24" s="86">
        <f t="shared" si="12"/>
        <v>-8592221548</v>
      </c>
      <c r="G24" s="87">
        <f t="shared" ref="G24:K24" si="13">SUM(G25)</f>
        <v>0</v>
      </c>
      <c r="H24" s="87">
        <f t="shared" si="13"/>
        <v>0</v>
      </c>
      <c r="I24" s="87">
        <f t="shared" si="13"/>
        <v>0</v>
      </c>
      <c r="J24" s="86">
        <f t="shared" si="13"/>
        <v>0</v>
      </c>
      <c r="K24" s="86">
        <f t="shared" si="13"/>
        <v>0</v>
      </c>
      <c r="L24" s="86">
        <f t="shared" ref="L24:P24" si="14">SUM(L25)</f>
        <v>0</v>
      </c>
      <c r="M24" s="34"/>
      <c r="N24" s="86">
        <f t="shared" si="14"/>
        <v>0</v>
      </c>
      <c r="O24" s="86">
        <f t="shared" si="14"/>
        <v>-8592221548</v>
      </c>
      <c r="P24" s="86">
        <f t="shared" si="14"/>
        <v>-8592221548</v>
      </c>
    </row>
    <row r="25" spans="1:23" x14ac:dyDescent="0.2">
      <c r="A25" s="75">
        <v>1</v>
      </c>
      <c r="B25" s="76" t="s">
        <v>330</v>
      </c>
      <c r="C25" s="77" t="s">
        <v>331</v>
      </c>
      <c r="D25" s="123">
        <f>SUMIFS('[2](1a)Transactions'!$L:$L,'[2](1a)Transactions'!$R:$R,$C25,'[2](1a)Transactions'!$P:$P,$Q$4,'[2](1a)Transactions'!$Q:$Q,"30")</f>
        <v>0</v>
      </c>
      <c r="E25" s="78">
        <f>'[1]Output (Oct)'!G26</f>
        <v>-8592221548</v>
      </c>
      <c r="F25" s="78">
        <f t="shared" si="8"/>
        <v>-8592221548</v>
      </c>
      <c r="G25" s="122">
        <f>SUMIFS('[2](1a)Transactions'!$L:$L,'[2](1a)Transactions'!$R:$R,$C25,'[2](1a)Transactions'!$P:$P,$Q$4,'[2](1a)Transactions'!$Q:$Q,"29")</f>
        <v>0</v>
      </c>
      <c r="H25" s="79">
        <f>'[1]Output (Oct)'!J26</f>
        <v>0</v>
      </c>
      <c r="I25" s="79">
        <f t="shared" si="9"/>
        <v>0</v>
      </c>
      <c r="J25" s="122">
        <f>SUMIFS('[2](1a)Transactions'!$L:$L,'[2](1a)Transactions'!$R:$R,$C25,'[2](1a)Transactions'!$P:$P,$Q$4,'[2](1a)Transactions'!$Q:$Q,"31")</f>
        <v>0</v>
      </c>
      <c r="K25" s="78">
        <f>'[1]Output (Oct)'!M26</f>
        <v>0</v>
      </c>
      <c r="L25" s="78">
        <f t="shared" si="10"/>
        <v>0</v>
      </c>
      <c r="M25" s="34"/>
      <c r="N25" s="123">
        <f>SUMIFS('[2](1a)Transactions'!$I:$I,'[2](1a)Transactions'!$R:$R,$C25,'[2](1a)Transactions'!$P:$P,$Q$4)</f>
        <v>0</v>
      </c>
      <c r="O25" s="78">
        <f>'[1]Output (Oct)'!Q26</f>
        <v>-8592221548</v>
      </c>
      <c r="P25" s="78">
        <f t="shared" si="11"/>
        <v>-8592221548</v>
      </c>
      <c r="Q25" s="50"/>
      <c r="R25" s="50"/>
      <c r="S25" s="50"/>
      <c r="T25" s="50"/>
      <c r="U25" s="50"/>
      <c r="V25" s="50"/>
      <c r="W25" s="50"/>
    </row>
    <row r="26" spans="1:23" x14ac:dyDescent="0.2">
      <c r="A26" s="66"/>
      <c r="B26" s="66"/>
      <c r="C26" s="88"/>
      <c r="D26" s="89"/>
      <c r="E26" s="89"/>
      <c r="F26" s="89"/>
      <c r="G26" s="90"/>
      <c r="H26" s="90"/>
      <c r="I26" s="90"/>
      <c r="J26" s="89"/>
      <c r="K26" s="89"/>
      <c r="L26" s="89"/>
      <c r="M26" s="34"/>
      <c r="N26" s="89"/>
      <c r="O26" s="89"/>
      <c r="P26" s="89"/>
    </row>
    <row r="27" spans="1:23" x14ac:dyDescent="0.2">
      <c r="A27" s="71" t="s">
        <v>332</v>
      </c>
      <c r="B27" s="71"/>
      <c r="C27" s="72" t="s">
        <v>333</v>
      </c>
      <c r="D27" s="91">
        <f t="shared" ref="D27:K27" si="15">SUM(D28:D33)</f>
        <v>0</v>
      </c>
      <c r="E27" s="91">
        <f>SUM(E28:E33)</f>
        <v>16579614564</v>
      </c>
      <c r="F27" s="91">
        <f>SUM(F28:F33)</f>
        <v>16579614564</v>
      </c>
      <c r="G27" s="92">
        <f t="shared" si="15"/>
        <v>0</v>
      </c>
      <c r="H27" s="92">
        <f>SUM(H28:H33)</f>
        <v>16.5</v>
      </c>
      <c r="I27" s="92">
        <f>SUM(I28:I33)</f>
        <v>16.5</v>
      </c>
      <c r="J27" s="91">
        <f t="shared" si="15"/>
        <v>0</v>
      </c>
      <c r="K27" s="91">
        <f t="shared" si="15"/>
        <v>0</v>
      </c>
      <c r="L27" s="91">
        <f>SUM(L28:L33)</f>
        <v>0</v>
      </c>
      <c r="M27" s="34"/>
      <c r="N27" s="91">
        <f>SUM(N28:N33)</f>
        <v>0</v>
      </c>
      <c r="O27" s="91">
        <f>SUM(O28:O33)</f>
        <v>25265220484</v>
      </c>
      <c r="P27" s="91">
        <f>SUM(P28:P33)</f>
        <v>25265220484</v>
      </c>
      <c r="Q27" s="59"/>
      <c r="R27" s="50"/>
    </row>
    <row r="28" spans="1:23" x14ac:dyDescent="0.2">
      <c r="A28" s="75">
        <v>1</v>
      </c>
      <c r="B28" s="75" t="s">
        <v>104</v>
      </c>
      <c r="C28" s="93" t="s">
        <v>396</v>
      </c>
      <c r="D28" s="123">
        <f>-SUMIFS('[2](1a)Transactions'!$L:$L,'[2](1a)Transactions'!$S:$S,$C28,'[2](1a)Transactions'!$P:$P,$Q$4,'[2](1a)Transactions'!$Q:$Q,"30")</f>
        <v>0</v>
      </c>
      <c r="E28" s="78">
        <f>'[1]Output (Oct)'!G29</f>
        <v>13363789703</v>
      </c>
      <c r="F28" s="78">
        <f t="shared" ref="F28:F32" si="16">SUM(D28:E28)</f>
        <v>13363789703</v>
      </c>
      <c r="G28" s="123">
        <f>-SUMIFS('[2](1a)Transactions'!$L:$L,'[2](1a)Transactions'!$S:$S,$C28,'[2](1a)Transactions'!$P:$P,$Q$4,'[2](1a)Transactions'!$Q:$Q,"29")</f>
        <v>0</v>
      </c>
      <c r="H28" s="79">
        <f>'[1]Output (Oct)'!J29</f>
        <v>0</v>
      </c>
      <c r="I28" s="79">
        <f t="shared" ref="I28:I32" si="17">SUM(G28:H28)</f>
        <v>0</v>
      </c>
      <c r="J28" s="123">
        <f>-SUMIFS('[2](1a)Transactions'!$L:$L,'[2](1a)Transactions'!$S:$S,$C28,'[2](1a)Transactions'!$P:$P,$Q$4,'[2](1a)Transactions'!$Q:$Q,"31")</f>
        <v>0</v>
      </c>
      <c r="K28" s="78">
        <f>'[1]Output (Oct)'!M29</f>
        <v>0</v>
      </c>
      <c r="L28" s="78">
        <f t="shared" ref="L28:L32" si="18">SUM(J28:K28)</f>
        <v>0</v>
      </c>
      <c r="M28" s="34"/>
      <c r="N28" s="123">
        <f>-SUMIFS('[2](1a)Transactions'!$L:$L,'[2](1a)Transactions'!$S:$S,$C28,'[2](1a)Transactions'!$P:$P,$Q$4,'[2](1a)Transactions'!$Q:$Q,"30")-SUMIFS('[2](1a)Transactions'!$L:$L,'[2](1a)Transactions'!$S:$S,$C28,'[2](1a)Transactions'!$P:$P,$Q$4,'[2](1a)Transactions'!$Q:$Q,"29")-SUMIFS('[2](1a)Transactions'!$L:$L,'[2](1a)Transactions'!$S:$S,$C28,'[2](1a)Transactions'!$P:$P,$Q$4,'[2](1a)Transactions'!$Q:$Q,"31")</f>
        <v>0</v>
      </c>
      <c r="O28" s="78">
        <f>'[1]Output (Oct)'!Q29</f>
        <v>21080045087</v>
      </c>
      <c r="P28" s="78">
        <f t="shared" ref="P28:P32" si="19">SUM(N28:O28)</f>
        <v>21080045087</v>
      </c>
      <c r="S28" s="94"/>
      <c r="T28" s="94"/>
      <c r="U28" s="94"/>
    </row>
    <row r="29" spans="1:23" x14ac:dyDescent="0.2">
      <c r="A29" s="75">
        <v>2</v>
      </c>
      <c r="B29" s="75" t="s">
        <v>177</v>
      </c>
      <c r="C29" s="93" t="s">
        <v>335</v>
      </c>
      <c r="D29" s="123">
        <f>-SUMIFS('[2](1a)Transactions'!$L:$L,'[2](1a)Transactions'!$S:$S,$C29,'[2](1a)Transactions'!$P:$P,$Q$4,'[2](1a)Transactions'!$Q:$Q,"30")</f>
        <v>0</v>
      </c>
      <c r="E29" s="78">
        <f>'[1]Output (Oct)'!G30</f>
        <v>2476346325</v>
      </c>
      <c r="F29" s="78">
        <f t="shared" si="16"/>
        <v>2476346325</v>
      </c>
      <c r="G29" s="123">
        <f>-SUMIFS('[2](1a)Transactions'!$L:$L,'[2](1a)Transactions'!$S:$S,$C29,'[2](1a)Transactions'!$P:$P,$Q$4,'[2](1a)Transactions'!$Q:$Q,"29")</f>
        <v>0</v>
      </c>
      <c r="H29" s="79">
        <f>'[1]Output (Oct)'!J30</f>
        <v>0</v>
      </c>
      <c r="I29" s="79">
        <f t="shared" si="17"/>
        <v>0</v>
      </c>
      <c r="J29" s="123">
        <f>-SUMIFS('[2](1a)Transactions'!$L:$L,'[2](1a)Transactions'!$S:$S,$C29,'[2](1a)Transactions'!$P:$P,$Q$4,'[2](1a)Transactions'!$Q:$Q,"31")</f>
        <v>0</v>
      </c>
      <c r="K29" s="78">
        <f>'[1]Output (Oct)'!M30</f>
        <v>0</v>
      </c>
      <c r="L29" s="78">
        <f t="shared" si="18"/>
        <v>0</v>
      </c>
      <c r="M29" s="34"/>
      <c r="N29" s="123">
        <f>-SUMIFS('[2](1a)Transactions'!$L:$L,'[2](1a)Transactions'!$S:$S,$C29,'[2](1a)Transactions'!$P:$P,$Q$4,'[2](1a)Transactions'!$Q:$Q,"30")-SUMIFS('[2](1a)Transactions'!$L:$L,'[2](1a)Transactions'!$S:$S,$C29,'[2](1a)Transactions'!$P:$P,$Q$4,'[2](1a)Transactions'!$Q:$Q,"29")-SUMIFS('[2](1a)Transactions'!$L:$L,'[2](1a)Transactions'!$S:$S,$C29,'[2](1a)Transactions'!$P:$P,$Q$4,'[2](1a)Transactions'!$Q:$Q,"31")</f>
        <v>0</v>
      </c>
      <c r="O29" s="78">
        <f>'[1]Output (Oct)'!Q30</f>
        <v>2806818382</v>
      </c>
      <c r="P29" s="78">
        <f t="shared" si="19"/>
        <v>2806818382</v>
      </c>
    </row>
    <row r="30" spans="1:23" x14ac:dyDescent="0.2">
      <c r="A30" s="75">
        <v>3</v>
      </c>
      <c r="B30" s="75" t="s">
        <v>188</v>
      </c>
      <c r="C30" s="93" t="s">
        <v>336</v>
      </c>
      <c r="D30" s="123">
        <f>-SUMIFS('[2](1a)Transactions'!$L:$L,'[2](1a)Transactions'!$S:$S,$C30,'[2](1a)Transactions'!$P:$P,$Q$4,'[2](1a)Transactions'!$Q:$Q,"30")</f>
        <v>0</v>
      </c>
      <c r="E30" s="78">
        <f>'[1]Output (Oct)'!G31</f>
        <v>739478536</v>
      </c>
      <c r="F30" s="78">
        <f t="shared" si="16"/>
        <v>739478536</v>
      </c>
      <c r="G30" s="123">
        <f>-SUMIFS('[2](1a)Transactions'!$L:$L,'[2](1a)Transactions'!$S:$S,$C30,'[2](1a)Transactions'!$P:$P,$Q$4,'[2](1a)Transactions'!$Q:$Q,"29")</f>
        <v>0</v>
      </c>
      <c r="H30" s="79">
        <f>'[1]Output (Oct)'!J31</f>
        <v>16.5</v>
      </c>
      <c r="I30" s="79">
        <f t="shared" si="17"/>
        <v>16.5</v>
      </c>
      <c r="J30" s="123">
        <f>-SUMIFS('[2](1a)Transactions'!$L:$L,'[2](1a)Transactions'!$S:$S,$C30,'[2](1a)Transactions'!$P:$P,$Q$4,'[2](1a)Transactions'!$Q:$Q,"31")</f>
        <v>0</v>
      </c>
      <c r="K30" s="78">
        <f>'[1]Output (Oct)'!M31</f>
        <v>0</v>
      </c>
      <c r="L30" s="78">
        <f t="shared" si="18"/>
        <v>0</v>
      </c>
      <c r="M30" s="34"/>
      <c r="N30" s="123">
        <f>-SUMIFS('[2](1a)Transactions'!$L:$L,'[2](1a)Transactions'!$S:$S,$C30,'[2](1a)Transactions'!$P:$P,$Q$4,'[2](1a)Transactions'!$Q:$Q,"30")-SUMIFS('[2](1a)Transactions'!$L:$L,'[2](1a)Transactions'!$S:$S,$C30,'[2](1a)Transactions'!$P:$P,$Q$4,'[2](1a)Transactions'!$Q:$Q,"29")-SUMIFS('[2](1a)Transactions'!$L:$L,'[2](1a)Transactions'!$S:$S,$C30,'[2](1a)Transactions'!$P:$P,$Q$4,'[2](1a)Transactions'!$Q:$Q,"31")</f>
        <v>0</v>
      </c>
      <c r="O30" s="78">
        <f>'[1]Output (Oct)'!Q31</f>
        <v>1124628106</v>
      </c>
      <c r="P30" s="78">
        <f t="shared" si="19"/>
        <v>1124628106</v>
      </c>
    </row>
    <row r="31" spans="1:23" x14ac:dyDescent="0.2">
      <c r="A31" s="75">
        <v>4</v>
      </c>
      <c r="B31" s="75" t="s">
        <v>337</v>
      </c>
      <c r="C31" s="93" t="s">
        <v>338</v>
      </c>
      <c r="D31" s="123">
        <f>-SUMIFS('[2](1a)Transactions'!$L:$L,'[2](1a)Transactions'!$S:$S,$C31,'[2](1a)Transactions'!$P:$P,$Q$4,'[2](1a)Transactions'!$Q:$Q,"30")</f>
        <v>0</v>
      </c>
      <c r="E31" s="78">
        <f>'[1]Output (Oct)'!G32</f>
        <v>0</v>
      </c>
      <c r="F31" s="78">
        <f t="shared" si="16"/>
        <v>0</v>
      </c>
      <c r="G31" s="123">
        <f>-SUMIFS('[2](1a)Transactions'!$L:$L,'[2](1a)Transactions'!$S:$S,$C31,'[2](1a)Transactions'!$P:$P,$Q$4,'[2](1a)Transactions'!$Q:$Q,"29")</f>
        <v>0</v>
      </c>
      <c r="H31" s="78">
        <f>'[1]Output (Oct)'!J32</f>
        <v>0</v>
      </c>
      <c r="I31" s="78">
        <f t="shared" si="17"/>
        <v>0</v>
      </c>
      <c r="J31" s="123">
        <f>-SUMIFS('[2](1a)Transactions'!$L:$L,'[2](1a)Transactions'!$S:$S,$C31,'[2](1a)Transactions'!$P:$P,$Q$4,'[2](1a)Transactions'!$Q:$Q,"31")</f>
        <v>0</v>
      </c>
      <c r="K31" s="78">
        <f>'[1]Output (Oct)'!M32</f>
        <v>0</v>
      </c>
      <c r="L31" s="78">
        <f t="shared" si="18"/>
        <v>0</v>
      </c>
      <c r="M31" s="34"/>
      <c r="N31" s="123">
        <f>-SUMIFS('[2](1a)Transactions'!$L:$L,'[2](1a)Transactions'!$S:$S,$C31,'[2](1a)Transactions'!$P:$P,$Q$4,'[2](1a)Transactions'!$Q:$Q,"30")-SUMIFS('[2](1a)Transactions'!$L:$L,'[2](1a)Transactions'!$S:$S,$C31,'[2](1a)Transactions'!$P:$P,$Q$4,'[2](1a)Transactions'!$Q:$Q,"29")-SUMIFS('[2](1a)Transactions'!$L:$L,'[2](1a)Transactions'!$S:$S,$C31,'[2](1a)Transactions'!$P:$P,$Q$4,'[2](1a)Transactions'!$Q:$Q,"31")</f>
        <v>0</v>
      </c>
      <c r="O31" s="78">
        <f>'[1]Output (Oct)'!Q32</f>
        <v>188746159</v>
      </c>
      <c r="P31" s="78">
        <f t="shared" si="19"/>
        <v>188746159</v>
      </c>
    </row>
    <row r="32" spans="1:23" x14ac:dyDescent="0.2">
      <c r="A32" s="75">
        <v>5</v>
      </c>
      <c r="B32" s="75" t="s">
        <v>339</v>
      </c>
      <c r="C32" s="93" t="s">
        <v>340</v>
      </c>
      <c r="D32" s="123">
        <f>-SUMIFS('[2](1a)Transactions'!$L:$L,'[2](1a)Transactions'!$S:$S,$C32,'[2](1a)Transactions'!$P:$P,$Q$4,'[2](1a)Transactions'!$Q:$Q,"30")</f>
        <v>0</v>
      </c>
      <c r="E32" s="78">
        <f>'[1]Output (Oct)'!G33</f>
        <v>0</v>
      </c>
      <c r="F32" s="78">
        <f t="shared" si="16"/>
        <v>0</v>
      </c>
      <c r="G32" s="123">
        <f>-SUMIFS('[2](1a)Transactions'!$L:$L,'[2](1a)Transactions'!$S:$S,$C32,'[2](1a)Transactions'!$P:$P,$Q$4,'[2](1a)Transactions'!$Q:$Q,"29")</f>
        <v>0</v>
      </c>
      <c r="H32" s="78">
        <f>'[1]Output (Oct)'!J33</f>
        <v>0</v>
      </c>
      <c r="I32" s="78">
        <f t="shared" si="17"/>
        <v>0</v>
      </c>
      <c r="J32" s="123">
        <f>-SUMIFS('[2](1a)Transactions'!$L:$L,'[2](1a)Transactions'!$S:$S,$C32,'[2](1a)Transactions'!$P:$P,$Q$4,'[2](1a)Transactions'!$Q:$Q,"31")</f>
        <v>0</v>
      </c>
      <c r="K32" s="78">
        <f>'[1]Output (Oct)'!M33</f>
        <v>0</v>
      </c>
      <c r="L32" s="78">
        <f t="shared" si="18"/>
        <v>0</v>
      </c>
      <c r="M32" s="34"/>
      <c r="N32" s="123">
        <f>-SUMIFS('[2](1a)Transactions'!$L:$L,'[2](1a)Transactions'!$S:$S,$C32,'[2](1a)Transactions'!$P:$P,$Q$4,'[2](1a)Transactions'!$Q:$Q,"30")-SUMIFS('[2](1a)Transactions'!$L:$L,'[2](1a)Transactions'!$S:$S,$C32,'[2](1a)Transactions'!$P:$P,$Q$4,'[2](1a)Transactions'!$Q:$Q,"29")-SUMIFS('[2](1a)Transactions'!$L:$L,'[2](1a)Transactions'!$S:$S,$C32,'[2](1a)Transactions'!$P:$P,$Q$4,'[2](1a)Transactions'!$Q:$Q,"31")</f>
        <v>0</v>
      </c>
      <c r="O32" s="78">
        <f>'[1]Output (Oct)'!Q33</f>
        <v>64982750</v>
      </c>
      <c r="P32" s="78">
        <f t="shared" si="19"/>
        <v>64982750</v>
      </c>
    </row>
    <row r="33" spans="1:22" x14ac:dyDescent="0.2">
      <c r="A33" s="66"/>
      <c r="B33" s="66"/>
      <c r="C33" s="88"/>
      <c r="D33" s="89"/>
      <c r="E33" s="89"/>
      <c r="F33" s="89"/>
      <c r="G33" s="90"/>
      <c r="H33" s="90"/>
      <c r="I33" s="90"/>
      <c r="J33" s="89"/>
      <c r="K33" s="89"/>
      <c r="L33" s="89"/>
      <c r="M33" s="34"/>
      <c r="N33" s="89"/>
      <c r="O33" s="89"/>
      <c r="P33" s="89"/>
    </row>
    <row r="34" spans="1:22" x14ac:dyDescent="0.2">
      <c r="A34" s="71" t="s">
        <v>341</v>
      </c>
      <c r="B34" s="71"/>
      <c r="C34" s="72" t="s">
        <v>342</v>
      </c>
      <c r="D34" s="91">
        <f t="shared" ref="D34:K34" si="20">SUM(D35:D50)</f>
        <v>0</v>
      </c>
      <c r="E34" s="91">
        <f>SUM(E35:E50)</f>
        <v>16579614564</v>
      </c>
      <c r="F34" s="91">
        <f>SUM(F35:F50)</f>
        <v>16579614564</v>
      </c>
      <c r="G34" s="92">
        <f>SUM(G35:G50)</f>
        <v>0</v>
      </c>
      <c r="H34" s="92">
        <f>SUM(H35:H50)</f>
        <v>2516.4999999999995</v>
      </c>
      <c r="I34" s="92">
        <f>SUM(I35:I50)</f>
        <v>2516.4999999999995</v>
      </c>
      <c r="J34" s="91">
        <f t="shared" si="20"/>
        <v>0</v>
      </c>
      <c r="K34" s="91">
        <f t="shared" si="20"/>
        <v>0</v>
      </c>
      <c r="L34" s="91">
        <f>SUM(L35:L50)</f>
        <v>0</v>
      </c>
      <c r="M34" s="34"/>
      <c r="N34" s="91">
        <f>SUM(N35:N50)</f>
        <v>-2669241799</v>
      </c>
      <c r="O34" s="91">
        <f>SUM(O35:O50)</f>
        <v>25265220483.999996</v>
      </c>
      <c r="P34" s="91">
        <f>SUM(P35:P50)</f>
        <v>22595978685</v>
      </c>
    </row>
    <row r="35" spans="1:22" x14ac:dyDescent="0.2">
      <c r="A35" s="75">
        <v>1</v>
      </c>
      <c r="B35" s="75" t="s">
        <v>280</v>
      </c>
      <c r="C35" s="95" t="s">
        <v>343</v>
      </c>
      <c r="D35" s="123">
        <f>-SUMIFS('[2](1a)Transactions'!$I:$I,'[2](1a)Transactions'!$P:$P,$Q$4,'[2](1a)Transactions'!$R:$R,VLOOKUP('Output(link)'!$C35,Lookup1_AcctList!$B:$H,7,0),'[2](1a)Transactions'!$Q:$Q,"30")</f>
        <v>0</v>
      </c>
      <c r="E35" s="78">
        <f>'[1]Output (Oct)'!G36</f>
        <v>194444</v>
      </c>
      <c r="F35" s="78">
        <f t="shared" ref="F35:F49" si="21">SUM(D35:E35)</f>
        <v>194444</v>
      </c>
      <c r="G35" s="123">
        <f>-SUMIFS('[2](1a)Transactions'!$I:$I,'[2](1a)Transactions'!$P:$P,$Q$4,'[2](1a)Transactions'!$R:$R,VLOOKUP('Output(link)'!$C35,Lookup1_AcctList!$B:$H,7,0),'[2](1a)Transactions'!$Q:$Q,"29")</f>
        <v>0</v>
      </c>
      <c r="H35" s="79">
        <f>'[1]Output (Oct)'!J36</f>
        <v>0</v>
      </c>
      <c r="I35" s="79">
        <f t="shared" ref="I35:I49" si="22">SUM(G35:H35)</f>
        <v>0</v>
      </c>
      <c r="J35" s="123">
        <f>-SUMIFS('[2](1a)Transactions'!$I:$I,'[2](1a)Transactions'!$P:$P,$Q$4,'[2](1a)Transactions'!$R:$R,VLOOKUP('Output(link)'!$C35,Lookup1_AcctList!$B:$H,7,0),'[2](1a)Transactions'!$Q:$Q,"31")</f>
        <v>0</v>
      </c>
      <c r="K35" s="78">
        <f>'[1]Output (Oct)'!M36</f>
        <v>0</v>
      </c>
      <c r="L35" s="78">
        <f t="shared" ref="L35:L49" si="23">SUM(J35:K35)</f>
        <v>0</v>
      </c>
      <c r="M35" s="34"/>
      <c r="N35" s="123">
        <f>-SUMIFS('[2](1a)Transactions'!$I:$I,'[2](1a)Transactions'!$P:$P,$Q$4,'[2](1a)Transactions'!$R:$R,VLOOKUP('Output(link)'!$C35,Lookup1_AcctList!$B:$H,7,0))</f>
        <v>0</v>
      </c>
      <c r="O35" s="78">
        <f>'[1]Output (Oct)'!Q36</f>
        <v>8682821997</v>
      </c>
      <c r="P35" s="78">
        <f t="shared" ref="P35:P49" si="24">SUM(N35:O35)</f>
        <v>8682821997</v>
      </c>
      <c r="S35" s="59"/>
      <c r="V35" s="50"/>
    </row>
    <row r="36" spans="1:22" x14ac:dyDescent="0.2">
      <c r="A36" s="75">
        <v>2</v>
      </c>
      <c r="B36" s="75" t="s">
        <v>271</v>
      </c>
      <c r="C36" s="95" t="s">
        <v>344</v>
      </c>
      <c r="D36" s="123">
        <f>-SUMIFS('[2](1a)Transactions'!$I:$I,'[2](1a)Transactions'!$P:$P,$Q$4,'[2](1a)Transactions'!$R:$R,VLOOKUP('Output(link)'!$C36,Lookup1_AcctList!$B:$H,7,0),'[2](1a)Transactions'!$Q:$Q,"30")</f>
        <v>0</v>
      </c>
      <c r="E36" s="78">
        <f>'[1]Output (Oct)'!G37</f>
        <v>1727597029.1999996</v>
      </c>
      <c r="F36" s="78">
        <f t="shared" si="21"/>
        <v>1727597029.1999996</v>
      </c>
      <c r="G36" s="123">
        <f>-SUMIFS('[2](1a)Transactions'!$I:$I,'[2](1a)Transactions'!$P:$P,$Q$4,'[2](1a)Transactions'!$R:$R,VLOOKUP('Output(link)'!$C36,Lookup1_AcctList!$B:$H,7,0),'[2](1a)Transactions'!$Q:$Q,"29")</f>
        <v>0</v>
      </c>
      <c r="H36" s="79">
        <f>'[1]Output (Oct)'!J37</f>
        <v>6.6</v>
      </c>
      <c r="I36" s="79">
        <f t="shared" si="22"/>
        <v>6.6</v>
      </c>
      <c r="J36" s="123">
        <f>-SUMIFS('[2](1a)Transactions'!$I:$I,'[2](1a)Transactions'!$P:$P,$Q$4,'[2](1a)Transactions'!$R:$R,VLOOKUP('Output(link)'!$C36,Lookup1_AcctList!$B:$H,7,0),'[2](1a)Transactions'!$Q:$Q,"31")</f>
        <v>0</v>
      </c>
      <c r="K36" s="78">
        <f>'[1]Output (Oct)'!M37</f>
        <v>0</v>
      </c>
      <c r="L36" s="78">
        <f t="shared" si="23"/>
        <v>0</v>
      </c>
      <c r="M36" s="34"/>
      <c r="N36" s="123">
        <f>-SUMIFS('[2](1a)Transactions'!$I:$I,'[2](1a)Transactions'!$P:$P,$Q$4,'[2](1a)Transactions'!$R:$R,VLOOKUP('Output(link)'!$C36,Lookup1_AcctList!$B:$H,7,0))</f>
        <v>0</v>
      </c>
      <c r="O36" s="78">
        <f>'[1]Output (Oct)'!Q37</f>
        <v>1727765907.1999996</v>
      </c>
      <c r="P36" s="78">
        <f t="shared" si="24"/>
        <v>1727765907.1999996</v>
      </c>
    </row>
    <row r="37" spans="1:22" x14ac:dyDescent="0.2">
      <c r="A37" s="75">
        <v>3</v>
      </c>
      <c r="B37" s="75" t="s">
        <v>345</v>
      </c>
      <c r="C37" s="95" t="s">
        <v>346</v>
      </c>
      <c r="D37" s="123">
        <f>-SUMIFS('[2](1a)Transactions'!$I:$I,'[2](1a)Transactions'!$P:$P,$Q$4,'[2](1a)Transactions'!$R:$R,VLOOKUP('Output(link)'!$C37,Lookup1_AcctList!$B:$H,7,0),'[2](1a)Transactions'!$Q:$Q,"30")</f>
        <v>0</v>
      </c>
      <c r="E37" s="78">
        <f>'[1]Output (Oct)'!G38</f>
        <v>122720188</v>
      </c>
      <c r="F37" s="78">
        <f t="shared" si="21"/>
        <v>122720188</v>
      </c>
      <c r="G37" s="123">
        <f>-SUMIFS('[2](1a)Transactions'!$I:$I,'[2](1a)Transactions'!$P:$P,$Q$4,'[2](1a)Transactions'!$R:$R,VLOOKUP('Output(link)'!$C37,Lookup1_AcctList!$B:$H,7,0),'[2](1a)Transactions'!$Q:$Q,"29")</f>
        <v>0</v>
      </c>
      <c r="H37" s="79">
        <f>'[1]Output (Oct)'!J38</f>
        <v>0</v>
      </c>
      <c r="I37" s="79">
        <f t="shared" si="22"/>
        <v>0</v>
      </c>
      <c r="J37" s="123">
        <f>-SUMIFS('[2](1a)Transactions'!$I:$I,'[2](1a)Transactions'!$P:$P,$Q$4,'[2](1a)Transactions'!$R:$R,VLOOKUP('Output(link)'!$C37,Lookup1_AcctList!$B:$H,7,0),'[2](1a)Transactions'!$Q:$Q,"31")</f>
        <v>0</v>
      </c>
      <c r="K37" s="78">
        <f>'[1]Output (Oct)'!M38</f>
        <v>0</v>
      </c>
      <c r="L37" s="78">
        <f t="shared" si="23"/>
        <v>0</v>
      </c>
      <c r="M37" s="34"/>
      <c r="N37" s="123">
        <f>-SUMIFS('[2](1a)Transactions'!$I:$I,'[2](1a)Transactions'!$P:$P,$Q$4,'[2](1a)Transactions'!$R:$R,VLOOKUP('Output(link)'!$C37,Lookup1_AcctList!$B:$H,7,0))</f>
        <v>-205558779</v>
      </c>
      <c r="O37" s="78">
        <f>'[1]Output (Oct)'!Q38</f>
        <v>122720188</v>
      </c>
      <c r="P37" s="78">
        <f t="shared" si="24"/>
        <v>-82838591</v>
      </c>
      <c r="Q37" s="59">
        <f>P37/7</f>
        <v>-11834084.428571429</v>
      </c>
    </row>
    <row r="38" spans="1:22" x14ac:dyDescent="0.2">
      <c r="A38" s="75">
        <v>4</v>
      </c>
      <c r="B38" s="75" t="s">
        <v>272</v>
      </c>
      <c r="C38" s="95" t="s">
        <v>347</v>
      </c>
      <c r="D38" s="123">
        <f>-SUMIFS('[2](1a)Transactions'!$I:$I,'[2](1a)Transactions'!$P:$P,$Q$4,'[2](1a)Transactions'!$R:$R,VLOOKUP('Output(link)'!$C38,Lookup1_AcctList!$B:$H,7,0),'[2](1a)Transactions'!$Q:$Q,"30")</f>
        <v>0</v>
      </c>
      <c r="E38" s="78">
        <f>'[1]Output (Oct)'!G39</f>
        <v>2793259747.4499998</v>
      </c>
      <c r="F38" s="78">
        <f t="shared" si="21"/>
        <v>2793259747.4499998</v>
      </c>
      <c r="G38" s="123">
        <f>-SUMIFS('[2](1a)Transactions'!$I:$I,'[2](1a)Transactions'!$P:$P,$Q$4,'[2](1a)Transactions'!$R:$R,VLOOKUP('Output(link)'!$C38,Lookup1_AcctList!$B:$H,7,0),'[2](1a)Transactions'!$Q:$Q,"29")</f>
        <v>0</v>
      </c>
      <c r="H38" s="79">
        <f>'[1]Output (Oct)'!J39</f>
        <v>0</v>
      </c>
      <c r="I38" s="79">
        <f t="shared" si="22"/>
        <v>0</v>
      </c>
      <c r="J38" s="123">
        <f>-SUMIFS('[2](1a)Transactions'!$I:$I,'[2](1a)Transactions'!$P:$P,$Q$4,'[2](1a)Transactions'!$R:$R,VLOOKUP('Output(link)'!$C38,Lookup1_AcctList!$B:$H,7,0),'[2](1a)Transactions'!$Q:$Q,"31")</f>
        <v>0</v>
      </c>
      <c r="K38" s="78">
        <f>'[1]Output (Oct)'!M39</f>
        <v>0</v>
      </c>
      <c r="L38" s="78">
        <f t="shared" si="23"/>
        <v>0</v>
      </c>
      <c r="M38" s="34"/>
      <c r="N38" s="123">
        <f>-SUMIFS('[2](1a)Transactions'!$I:$I,'[2](1a)Transactions'!$P:$P,$Q$4,'[2](1a)Transactions'!$R:$R,VLOOKUP('Output(link)'!$C38,Lookup1_AcctList!$B:$H,7,0))</f>
        <v>-307016160</v>
      </c>
      <c r="O38" s="78">
        <f>'[1]Output (Oct)'!Q39</f>
        <v>2793259747.4499998</v>
      </c>
      <c r="P38" s="78">
        <f t="shared" si="24"/>
        <v>2486243587.4499998</v>
      </c>
      <c r="Q38" s="59"/>
      <c r="S38" s="59"/>
    </row>
    <row r="39" spans="1:22" x14ac:dyDescent="0.2">
      <c r="A39" s="75">
        <v>5</v>
      </c>
      <c r="B39" s="75" t="s">
        <v>273</v>
      </c>
      <c r="C39" s="95" t="s">
        <v>348</v>
      </c>
      <c r="D39" s="123">
        <f>-SUMIFS('[2](1a)Transactions'!$I:$I,'[2](1a)Transactions'!$P:$P,$Q$4,'[2](1a)Transactions'!$R:$R,VLOOKUP('Output(link)'!$C39,Lookup1_AcctList!$B:$H,7,0),'[2](1a)Transactions'!$Q:$Q,"30")</f>
        <v>0</v>
      </c>
      <c r="E39" s="78">
        <f>'[1]Output (Oct)'!G40</f>
        <v>2494381784.4499998</v>
      </c>
      <c r="F39" s="78">
        <f t="shared" si="21"/>
        <v>2494381784.4499998</v>
      </c>
      <c r="G39" s="123">
        <f>-SUMIFS('[2](1a)Transactions'!$I:$I,'[2](1a)Transactions'!$P:$P,$Q$4,'[2](1a)Transactions'!$R:$R,VLOOKUP('Output(link)'!$C39,Lookup1_AcctList!$B:$H,7,0),'[2](1a)Transactions'!$Q:$Q,"29")</f>
        <v>0</v>
      </c>
      <c r="H39" s="79">
        <f>'[1]Output (Oct)'!J40</f>
        <v>0</v>
      </c>
      <c r="I39" s="79">
        <f t="shared" si="22"/>
        <v>0</v>
      </c>
      <c r="J39" s="123">
        <f>-SUMIFS('[2](1a)Transactions'!$I:$I,'[2](1a)Transactions'!$P:$P,$Q$4,'[2](1a)Transactions'!$R:$R,VLOOKUP('Output(link)'!$C39,Lookup1_AcctList!$B:$H,7,0),'[2](1a)Transactions'!$Q:$Q,"31")</f>
        <v>0</v>
      </c>
      <c r="K39" s="78">
        <f>'[1]Output (Oct)'!M40</f>
        <v>0</v>
      </c>
      <c r="L39" s="78">
        <f t="shared" si="23"/>
        <v>0</v>
      </c>
      <c r="M39" s="34"/>
      <c r="N39" s="123">
        <f>-SUMIFS('[2](1a)Transactions'!$I:$I,'[2](1a)Transactions'!$P:$P,$Q$4,'[2](1a)Transactions'!$R:$R,VLOOKUP('Output(link)'!$C39,Lookup1_AcctList!$B:$H,7,0))</f>
        <v>-433448210</v>
      </c>
      <c r="O39" s="78">
        <f>'[1]Output (Oct)'!Q40</f>
        <v>2494381784.4499998</v>
      </c>
      <c r="P39" s="78">
        <f t="shared" si="24"/>
        <v>2060933574.4499998</v>
      </c>
      <c r="Q39" s="59"/>
    </row>
    <row r="40" spans="1:22" x14ac:dyDescent="0.2">
      <c r="A40" s="75">
        <v>6</v>
      </c>
      <c r="B40" s="75" t="s">
        <v>274</v>
      </c>
      <c r="C40" s="95" t="s">
        <v>349</v>
      </c>
      <c r="D40" s="123">
        <f>-SUMIFS('[2](1a)Transactions'!$I:$I,'[2](1a)Transactions'!$P:$P,$Q$4,'[2](1a)Transactions'!$R:$R,VLOOKUP('Output(link)'!$C40,Lookup1_AcctList!$B:$H,7,0),'[2](1a)Transactions'!$Q:$Q,"30")</f>
        <v>0</v>
      </c>
      <c r="E40" s="78">
        <f>'[1]Output (Oct)'!G41</f>
        <v>1763567145.4499989</v>
      </c>
      <c r="F40" s="78">
        <f t="shared" si="21"/>
        <v>1763567145.4499989</v>
      </c>
      <c r="G40" s="123">
        <f>-SUMIFS('[2](1a)Transactions'!$I:$I,'[2](1a)Transactions'!$P:$P,$Q$4,'[2](1a)Transactions'!$R:$R,VLOOKUP('Output(link)'!$C40,Lookup1_AcctList!$B:$H,7,0),'[2](1a)Transactions'!$Q:$Q,"29")</f>
        <v>0</v>
      </c>
      <c r="H40" s="79">
        <f>'[1]Output (Oct)'!J41</f>
        <v>0</v>
      </c>
      <c r="I40" s="79">
        <f t="shared" si="22"/>
        <v>0</v>
      </c>
      <c r="J40" s="123">
        <f>-SUMIFS('[2](1a)Transactions'!$I:$I,'[2](1a)Transactions'!$P:$P,$Q$4,'[2](1a)Transactions'!$R:$R,VLOOKUP('Output(link)'!$C40,Lookup1_AcctList!$B:$H,7,0),'[2](1a)Transactions'!$Q:$Q,"31")</f>
        <v>0</v>
      </c>
      <c r="K40" s="78">
        <f>'[1]Output (Oct)'!M41</f>
        <v>0</v>
      </c>
      <c r="L40" s="78">
        <f t="shared" si="23"/>
        <v>0</v>
      </c>
      <c r="M40" s="34"/>
      <c r="N40" s="123">
        <f>-SUMIFS('[2](1a)Transactions'!$I:$I,'[2](1a)Transactions'!$P:$P,$Q$4,'[2](1a)Transactions'!$R:$R,VLOOKUP('Output(link)'!$C40,Lookup1_AcctList!$B:$H,7,0))</f>
        <v>-31761269</v>
      </c>
      <c r="O40" s="78">
        <f>'[1]Output (Oct)'!Q41</f>
        <v>1763567145.4499989</v>
      </c>
      <c r="P40" s="78">
        <f t="shared" si="24"/>
        <v>1731805876.4499989</v>
      </c>
      <c r="Q40" s="59"/>
    </row>
    <row r="41" spans="1:22" x14ac:dyDescent="0.2">
      <c r="A41" s="75">
        <v>7</v>
      </c>
      <c r="B41" s="75" t="s">
        <v>275</v>
      </c>
      <c r="C41" s="95" t="s">
        <v>350</v>
      </c>
      <c r="D41" s="123">
        <f>-SUMIFS('[2](1a)Transactions'!$I:$I,'[2](1a)Transactions'!$P:$P,$Q$4,'[2](1a)Transactions'!$R:$R,VLOOKUP('Output(link)'!$C41,Lookup1_AcctList!$B:$H,7,0),'[2](1a)Transactions'!$Q:$Q,"30")</f>
        <v>0</v>
      </c>
      <c r="E41" s="78">
        <f>'[1]Output (Oct)'!G42</f>
        <v>683087</v>
      </c>
      <c r="F41" s="78">
        <f t="shared" si="21"/>
        <v>683087</v>
      </c>
      <c r="G41" s="123">
        <f>-SUMIFS('[2](1a)Transactions'!$I:$I,'[2](1a)Transactions'!$P:$P,$Q$4,'[2](1a)Transactions'!$R:$R,VLOOKUP('Output(link)'!$C41,Lookup1_AcctList!$B:$H,7,0),'[2](1a)Transactions'!$Q:$Q,"29")</f>
        <v>0</v>
      </c>
      <c r="H41" s="79">
        <f>'[1]Output (Oct)'!J42</f>
        <v>0</v>
      </c>
      <c r="I41" s="79">
        <f t="shared" si="22"/>
        <v>0</v>
      </c>
      <c r="J41" s="123">
        <f>-SUMIFS('[2](1a)Transactions'!$I:$I,'[2](1a)Transactions'!$P:$P,$Q$4,'[2](1a)Transactions'!$R:$R,VLOOKUP('Output(link)'!$C41,Lookup1_AcctList!$B:$H,7,0),'[2](1a)Transactions'!$Q:$Q,"31")</f>
        <v>0</v>
      </c>
      <c r="K41" s="78">
        <f>'[1]Output (Oct)'!M42</f>
        <v>0</v>
      </c>
      <c r="L41" s="78">
        <f t="shared" si="23"/>
        <v>0</v>
      </c>
      <c r="M41" s="34"/>
      <c r="N41" s="123">
        <f>-SUMIFS('[2](1a)Transactions'!$I:$I,'[2](1a)Transactions'!$P:$P,$Q$4,'[2](1a)Transactions'!$R:$R,VLOOKUP('Output(link)'!$C41,Lookup1_AcctList!$B:$H,7,0))</f>
        <v>0</v>
      </c>
      <c r="O41" s="78">
        <f>'[1]Output (Oct)'!Q42</f>
        <v>683087</v>
      </c>
      <c r="P41" s="78">
        <f t="shared" si="24"/>
        <v>683087</v>
      </c>
      <c r="Q41" s="59"/>
    </row>
    <row r="42" spans="1:22" x14ac:dyDescent="0.2">
      <c r="A42" s="75">
        <v>8</v>
      </c>
      <c r="B42" s="75" t="s">
        <v>276</v>
      </c>
      <c r="C42" s="95" t="s">
        <v>351</v>
      </c>
      <c r="D42" s="123">
        <f>-SUMIFS('[2](1a)Transactions'!$I:$I,'[2](1a)Transactions'!$P:$P,$Q$4,'[2](1a)Transactions'!$R:$R,VLOOKUP('Output(link)'!$C42,Lookup1_AcctList!$B:$H,7,0),'[2](1a)Transactions'!$Q:$Q,"30")</f>
        <v>0</v>
      </c>
      <c r="E42" s="78">
        <f>'[1]Output (Oct)'!G43</f>
        <v>5921925405.4500008</v>
      </c>
      <c r="F42" s="78">
        <f t="shared" si="21"/>
        <v>5921925405.4500008</v>
      </c>
      <c r="G42" s="123">
        <f>-SUMIFS('[2](1a)Transactions'!$I:$I,'[2](1a)Transactions'!$P:$P,$Q$4,'[2](1a)Transactions'!$R:$R,VLOOKUP('Output(link)'!$C42,Lookup1_AcctList!$B:$H,7,0),'[2](1a)Transactions'!$Q:$Q,"29")</f>
        <v>0</v>
      </c>
      <c r="H42" s="79">
        <f>'[1]Output (Oct)'!J43</f>
        <v>0</v>
      </c>
      <c r="I42" s="79">
        <f t="shared" si="22"/>
        <v>0</v>
      </c>
      <c r="J42" s="123">
        <f>-SUMIFS('[2](1a)Transactions'!$I:$I,'[2](1a)Transactions'!$P:$P,$Q$4,'[2](1a)Transactions'!$R:$R,VLOOKUP('Output(link)'!$C42,Lookup1_AcctList!$B:$H,7,0),'[2](1a)Transactions'!$Q:$Q,"31")</f>
        <v>0</v>
      </c>
      <c r="K42" s="78">
        <f>'[1]Output (Oct)'!M43</f>
        <v>0</v>
      </c>
      <c r="L42" s="78">
        <f t="shared" si="23"/>
        <v>0</v>
      </c>
      <c r="M42" s="34"/>
      <c r="N42" s="123">
        <f>-SUMIFS('[2](1a)Transactions'!$I:$I,'[2](1a)Transactions'!$P:$P,$Q$4,'[2](1a)Transactions'!$R:$R,VLOOKUP('Output(link)'!$C42,Lookup1_AcctList!$B:$H,7,0))</f>
        <v>-837982606</v>
      </c>
      <c r="O42" s="78">
        <f>'[1]Output (Oct)'!Q43</f>
        <v>5921925405.4500008</v>
      </c>
      <c r="P42" s="78">
        <f t="shared" si="24"/>
        <v>5083942799.4500008</v>
      </c>
      <c r="Q42" s="59"/>
    </row>
    <row r="43" spans="1:22" hidden="1" x14ac:dyDescent="0.2">
      <c r="A43" s="75"/>
      <c r="B43" s="75" t="s">
        <v>352</v>
      </c>
      <c r="C43" s="95" t="s">
        <v>353</v>
      </c>
      <c r="D43" s="123">
        <f>-SUMIFS('[2](1a)Transactions'!$I:$I,'[2](1a)Transactions'!$P:$P,$Q$4,'[2](1a)Transactions'!$R:$R,VLOOKUP('Output(link)'!$C43,Lookup1_AcctList!$B:$H,7,0),'[2](1a)Transactions'!$Q:$Q,"30")</f>
        <v>0</v>
      </c>
      <c r="E43" s="78">
        <f>'[1]Output (Oct)'!G44</f>
        <v>0</v>
      </c>
      <c r="F43" s="78">
        <f t="shared" si="21"/>
        <v>0</v>
      </c>
      <c r="G43" s="123">
        <f>-SUMIFS('[2](1a)Transactions'!$I:$I,'[2](1a)Transactions'!$P:$P,$Q$4,'[2](1a)Transactions'!$R:$R,VLOOKUP('Output(link)'!$C43,Lookup1_AcctList!$B:$H,7,0),'[2](1a)Transactions'!$Q:$Q,"29")</f>
        <v>0</v>
      </c>
      <c r="H43" s="79">
        <f>'[1]Output (Oct)'!J44</f>
        <v>0</v>
      </c>
      <c r="I43" s="79">
        <f t="shared" si="22"/>
        <v>0</v>
      </c>
      <c r="J43" s="123">
        <f>-SUMIFS('[2](1a)Transactions'!$I:$I,'[2](1a)Transactions'!$P:$P,$Q$4,'[2](1a)Transactions'!$R:$R,VLOOKUP('Output(link)'!$C43,Lookup1_AcctList!$B:$H,7,0),'[2](1a)Transactions'!$Q:$Q,"31")</f>
        <v>0</v>
      </c>
      <c r="K43" s="78">
        <f>'[1]Output (Oct)'!M44</f>
        <v>0</v>
      </c>
      <c r="L43" s="78">
        <f t="shared" si="23"/>
        <v>0</v>
      </c>
      <c r="M43" s="34"/>
      <c r="N43" s="123">
        <f>-SUMIFS('[2](1a)Transactions'!$I:$I,'[2](1a)Transactions'!$P:$P,$Q$4,'[2](1a)Transactions'!$R:$R,VLOOKUP('Output(link)'!$C43,Lookup1_AcctList!$B:$H,7,0))</f>
        <v>0</v>
      </c>
      <c r="O43" s="78">
        <f>'[1]Output (Oct)'!Q44</f>
        <v>0</v>
      </c>
      <c r="P43" s="78">
        <f t="shared" si="24"/>
        <v>0</v>
      </c>
      <c r="Q43" s="59"/>
    </row>
    <row r="44" spans="1:22" x14ac:dyDescent="0.2">
      <c r="A44" s="75">
        <v>9</v>
      </c>
      <c r="B44" s="75" t="s">
        <v>354</v>
      </c>
      <c r="C44" s="95" t="s">
        <v>355</v>
      </c>
      <c r="D44" s="123">
        <f>-SUMIFS('[2](1a)Transactions'!$I:$I,'[2](1a)Transactions'!$P:$P,$Q$4,'[2](1a)Transactions'!$R:$R,VLOOKUP('Output(link)'!$C44,Lookup1_AcctList!$B:$H,7,0),'[2](1a)Transactions'!$Q:$Q,"30")</f>
        <v>0</v>
      </c>
      <c r="E44" s="78">
        <f>'[1]Output (Oct)'!G45</f>
        <v>475745</v>
      </c>
      <c r="F44" s="78">
        <f t="shared" si="21"/>
        <v>475745</v>
      </c>
      <c r="G44" s="123">
        <f>-SUMIFS('[2](1a)Transactions'!$I:$I,'[2](1a)Transactions'!$P:$P,$Q$4,'[2](1a)Transactions'!$R:$R,VLOOKUP('Output(link)'!$C44,Lookup1_AcctList!$B:$H,7,0),'[2](1a)Transactions'!$Q:$Q,"29")</f>
        <v>0</v>
      </c>
      <c r="H44" s="79">
        <f>'[1]Output (Oct)'!J45</f>
        <v>0</v>
      </c>
      <c r="I44" s="79">
        <f t="shared" si="22"/>
        <v>0</v>
      </c>
      <c r="J44" s="123">
        <f>-SUMIFS('[2](1a)Transactions'!$I:$I,'[2](1a)Transactions'!$P:$P,$Q$4,'[2](1a)Transactions'!$R:$R,VLOOKUP('Output(link)'!$C44,Lookup1_AcctList!$B:$H,7,0),'[2](1a)Transactions'!$Q:$Q,"31")</f>
        <v>0</v>
      </c>
      <c r="K44" s="78">
        <f>'[1]Output (Oct)'!M45</f>
        <v>0</v>
      </c>
      <c r="L44" s="78">
        <f t="shared" si="23"/>
        <v>0</v>
      </c>
      <c r="M44" s="34"/>
      <c r="N44" s="123">
        <f>-SUMIFS('[2](1a)Transactions'!$I:$I,'[2](1a)Transactions'!$P:$P,$Q$4,'[2](1a)Transactions'!$R:$R,VLOOKUP('Output(link)'!$C44,Lookup1_AcctList!$B:$H,7,0))</f>
        <v>0</v>
      </c>
      <c r="O44" s="78">
        <f>'[1]Output (Oct)'!Q45</f>
        <v>475745</v>
      </c>
      <c r="P44" s="78">
        <f t="shared" si="24"/>
        <v>475745</v>
      </c>
      <c r="Q44" s="59"/>
    </row>
    <row r="45" spans="1:22" x14ac:dyDescent="0.2">
      <c r="A45" s="75">
        <v>10</v>
      </c>
      <c r="B45" s="75" t="s">
        <v>356</v>
      </c>
      <c r="C45" s="95" t="s">
        <v>357</v>
      </c>
      <c r="D45" s="123">
        <f>-SUMIFS('[2](1a)Transactions'!$I:$I,'[2](1a)Transactions'!$P:$P,$Q$4,'[2](1a)Transactions'!$R:$R,VLOOKUP('Output(link)'!$C45,Lookup1_AcctList!$B:$H,7,0),'[2](1a)Transactions'!$Q:$Q,"30")</f>
        <v>0</v>
      </c>
      <c r="E45" s="78">
        <f>'[1]Output (Oct)'!G46</f>
        <v>231176455</v>
      </c>
      <c r="F45" s="78">
        <f t="shared" si="21"/>
        <v>231176455</v>
      </c>
      <c r="G45" s="123">
        <f>-SUMIFS('[2](1a)Transactions'!$I:$I,'[2](1a)Transactions'!$P:$P,$Q$4,'[2](1a)Transactions'!$R:$R,VLOOKUP('Output(link)'!$C45,Lookup1_AcctList!$B:$H,7,0),'[2](1a)Transactions'!$Q:$Q,"29")</f>
        <v>0</v>
      </c>
      <c r="H45" s="79">
        <f>'[1]Output (Oct)'!J46</f>
        <v>0</v>
      </c>
      <c r="I45" s="79">
        <f t="shared" si="22"/>
        <v>0</v>
      </c>
      <c r="J45" s="123">
        <f>-SUMIFS('[2](1a)Transactions'!$I:$I,'[2](1a)Transactions'!$P:$P,$Q$4,'[2](1a)Transactions'!$R:$R,VLOOKUP('Output(link)'!$C45,Lookup1_AcctList!$B:$H,7,0),'[2](1a)Transactions'!$Q:$Q,"31")</f>
        <v>0</v>
      </c>
      <c r="K45" s="78">
        <f>'[1]Output (Oct)'!M46</f>
        <v>0</v>
      </c>
      <c r="L45" s="78">
        <f t="shared" si="23"/>
        <v>0</v>
      </c>
      <c r="M45" s="34"/>
      <c r="N45" s="123">
        <f>-SUMIFS('[2](1a)Transactions'!$I:$I,'[2](1a)Transactions'!$P:$P,$Q$4,'[2](1a)Transactions'!$R:$R,VLOOKUP('Output(link)'!$C45,Lookup1_AcctList!$B:$H,7,0))</f>
        <v>-38736986</v>
      </c>
      <c r="O45" s="78">
        <f>'[1]Output (Oct)'!Q46</f>
        <v>231176455</v>
      </c>
      <c r="P45" s="78">
        <f t="shared" si="24"/>
        <v>192439469</v>
      </c>
      <c r="Q45" s="59"/>
    </row>
    <row r="46" spans="1:22" x14ac:dyDescent="0.2">
      <c r="A46" s="75">
        <v>11</v>
      </c>
      <c r="B46" s="75" t="s">
        <v>358</v>
      </c>
      <c r="C46" s="95" t="s">
        <v>359</v>
      </c>
      <c r="D46" s="123">
        <f>-SUMIFS('[2](1a)Transactions'!$I:$I,'[2](1a)Transactions'!$P:$P,$Q$4,'[2](1a)Transactions'!$R:$R,VLOOKUP('Output(link)'!$C46,Lookup1_AcctList!$B:$H,7,0),'[2](1a)Transactions'!$Q:$Q,"30")</f>
        <v>0</v>
      </c>
      <c r="E46" s="78">
        <f>'[1]Output (Oct)'!G47</f>
        <v>259287775</v>
      </c>
      <c r="F46" s="78">
        <f t="shared" si="21"/>
        <v>259287775</v>
      </c>
      <c r="G46" s="123">
        <f>-SUMIFS('[2](1a)Transactions'!$I:$I,'[2](1a)Transactions'!$P:$P,$Q$4,'[2](1a)Transactions'!$R:$R,VLOOKUP('Output(link)'!$C46,Lookup1_AcctList!$B:$H,7,0),'[2](1a)Transactions'!$Q:$Q,"29")</f>
        <v>0</v>
      </c>
      <c r="H46" s="79">
        <f>'[1]Output (Oct)'!J47</f>
        <v>0</v>
      </c>
      <c r="I46" s="79">
        <f t="shared" si="22"/>
        <v>0</v>
      </c>
      <c r="J46" s="123">
        <f>-SUMIFS('[2](1a)Transactions'!$I:$I,'[2](1a)Transactions'!$P:$P,$Q$4,'[2](1a)Transactions'!$R:$R,VLOOKUP('Output(link)'!$C46,Lookup1_AcctList!$B:$H,7,0),'[2](1a)Transactions'!$Q:$Q,"31")</f>
        <v>0</v>
      </c>
      <c r="K46" s="78">
        <f>'[1]Output (Oct)'!M47</f>
        <v>0</v>
      </c>
      <c r="L46" s="78">
        <f t="shared" si="23"/>
        <v>0</v>
      </c>
      <c r="M46" s="34"/>
      <c r="N46" s="123">
        <f>-SUMIFS('[2](1a)Transactions'!$I:$I,'[2](1a)Transactions'!$P:$P,$Q$4,'[2](1a)Transactions'!$R:$R,VLOOKUP('Output(link)'!$C46,Lookup1_AcctList!$B:$H,7,0))</f>
        <v>-46179944</v>
      </c>
      <c r="O46" s="78">
        <f>'[1]Output (Oct)'!Q47</f>
        <v>259287775</v>
      </c>
      <c r="P46" s="78">
        <f t="shared" si="24"/>
        <v>213107831</v>
      </c>
      <c r="Q46" s="59"/>
    </row>
    <row r="47" spans="1:22" x14ac:dyDescent="0.2">
      <c r="A47" s="75">
        <v>12</v>
      </c>
      <c r="B47" s="75" t="s">
        <v>360</v>
      </c>
      <c r="C47" s="95" t="s">
        <v>361</v>
      </c>
      <c r="D47" s="123">
        <f>-SUMIFS('[2](1a)Transactions'!$I:$I,'[2](1a)Transactions'!$P:$P,$Q$4,'[2](1a)Transactions'!$R:$R,VLOOKUP('Output(link)'!$C47,Lookup1_AcctList!$B:$H,7,0),'[2](1a)Transactions'!$Q:$Q,"30")</f>
        <v>0</v>
      </c>
      <c r="E47" s="78">
        <f>'[1]Output (Oct)'!G48</f>
        <v>189027044</v>
      </c>
      <c r="F47" s="78">
        <f t="shared" si="21"/>
        <v>189027044</v>
      </c>
      <c r="G47" s="123">
        <f>-SUMIFS('[2](1a)Transactions'!$I:$I,'[2](1a)Transactions'!$P:$P,$Q$4,'[2](1a)Transactions'!$R:$R,VLOOKUP('Output(link)'!$C47,Lookup1_AcctList!$B:$H,7,0),'[2](1a)Transactions'!$Q:$Q,"29")</f>
        <v>0</v>
      </c>
      <c r="H47" s="79">
        <f>'[1]Output (Oct)'!J48</f>
        <v>0</v>
      </c>
      <c r="I47" s="79">
        <f t="shared" si="22"/>
        <v>0</v>
      </c>
      <c r="J47" s="123">
        <f>-SUMIFS('[2](1a)Transactions'!$I:$I,'[2](1a)Transactions'!$P:$P,$Q$4,'[2](1a)Transactions'!$R:$R,VLOOKUP('Output(link)'!$C47,Lookup1_AcctList!$B:$H,7,0),'[2](1a)Transactions'!$Q:$Q,"31")</f>
        <v>0</v>
      </c>
      <c r="K47" s="78">
        <f>'[1]Output (Oct)'!M48</f>
        <v>0</v>
      </c>
      <c r="L47" s="78">
        <f t="shared" si="23"/>
        <v>0</v>
      </c>
      <c r="M47" s="34"/>
      <c r="N47" s="123">
        <f>-SUMIFS('[2](1a)Transactions'!$I:$I,'[2](1a)Transactions'!$P:$P,$Q$4,'[2](1a)Transactions'!$R:$R,VLOOKUP('Output(link)'!$C47,Lookup1_AcctList!$B:$H,7,0))</f>
        <v>-41853500</v>
      </c>
      <c r="O47" s="78">
        <f>'[1]Output (Oct)'!Q48</f>
        <v>189027044</v>
      </c>
      <c r="P47" s="78">
        <f t="shared" si="24"/>
        <v>147173544</v>
      </c>
      <c r="Q47" s="59"/>
    </row>
    <row r="48" spans="1:22" x14ac:dyDescent="0.2">
      <c r="A48" s="75">
        <v>13</v>
      </c>
      <c r="B48" s="75" t="s">
        <v>362</v>
      </c>
      <c r="C48" s="95" t="s">
        <v>363</v>
      </c>
      <c r="D48" s="123">
        <f>-SUMIFS('[2](1a)Transactions'!$I:$I,'[2](1a)Transactions'!$P:$P,$Q$4,'[2](1a)Transactions'!$R:$R,VLOOKUP('Output(link)'!$C48,Lookup1_AcctList!$B:$H,7,0),'[2](1a)Transactions'!$Q:$Q,"30")</f>
        <v>0</v>
      </c>
      <c r="E48" s="78">
        <f>'[1]Output (Oct)'!G49</f>
        <v>1075318714</v>
      </c>
      <c r="F48" s="78">
        <f t="shared" si="21"/>
        <v>1075318714</v>
      </c>
      <c r="G48" s="123">
        <f>-SUMIFS('[2](1a)Transactions'!$I:$I,'[2](1a)Transactions'!$P:$P,$Q$4,'[2](1a)Transactions'!$R:$R,VLOOKUP('Output(link)'!$C48,Lookup1_AcctList!$B:$H,7,0),'[2](1a)Transactions'!$Q:$Q,"29")</f>
        <v>0</v>
      </c>
      <c r="H48" s="79">
        <f>'[1]Output (Oct)'!J49</f>
        <v>2509.8999999999996</v>
      </c>
      <c r="I48" s="79">
        <f t="shared" si="22"/>
        <v>2509.8999999999996</v>
      </c>
      <c r="J48" s="123">
        <f>-SUMIFS('[2](1a)Transactions'!$I:$I,'[2](1a)Transactions'!$P:$P,$Q$4,'[2](1a)Transactions'!$R:$R,VLOOKUP('Output(link)'!$C48,Lookup1_AcctList!$B:$H,7,0),'[2](1a)Transactions'!$Q:$Q,"31")</f>
        <v>0</v>
      </c>
      <c r="K48" s="78">
        <f>'[1]Output (Oct)'!M49</f>
        <v>0</v>
      </c>
      <c r="L48" s="78">
        <f t="shared" si="23"/>
        <v>0</v>
      </c>
      <c r="M48" s="34"/>
      <c r="N48" s="123">
        <f>-SUMIFS('[2](1a)Transactions'!$I:$I,'[2](1a)Transactions'!$P:$P,$Q$4,'[2](1a)Transactions'!$R:$R,VLOOKUP('Output(link)'!$C48,Lookup1_AcctList!$B:$H,7,0))</f>
        <v>-726704345</v>
      </c>
      <c r="O48" s="78">
        <f>'[1]Output (Oct)'!Q49</f>
        <v>1078128203</v>
      </c>
      <c r="P48" s="78">
        <f t="shared" si="24"/>
        <v>351423858</v>
      </c>
      <c r="Q48" s="59">
        <f>P48/7</f>
        <v>50203408.285714284</v>
      </c>
    </row>
    <row r="49" spans="1:22" x14ac:dyDescent="0.2">
      <c r="A49" s="75">
        <v>14</v>
      </c>
      <c r="B49" s="75" t="s">
        <v>364</v>
      </c>
      <c r="C49" s="93" t="s">
        <v>365</v>
      </c>
      <c r="D49" s="123">
        <f>-SUMIFS('[2](1a)Transactions'!$I:$I,'[2](1a)Transactions'!$P:$P,$Q$4,'[2](1a)Transactions'!$R:$R,VLOOKUP('Output(link)'!$C49,Lookup1_AcctList!$B:$H,7,0),'[2](1a)Transactions'!$Q:$Q,"30")</f>
        <v>0</v>
      </c>
      <c r="E49" s="78">
        <f>'[1]Output (Oct)'!G50</f>
        <v>0</v>
      </c>
      <c r="F49" s="78">
        <f t="shared" si="21"/>
        <v>0</v>
      </c>
      <c r="G49" s="123">
        <f>-SUMIFS('[2](1a)Transactions'!$I:$I,'[2](1a)Transactions'!$P:$P,$Q$4,'[2](1a)Transactions'!$R:$R,VLOOKUP('Output(link)'!$C49,Lookup1_AcctList!$B:$H,7,0),'[2](1a)Transactions'!$Q:$Q,"29")</f>
        <v>0</v>
      </c>
      <c r="H49" s="79">
        <f>'[1]Output (Oct)'!J50</f>
        <v>0</v>
      </c>
      <c r="I49" s="79">
        <f t="shared" si="22"/>
        <v>0</v>
      </c>
      <c r="J49" s="123">
        <f>-SUMIFS('[2](1a)Transactions'!$I:$I,'[2](1a)Transactions'!$P:$P,$Q$4,'[2](1a)Transactions'!$R:$R,VLOOKUP('Output(link)'!$C49,Lookup1_AcctList!$B:$H,7,0),'[2](1a)Transactions'!$Q:$Q,"31")</f>
        <v>0</v>
      </c>
      <c r="K49" s="78">
        <f>'[1]Output (Oct)'!M50</f>
        <v>0</v>
      </c>
      <c r="L49" s="78">
        <f t="shared" si="23"/>
        <v>0</v>
      </c>
      <c r="M49" s="34"/>
      <c r="N49" s="123">
        <f>-SUMIFS('[2](1a)Transactions'!$I:$I,'[2](1a)Transactions'!$P:$P,$Q$4,'[2](1a)Transactions'!$R:$R,VLOOKUP('Output(link)'!$C49,Lookup1_AcctList!$B:$H,7,0))</f>
        <v>0</v>
      </c>
      <c r="O49" s="78">
        <f>'[1]Output (Oct)'!Q50</f>
        <v>0</v>
      </c>
      <c r="P49" s="78">
        <f t="shared" si="24"/>
        <v>0</v>
      </c>
    </row>
    <row r="50" spans="1:22" x14ac:dyDescent="0.2">
      <c r="A50" s="96"/>
      <c r="B50" s="66"/>
      <c r="C50" s="93"/>
      <c r="D50" s="78"/>
      <c r="E50" s="78"/>
      <c r="F50" s="78"/>
      <c r="G50" s="79"/>
      <c r="H50" s="79"/>
      <c r="I50" s="79"/>
      <c r="J50" s="78"/>
      <c r="K50" s="78"/>
      <c r="L50" s="78"/>
      <c r="M50" s="34"/>
      <c r="N50" s="78"/>
      <c r="O50" s="78"/>
      <c r="P50" s="78"/>
    </row>
    <row r="51" spans="1:22" x14ac:dyDescent="0.2">
      <c r="A51" s="71" t="s">
        <v>366</v>
      </c>
      <c r="B51" s="71"/>
      <c r="C51" s="61" t="s">
        <v>367</v>
      </c>
      <c r="D51" s="73">
        <f t="shared" ref="D51:K51" si="25">SUM(D52:D53)</f>
        <v>0</v>
      </c>
      <c r="E51" s="73">
        <f>SUM(E52:E53)</f>
        <v>918140436</v>
      </c>
      <c r="F51" s="73">
        <f>SUM(F52:F53)</f>
        <v>918140436</v>
      </c>
      <c r="G51" s="74">
        <f t="shared" si="25"/>
        <v>0</v>
      </c>
      <c r="H51" s="74">
        <f>SUM(H52:H53)</f>
        <v>2500</v>
      </c>
      <c r="I51" s="74">
        <f>SUM(I52:I53)</f>
        <v>2500</v>
      </c>
      <c r="J51" s="73">
        <f t="shared" si="25"/>
        <v>0</v>
      </c>
      <c r="K51" s="73">
        <f t="shared" si="25"/>
        <v>0</v>
      </c>
      <c r="L51" s="73">
        <f>SUM(L52:L53)</f>
        <v>0</v>
      </c>
      <c r="M51" s="34"/>
      <c r="N51" s="73">
        <f>SUM(N52:N53)</f>
        <v>410584783</v>
      </c>
      <c r="O51" s="73">
        <f>SUM(O52:O53)</f>
        <v>980717236</v>
      </c>
      <c r="P51" s="73">
        <f>SUM(P52:P53)</f>
        <v>1391302019</v>
      </c>
      <c r="Q51" s="50"/>
      <c r="V51" s="50"/>
    </row>
    <row r="52" spans="1:22" x14ac:dyDescent="0.2">
      <c r="A52" s="97">
        <v>1</v>
      </c>
      <c r="B52" s="97" t="s">
        <v>368</v>
      </c>
      <c r="C52" s="98" t="s">
        <v>369</v>
      </c>
      <c r="D52" s="123">
        <f>-SUMIFS('[2](1a)Transactions'!$L:$L,'[2](1a)Transactions'!$S:$S,$C52,'[2](1a)Transactions'!$P:$P,$Q$4,'[2](1a)Transactions'!$Q:$Q,"30")</f>
        <v>0</v>
      </c>
      <c r="E52" s="78">
        <f>'[1]Output (Oct)'!G53</f>
        <v>1691885032</v>
      </c>
      <c r="F52" s="78">
        <f t="shared" ref="F52:F53" si="26">SUM(D52:E52)</f>
        <v>1691885032</v>
      </c>
      <c r="G52" s="123">
        <f>SUMIFS('[2](1a)Transactions'!$L:$L,'[2](1a)Transactions'!$S:$S,$C52,'[2](1a)Transactions'!$P:$P,$Q$4,'[2](1a)Transactions'!$Q:$Q,"29")</f>
        <v>0</v>
      </c>
      <c r="H52" s="79">
        <f>'[1]Output (Oct)'!J53</f>
        <v>2500</v>
      </c>
      <c r="I52" s="79">
        <f t="shared" ref="I52:I53" si="27">SUM(G52:H52)</f>
        <v>2500</v>
      </c>
      <c r="J52" s="123">
        <f>SUMIFS('[2](1a)Transactions'!$L:$L,'[2](1a)Transactions'!$S:$S,$C52,'[2](1a)Transactions'!$P:$P,$Q$4,'[2](1a)Transactions'!$Q:$Q,"31")</f>
        <v>0</v>
      </c>
      <c r="K52" s="78">
        <f>'[1]Output (Oct)'!M53</f>
        <v>0</v>
      </c>
      <c r="L52" s="78">
        <f t="shared" ref="L52:L53" si="28">SUM(J52:K52)</f>
        <v>0</v>
      </c>
      <c r="M52" s="34"/>
      <c r="N52" s="123">
        <f>SUMIFS('[2](1a)Transactions'!$L:$L,'[2](1a)Transactions'!$S:$S,$C52,'[2](1a)Transactions'!$P:$P,$Q$4)</f>
        <v>410902933</v>
      </c>
      <c r="O52" s="78">
        <f>'[1]Output (Oct)'!Q53</f>
        <v>1757012532</v>
      </c>
      <c r="P52" s="78">
        <f t="shared" ref="P52:P53" si="29">SUM(N52:O52)</f>
        <v>2167915465</v>
      </c>
      <c r="Q52" s="99"/>
      <c r="V52" s="50"/>
    </row>
    <row r="53" spans="1:22" x14ac:dyDescent="0.2">
      <c r="A53" s="100">
        <v>2</v>
      </c>
      <c r="B53" s="100" t="s">
        <v>370</v>
      </c>
      <c r="C53" s="67" t="s">
        <v>370</v>
      </c>
      <c r="D53" s="123">
        <f>SUMIFS('[2](1a)Transactions'!$L:$L,'[2](1a)Transactions'!$S:$S,$C53,'[2](1a)Transactions'!$P:$P,$Q$4,'[2](1a)Transactions'!$Q:$Q,"30")</f>
        <v>0</v>
      </c>
      <c r="E53" s="78">
        <f>'[1]Output (Oct)'!G54</f>
        <v>-773744596</v>
      </c>
      <c r="F53" s="78">
        <f t="shared" si="26"/>
        <v>-773744596</v>
      </c>
      <c r="G53" s="123">
        <f>SUMIFS('[2](1a)Transactions'!$L:$L,'[2](1a)Transactions'!$S:$S,$C53,'[2](1a)Transactions'!$P:$P,$Q$4,'[2](1a)Transactions'!$Q:$Q,"29")</f>
        <v>0</v>
      </c>
      <c r="H53" s="79">
        <f>'[1]Output (Oct)'!J54</f>
        <v>0</v>
      </c>
      <c r="I53" s="79">
        <f t="shared" si="27"/>
        <v>0</v>
      </c>
      <c r="J53" s="123">
        <f>SUMIFS('[2](1a)Transactions'!$L:$L,'[2](1a)Transactions'!$S:$S,$C53,'[2](1a)Transactions'!$P:$P,$Q$4,'[2](1a)Transactions'!$Q:$Q,"31")</f>
        <v>0</v>
      </c>
      <c r="K53" s="78">
        <f>'[1]Output (Oct)'!M54</f>
        <v>0</v>
      </c>
      <c r="L53" s="78">
        <f t="shared" si="28"/>
        <v>0</v>
      </c>
      <c r="M53" s="25"/>
      <c r="N53" s="123">
        <f>SUMIFS('[2](1a)Transactions'!$L:$L,'[2](1a)Transactions'!$S:$S,$C53,'[2](1a)Transactions'!$P:$P,$Q$4)</f>
        <v>-318150</v>
      </c>
      <c r="O53" s="78">
        <f>'[1]Output (Oct)'!Q54</f>
        <v>-776295296</v>
      </c>
      <c r="P53" s="78">
        <f t="shared" si="29"/>
        <v>-776613446</v>
      </c>
      <c r="V53" s="50"/>
    </row>
    <row r="54" spans="1:22" ht="17" thickBot="1" x14ac:dyDescent="0.25">
      <c r="A54" s="101"/>
      <c r="B54" s="101"/>
      <c r="C54" s="102" t="s">
        <v>316</v>
      </c>
      <c r="D54" s="103">
        <f>D17+D19-D27-D51+D24</f>
        <v>1032116636</v>
      </c>
      <c r="E54" s="103">
        <f t="shared" ref="E54:I54" si="30">E17+E19-E27-E51+E24</f>
        <v>1032116636</v>
      </c>
      <c r="F54" s="103">
        <f t="shared" si="30"/>
        <v>1032116636</v>
      </c>
      <c r="G54" s="104">
        <f t="shared" si="30"/>
        <v>2604.4300000000003</v>
      </c>
      <c r="H54" s="104">
        <f t="shared" si="30"/>
        <v>2604.4300000000003</v>
      </c>
      <c r="I54" s="104">
        <f t="shared" si="30"/>
        <v>2604.4300000000003</v>
      </c>
      <c r="J54" s="103">
        <f t="shared" ref="J54:L54" si="31">J17+J19-J27-J51</f>
        <v>36756</v>
      </c>
      <c r="K54" s="103">
        <f t="shared" si="31"/>
        <v>36756</v>
      </c>
      <c r="L54" s="103">
        <f t="shared" si="31"/>
        <v>36756</v>
      </c>
      <c r="M54" s="34"/>
      <c r="N54" s="103"/>
      <c r="O54" s="103"/>
      <c r="P54" s="103"/>
    </row>
    <row r="55" spans="1:22" ht="17" thickTop="1" x14ac:dyDescent="0.2">
      <c r="A55" s="105"/>
      <c r="B55" s="105"/>
      <c r="C55" s="106"/>
      <c r="D55" s="107"/>
      <c r="E55" s="107"/>
      <c r="F55" s="107"/>
      <c r="G55" s="107"/>
      <c r="H55" s="107"/>
      <c r="I55" s="107"/>
      <c r="J55" s="107"/>
      <c r="K55" s="107"/>
      <c r="L55" s="107"/>
      <c r="M55" s="34"/>
      <c r="N55" s="108"/>
      <c r="O55" s="109"/>
      <c r="P55" s="108"/>
    </row>
    <row r="56" spans="1:22" x14ac:dyDescent="0.2">
      <c r="A56" s="105"/>
      <c r="B56" s="105"/>
      <c r="C56" s="106"/>
      <c r="D56" s="107"/>
      <c r="E56" s="107" t="s">
        <v>371</v>
      </c>
      <c r="F56" s="27"/>
      <c r="G56" s="107"/>
      <c r="H56" s="27"/>
      <c r="I56" s="107"/>
      <c r="J56" s="27"/>
      <c r="K56" s="107" t="s">
        <v>372</v>
      </c>
      <c r="L56" s="107"/>
      <c r="M56" s="34"/>
      <c r="N56" s="107"/>
      <c r="O56" s="107"/>
      <c r="P56" s="107"/>
    </row>
    <row r="57" spans="1:22" x14ac:dyDescent="0.2">
      <c r="A57" s="110"/>
      <c r="B57" s="110"/>
      <c r="C57" s="111"/>
      <c r="D57" s="112"/>
      <c r="E57" s="112"/>
      <c r="F57" s="112"/>
      <c r="G57" s="112"/>
      <c r="H57" s="112"/>
      <c r="I57" s="112"/>
      <c r="J57" s="112"/>
      <c r="K57" s="112"/>
      <c r="L57" s="112"/>
      <c r="M57" s="113"/>
      <c r="N57" s="112"/>
      <c r="O57" s="112"/>
      <c r="P57" s="112"/>
    </row>
    <row r="58" spans="1:22" x14ac:dyDescent="0.2">
      <c r="C58" s="114"/>
    </row>
  </sheetData>
  <mergeCells count="13">
    <mergeCell ref="N15:P15"/>
    <mergeCell ref="A3:P3"/>
    <mergeCell ref="A4:P4"/>
    <mergeCell ref="C7:C8"/>
    <mergeCell ref="D7:F7"/>
    <mergeCell ref="G7:I7"/>
    <mergeCell ref="J7:L7"/>
    <mergeCell ref="N7:P7"/>
    <mergeCell ref="A15:A16"/>
    <mergeCell ref="C15:C16"/>
    <mergeCell ref="D15:F15"/>
    <mergeCell ref="G15:I15"/>
    <mergeCell ref="J15:L15"/>
  </mergeCells>
  <pageMargins left="0.5" right="0.34" top="0.49" bottom="0.23" header="0.3" footer="0.17"/>
  <pageSetup paperSize="8" scale="8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48E11-FCB5-427B-87AB-CBB72906A97F}">
  <sheetPr>
    <tabColor rgb="FF7030A0"/>
  </sheetPr>
  <dimension ref="A1:Q18"/>
  <sheetViews>
    <sheetView workbookViewId="0"/>
  </sheetViews>
  <sheetFormatPr baseColWidth="10" defaultColWidth="9" defaultRowHeight="15" x14ac:dyDescent="0.2"/>
  <cols>
    <col min="1" max="1" width="12.33203125" style="162" customWidth="1"/>
    <col min="2" max="2" width="9" style="162"/>
    <col min="3" max="4" width="6.33203125" style="162" customWidth="1"/>
    <col min="5" max="5" width="9" style="162"/>
    <col min="6" max="6" width="19.33203125" style="162" customWidth="1"/>
    <col min="7" max="7" width="43.83203125" style="162" customWidth="1"/>
    <col min="8" max="8" width="15.33203125" style="162" customWidth="1"/>
    <col min="9" max="9" width="16.33203125" style="162" bestFit="1" customWidth="1"/>
    <col min="10" max="10" width="6.6640625" style="162" customWidth="1"/>
    <col min="11" max="11" width="13.6640625" style="162" customWidth="1"/>
    <col min="12" max="12" width="9" style="162"/>
    <col min="13" max="13" width="15.83203125" style="162" customWidth="1"/>
    <col min="14" max="14" width="9.83203125" style="162" customWidth="1"/>
    <col min="15" max="15" width="12.6640625" style="162" customWidth="1"/>
    <col min="16" max="16384" width="9" style="162"/>
  </cols>
  <sheetData>
    <row r="1" spans="1:17" ht="16" x14ac:dyDescent="0.2">
      <c r="A1" s="161" t="s">
        <v>411</v>
      </c>
      <c r="G1" s="161" t="s">
        <v>412</v>
      </c>
      <c r="H1" s="162" t="s">
        <v>398</v>
      </c>
      <c r="I1" s="162" t="s">
        <v>399</v>
      </c>
    </row>
    <row r="2" spans="1:17" ht="16" x14ac:dyDescent="0.2">
      <c r="G2" s="161" t="s">
        <v>413</v>
      </c>
      <c r="H2" s="162" t="s">
        <v>400</v>
      </c>
      <c r="I2" s="162" t="s">
        <v>368</v>
      </c>
    </row>
    <row r="3" spans="1:17" ht="16" x14ac:dyDescent="0.2">
      <c r="G3" s="161" t="s">
        <v>414</v>
      </c>
      <c r="H3" s="162" t="s">
        <v>400</v>
      </c>
      <c r="I3" s="162" t="s">
        <v>370</v>
      </c>
    </row>
    <row r="6" spans="1:17" ht="16" x14ac:dyDescent="0.2">
      <c r="A6" s="209" t="s">
        <v>401</v>
      </c>
      <c r="B6" s="209"/>
      <c r="C6" s="209"/>
      <c r="D6" s="209"/>
      <c r="E6" s="209"/>
      <c r="F6" s="209"/>
      <c r="G6" s="209"/>
      <c r="H6" s="209"/>
      <c r="I6" s="209"/>
      <c r="J6" s="210" t="s">
        <v>402</v>
      </c>
      <c r="K6" s="210"/>
      <c r="L6" s="210"/>
      <c r="M6" s="210"/>
      <c r="N6" s="210"/>
      <c r="O6" s="210"/>
    </row>
    <row r="7" spans="1:17" ht="53" x14ac:dyDescent="0.2">
      <c r="A7" s="163"/>
      <c r="B7" s="164" t="s">
        <v>0</v>
      </c>
      <c r="C7" s="165"/>
      <c r="D7" s="164" t="s">
        <v>1</v>
      </c>
      <c r="E7" s="164" t="s">
        <v>2</v>
      </c>
      <c r="F7" s="164" t="s">
        <v>3</v>
      </c>
      <c r="G7" s="164" t="s">
        <v>4</v>
      </c>
      <c r="H7" s="164" t="s">
        <v>5</v>
      </c>
      <c r="I7" s="166" t="s">
        <v>6</v>
      </c>
      <c r="J7" s="163" t="s">
        <v>385</v>
      </c>
      <c r="K7" s="163" t="s">
        <v>403</v>
      </c>
      <c r="L7" s="163" t="s">
        <v>404</v>
      </c>
      <c r="M7" s="163" t="s">
        <v>415</v>
      </c>
      <c r="N7" s="116" t="s">
        <v>479</v>
      </c>
      <c r="O7" s="116" t="s">
        <v>478</v>
      </c>
      <c r="P7" s="168"/>
      <c r="Q7" s="163"/>
    </row>
    <row r="8" spans="1:17" ht="16" x14ac:dyDescent="0.2">
      <c r="A8" s="169"/>
      <c r="B8" s="171" t="s">
        <v>416</v>
      </c>
      <c r="C8" s="171"/>
      <c r="D8" s="171"/>
      <c r="E8" s="171"/>
      <c r="F8" s="171" t="s">
        <v>69</v>
      </c>
      <c r="G8" s="171" t="s">
        <v>417</v>
      </c>
      <c r="H8" s="171" t="s">
        <v>10</v>
      </c>
      <c r="I8" s="179">
        <v>4937166</v>
      </c>
      <c r="J8" s="173"/>
      <c r="K8" s="180">
        <v>4937166</v>
      </c>
      <c r="L8" s="169" t="s">
        <v>418</v>
      </c>
      <c r="M8" s="169" t="s">
        <v>53</v>
      </c>
      <c r="N8" s="169" t="s">
        <v>273</v>
      </c>
      <c r="O8" s="169" t="s">
        <v>370</v>
      </c>
      <c r="P8" s="169"/>
      <c r="Q8" s="169"/>
    </row>
    <row r="9" spans="1:17" ht="16" x14ac:dyDescent="0.2">
      <c r="A9" s="169" t="s">
        <v>13</v>
      </c>
      <c r="B9" s="171" t="s">
        <v>419</v>
      </c>
      <c r="C9" s="171" t="s">
        <v>12</v>
      </c>
      <c r="D9" s="171"/>
      <c r="E9" s="171" t="s">
        <v>8</v>
      </c>
      <c r="F9" s="171" t="s">
        <v>406</v>
      </c>
      <c r="G9" s="171" t="s">
        <v>420</v>
      </c>
      <c r="H9" s="171" t="s">
        <v>10</v>
      </c>
      <c r="I9" s="172">
        <v>10365400</v>
      </c>
      <c r="J9" s="173"/>
      <c r="K9" s="180">
        <v>10365400</v>
      </c>
      <c r="L9" s="169" t="s">
        <v>421</v>
      </c>
      <c r="M9" s="169" t="s">
        <v>53</v>
      </c>
      <c r="N9" s="169" t="s">
        <v>272</v>
      </c>
      <c r="O9" s="169" t="s">
        <v>370</v>
      </c>
      <c r="P9" s="169"/>
      <c r="Q9" s="169"/>
    </row>
    <row r="10" spans="1:17" ht="16" x14ac:dyDescent="0.2">
      <c r="A10" s="169" t="s">
        <v>13</v>
      </c>
      <c r="B10" s="170" t="s">
        <v>422</v>
      </c>
      <c r="C10" s="171" t="s">
        <v>7</v>
      </c>
      <c r="D10" s="171"/>
      <c r="E10" s="171" t="s">
        <v>8</v>
      </c>
      <c r="F10" s="171" t="s">
        <v>423</v>
      </c>
      <c r="G10" s="171" t="s">
        <v>424</v>
      </c>
      <c r="H10" s="171" t="s">
        <v>10</v>
      </c>
      <c r="I10" s="172">
        <v>3560000</v>
      </c>
      <c r="J10" s="173"/>
      <c r="K10" s="180">
        <v>3560000</v>
      </c>
      <c r="L10" s="169" t="s">
        <v>425</v>
      </c>
      <c r="M10" s="169" t="s">
        <v>53</v>
      </c>
      <c r="N10" s="169" t="s">
        <v>272</v>
      </c>
      <c r="O10" s="169" t="s">
        <v>370</v>
      </c>
      <c r="P10" s="169"/>
      <c r="Q10" s="169"/>
    </row>
    <row r="11" spans="1:17" ht="16" x14ac:dyDescent="0.2">
      <c r="A11" s="169" t="s">
        <v>13</v>
      </c>
      <c r="B11" s="170" t="s">
        <v>426</v>
      </c>
      <c r="C11" s="171" t="s">
        <v>12</v>
      </c>
      <c r="D11" s="171"/>
      <c r="E11" s="171" t="s">
        <v>8</v>
      </c>
      <c r="F11" s="171" t="s">
        <v>54</v>
      </c>
      <c r="G11" s="171" t="s">
        <v>427</v>
      </c>
      <c r="H11" s="171" t="s">
        <v>10</v>
      </c>
      <c r="I11" s="172">
        <v>-5000000</v>
      </c>
      <c r="J11" s="173"/>
      <c r="K11" s="180">
        <v>-5000000</v>
      </c>
      <c r="L11" s="169" t="s">
        <v>428</v>
      </c>
      <c r="M11" s="169" t="s">
        <v>53</v>
      </c>
      <c r="N11" s="169" t="s">
        <v>345</v>
      </c>
      <c r="O11" s="169" t="s">
        <v>368</v>
      </c>
      <c r="P11" s="169"/>
      <c r="Q11" s="169"/>
    </row>
    <row r="12" spans="1:17" ht="16" x14ac:dyDescent="0.2">
      <c r="A12" s="169" t="s">
        <v>13</v>
      </c>
      <c r="B12" s="170" t="s">
        <v>426</v>
      </c>
      <c r="C12" s="171" t="s">
        <v>12</v>
      </c>
      <c r="D12" s="171"/>
      <c r="E12" s="171" t="s">
        <v>8</v>
      </c>
      <c r="F12" s="171" t="s">
        <v>27</v>
      </c>
      <c r="G12" s="171" t="s">
        <v>429</v>
      </c>
      <c r="H12" s="171" t="s">
        <v>10</v>
      </c>
      <c r="I12" s="172">
        <v>-5000000</v>
      </c>
      <c r="J12" s="173"/>
      <c r="K12" s="180">
        <v>-5000000</v>
      </c>
      <c r="L12" s="169" t="s">
        <v>428</v>
      </c>
      <c r="M12" s="169" t="s">
        <v>53</v>
      </c>
      <c r="N12" s="169" t="s">
        <v>345</v>
      </c>
      <c r="O12" s="169" t="s">
        <v>368</v>
      </c>
      <c r="P12" s="169"/>
      <c r="Q12" s="169"/>
    </row>
    <row r="13" spans="1:17" ht="16" x14ac:dyDescent="0.2">
      <c r="A13" s="169" t="s">
        <v>13</v>
      </c>
      <c r="B13" s="170" t="s">
        <v>430</v>
      </c>
      <c r="C13" s="171" t="s">
        <v>7</v>
      </c>
      <c r="D13" s="171"/>
      <c r="E13" s="171" t="s">
        <v>8</v>
      </c>
      <c r="F13" s="171" t="s">
        <v>406</v>
      </c>
      <c r="G13" s="171" t="s">
        <v>431</v>
      </c>
      <c r="H13" s="171" t="s">
        <v>10</v>
      </c>
      <c r="I13" s="172">
        <v>3922900</v>
      </c>
      <c r="J13" s="173"/>
      <c r="K13" s="180">
        <v>3922900</v>
      </c>
      <c r="L13" s="169" t="s">
        <v>428</v>
      </c>
      <c r="M13" s="169" t="s">
        <v>53</v>
      </c>
      <c r="N13" s="169" t="s">
        <v>272</v>
      </c>
      <c r="O13" s="169" t="s">
        <v>370</v>
      </c>
      <c r="P13" s="169"/>
      <c r="Q13" s="169"/>
    </row>
    <row r="14" spans="1:17" ht="16" x14ac:dyDescent="0.2">
      <c r="A14" s="169" t="s">
        <v>13</v>
      </c>
      <c r="B14" s="170" t="s">
        <v>432</v>
      </c>
      <c r="C14" s="171" t="s">
        <v>7</v>
      </c>
      <c r="D14" s="171"/>
      <c r="E14" s="171" t="s">
        <v>8</v>
      </c>
      <c r="F14" s="171" t="s">
        <v>433</v>
      </c>
      <c r="G14" s="171" t="s">
        <v>434</v>
      </c>
      <c r="H14" s="171" t="s">
        <v>10</v>
      </c>
      <c r="I14" s="172">
        <v>3190000</v>
      </c>
      <c r="J14" s="173"/>
      <c r="K14" s="180">
        <v>3190000</v>
      </c>
      <c r="L14" s="169" t="s">
        <v>428</v>
      </c>
      <c r="M14" s="169" t="s">
        <v>53</v>
      </c>
      <c r="N14" s="169" t="s">
        <v>272</v>
      </c>
      <c r="O14" s="169" t="s">
        <v>370</v>
      </c>
      <c r="P14" s="169"/>
      <c r="Q14" s="169"/>
    </row>
    <row r="15" spans="1:17" ht="16" x14ac:dyDescent="0.2">
      <c r="A15" s="169" t="s">
        <v>13</v>
      </c>
      <c r="B15" s="170" t="s">
        <v>435</v>
      </c>
      <c r="C15" s="171" t="s">
        <v>7</v>
      </c>
      <c r="D15" s="171"/>
      <c r="E15" s="171" t="s">
        <v>8</v>
      </c>
      <c r="F15" s="171" t="s">
        <v>69</v>
      </c>
      <c r="G15" s="171" t="s">
        <v>436</v>
      </c>
      <c r="H15" s="171" t="s">
        <v>10</v>
      </c>
      <c r="I15" s="172">
        <v>605848</v>
      </c>
      <c r="J15" s="173"/>
      <c r="K15" s="180">
        <v>605848</v>
      </c>
      <c r="L15" s="169" t="s">
        <v>428</v>
      </c>
      <c r="M15" s="169" t="s">
        <v>53</v>
      </c>
      <c r="N15" s="169" t="s">
        <v>273</v>
      </c>
      <c r="O15" s="169" t="s">
        <v>370</v>
      </c>
      <c r="P15" s="169"/>
      <c r="Q15" s="169"/>
    </row>
    <row r="16" spans="1:17" ht="16" x14ac:dyDescent="0.2">
      <c r="A16" s="169" t="s">
        <v>13</v>
      </c>
      <c r="B16" s="170" t="s">
        <v>437</v>
      </c>
      <c r="C16" s="171" t="s">
        <v>12</v>
      </c>
      <c r="D16" s="171"/>
      <c r="E16" s="171" t="s">
        <v>8</v>
      </c>
      <c r="F16" s="171" t="s">
        <v>438</v>
      </c>
      <c r="G16" s="171" t="s">
        <v>439</v>
      </c>
      <c r="H16" s="171" t="s">
        <v>10</v>
      </c>
      <c r="I16" s="172">
        <v>-36650000</v>
      </c>
      <c r="J16" s="173"/>
      <c r="K16" s="180">
        <v>-36650000</v>
      </c>
      <c r="L16" s="169" t="s">
        <v>440</v>
      </c>
      <c r="M16" s="169" t="s">
        <v>53</v>
      </c>
      <c r="N16" s="169" t="s">
        <v>362</v>
      </c>
      <c r="O16" s="169" t="s">
        <v>368</v>
      </c>
      <c r="P16" s="169"/>
      <c r="Q16" s="169"/>
    </row>
    <row r="17" spans="1:17" ht="16" x14ac:dyDescent="0.2">
      <c r="A17" s="169" t="s">
        <v>13</v>
      </c>
      <c r="B17" s="170" t="s">
        <v>441</v>
      </c>
      <c r="C17" s="171" t="s">
        <v>12</v>
      </c>
      <c r="D17" s="171"/>
      <c r="E17" s="171" t="s">
        <v>8</v>
      </c>
      <c r="F17" s="171" t="s">
        <v>22</v>
      </c>
      <c r="G17" s="171" t="s">
        <v>442</v>
      </c>
      <c r="H17" s="171" t="s">
        <v>10</v>
      </c>
      <c r="I17" s="172">
        <v>-5200000</v>
      </c>
      <c r="J17" s="173"/>
      <c r="K17" s="180">
        <v>-5200000</v>
      </c>
      <c r="L17" s="169" t="s">
        <v>407</v>
      </c>
      <c r="M17" s="169" t="s">
        <v>53</v>
      </c>
      <c r="N17" s="169" t="s">
        <v>362</v>
      </c>
      <c r="O17" s="169" t="s">
        <v>368</v>
      </c>
      <c r="P17" s="169"/>
      <c r="Q17" s="169"/>
    </row>
    <row r="18" spans="1:17" s="182" customFormat="1" ht="16" x14ac:dyDescent="0.2">
      <c r="A18" s="174" t="s">
        <v>13</v>
      </c>
      <c r="B18" s="175" t="s">
        <v>11</v>
      </c>
      <c r="C18" s="176" t="s">
        <v>7</v>
      </c>
      <c r="D18" s="176"/>
      <c r="E18" s="176" t="s">
        <v>8</v>
      </c>
      <c r="F18" s="176" t="s">
        <v>51</v>
      </c>
      <c r="G18" s="176" t="s">
        <v>52</v>
      </c>
      <c r="H18" s="176" t="s">
        <v>10</v>
      </c>
      <c r="I18" s="177">
        <v>318150</v>
      </c>
      <c r="J18" s="178"/>
      <c r="K18" s="181">
        <v>318150</v>
      </c>
      <c r="L18" s="174" t="s">
        <v>397</v>
      </c>
      <c r="M18" s="174" t="s">
        <v>53</v>
      </c>
      <c r="N18" s="174" t="s">
        <v>272</v>
      </c>
      <c r="O18" s="174" t="s">
        <v>370</v>
      </c>
      <c r="P18" s="174"/>
      <c r="Q18" s="174"/>
    </row>
  </sheetData>
  <mergeCells count="2">
    <mergeCell ref="A6:I6"/>
    <mergeCell ref="J6:O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4A312-7B93-4EC9-A4EF-5A5C0542F9D5}">
  <sheetPr>
    <tabColor rgb="FF7030A0"/>
  </sheetPr>
  <dimension ref="A1:O43"/>
  <sheetViews>
    <sheetView workbookViewId="0"/>
  </sheetViews>
  <sheetFormatPr baseColWidth="10" defaultColWidth="8.83203125" defaultRowHeight="15" x14ac:dyDescent="0.2"/>
  <cols>
    <col min="1" max="6" width="8.83203125" style="162"/>
    <col min="7" max="7" width="59.33203125" style="162" customWidth="1"/>
    <col min="8" max="8" width="13.33203125" style="162" customWidth="1"/>
    <col min="9" max="9" width="17.33203125" style="162" bestFit="1" customWidth="1"/>
    <col min="10" max="10" width="4.33203125" style="162" customWidth="1"/>
    <col min="11" max="11" width="17.6640625" style="162" bestFit="1" customWidth="1"/>
    <col min="12" max="12" width="8.83203125" style="162"/>
    <col min="13" max="13" width="13.33203125" style="162" customWidth="1"/>
    <col min="14" max="14" width="12.1640625" style="162" customWidth="1"/>
    <col min="15" max="16384" width="8.83203125" style="162"/>
  </cols>
  <sheetData>
    <row r="1" spans="1:15" ht="16" x14ac:dyDescent="0.2">
      <c r="A1" s="161" t="s">
        <v>443</v>
      </c>
      <c r="G1" s="161" t="s">
        <v>412</v>
      </c>
      <c r="H1" s="162" t="s">
        <v>398</v>
      </c>
      <c r="I1" s="162" t="s">
        <v>399</v>
      </c>
    </row>
    <row r="2" spans="1:15" ht="16" x14ac:dyDescent="0.2">
      <c r="G2" s="161" t="s">
        <v>444</v>
      </c>
      <c r="H2" s="162" t="s">
        <v>400</v>
      </c>
      <c r="I2" s="162" t="s">
        <v>445</v>
      </c>
    </row>
    <row r="3" spans="1:15" ht="16" x14ac:dyDescent="0.2">
      <c r="G3" s="161"/>
    </row>
    <row r="7" spans="1:15" ht="16" x14ac:dyDescent="0.2">
      <c r="A7" s="209" t="s">
        <v>401</v>
      </c>
      <c r="B7" s="209"/>
      <c r="C7" s="209"/>
      <c r="D7" s="209"/>
      <c r="E7" s="209"/>
      <c r="F7" s="209"/>
      <c r="G7" s="209"/>
      <c r="H7" s="209"/>
      <c r="I7" s="209"/>
      <c r="J7" s="210" t="s">
        <v>402</v>
      </c>
      <c r="K7" s="210"/>
      <c r="L7" s="210"/>
      <c r="M7" s="210"/>
      <c r="N7" s="210"/>
      <c r="O7" s="210"/>
    </row>
    <row r="8" spans="1:15" ht="92" x14ac:dyDescent="0.2">
      <c r="A8" s="163"/>
      <c r="B8" s="164" t="s">
        <v>0</v>
      </c>
      <c r="C8" s="165"/>
      <c r="D8" s="164" t="s">
        <v>1</v>
      </c>
      <c r="E8" s="164" t="s">
        <v>2</v>
      </c>
      <c r="F8" s="164" t="s">
        <v>3</v>
      </c>
      <c r="G8" s="164" t="s">
        <v>4</v>
      </c>
      <c r="H8" s="164" t="s">
        <v>5</v>
      </c>
      <c r="I8" s="166" t="s">
        <v>6</v>
      </c>
      <c r="J8" s="167" t="s">
        <v>385</v>
      </c>
      <c r="K8" s="167" t="s">
        <v>403</v>
      </c>
      <c r="L8" s="163" t="s">
        <v>404</v>
      </c>
      <c r="M8" s="163" t="s">
        <v>415</v>
      </c>
      <c r="N8" s="116" t="s">
        <v>479</v>
      </c>
      <c r="O8" s="116" t="s">
        <v>478</v>
      </c>
    </row>
    <row r="9" spans="1:15" ht="16" x14ac:dyDescent="0.2">
      <c r="A9" s="169" t="s">
        <v>13</v>
      </c>
      <c r="B9" s="170" t="s">
        <v>446</v>
      </c>
      <c r="C9" s="171" t="s">
        <v>12</v>
      </c>
      <c r="D9" s="171"/>
      <c r="E9" s="171" t="s">
        <v>8</v>
      </c>
      <c r="F9" s="171" t="s">
        <v>28</v>
      </c>
      <c r="G9" s="171" t="s">
        <v>447</v>
      </c>
      <c r="H9" s="171" t="s">
        <v>10</v>
      </c>
      <c r="I9" s="183">
        <v>-5414000</v>
      </c>
      <c r="J9" s="184"/>
      <c r="K9" s="185">
        <v>-5414000</v>
      </c>
      <c r="L9" s="169" t="s">
        <v>407</v>
      </c>
      <c r="M9" s="169" t="s">
        <v>25</v>
      </c>
      <c r="N9" s="169" t="s">
        <v>271</v>
      </c>
      <c r="O9" s="169" t="s">
        <v>177</v>
      </c>
    </row>
    <row r="10" spans="1:15" ht="16" x14ac:dyDescent="0.2">
      <c r="A10" s="169" t="s">
        <v>13</v>
      </c>
      <c r="B10" s="170" t="s">
        <v>446</v>
      </c>
      <c r="C10" s="171" t="s">
        <v>12</v>
      </c>
      <c r="D10" s="171"/>
      <c r="E10" s="171" t="s">
        <v>8</v>
      </c>
      <c r="F10" s="171" t="s">
        <v>29</v>
      </c>
      <c r="G10" s="171" t="s">
        <v>448</v>
      </c>
      <c r="H10" s="171" t="s">
        <v>10</v>
      </c>
      <c r="I10" s="183">
        <v>-756000</v>
      </c>
      <c r="J10" s="184"/>
      <c r="K10" s="185">
        <v>-756000</v>
      </c>
      <c r="L10" s="169" t="s">
        <v>407</v>
      </c>
      <c r="M10" s="169" t="s">
        <v>25</v>
      </c>
      <c r="N10" s="169" t="s">
        <v>271</v>
      </c>
      <c r="O10" s="169" t="s">
        <v>177</v>
      </c>
    </row>
    <row r="11" spans="1:15" ht="16" x14ac:dyDescent="0.2">
      <c r="A11" s="169" t="s">
        <v>13</v>
      </c>
      <c r="B11" s="170" t="s">
        <v>446</v>
      </c>
      <c r="C11" s="171" t="s">
        <v>12</v>
      </c>
      <c r="D11" s="171"/>
      <c r="E11" s="171" t="s">
        <v>8</v>
      </c>
      <c r="F11" s="171" t="s">
        <v>55</v>
      </c>
      <c r="G11" s="171" t="s">
        <v>449</v>
      </c>
      <c r="H11" s="171" t="s">
        <v>10</v>
      </c>
      <c r="I11" s="183">
        <v>-1200000</v>
      </c>
      <c r="J11" s="184"/>
      <c r="K11" s="185">
        <v>-1200000</v>
      </c>
      <c r="L11" s="169" t="s">
        <v>407</v>
      </c>
      <c r="M11" s="169" t="s">
        <v>25</v>
      </c>
      <c r="N11" s="169" t="s">
        <v>271</v>
      </c>
      <c r="O11" s="169" t="s">
        <v>177</v>
      </c>
    </row>
    <row r="12" spans="1:15" ht="16" x14ac:dyDescent="0.2">
      <c r="A12" s="169" t="s">
        <v>13</v>
      </c>
      <c r="B12" s="170" t="s">
        <v>446</v>
      </c>
      <c r="C12" s="171" t="s">
        <v>12</v>
      </c>
      <c r="D12" s="171"/>
      <c r="E12" s="171" t="s">
        <v>8</v>
      </c>
      <c r="F12" s="171" t="s">
        <v>55</v>
      </c>
      <c r="G12" s="171" t="s">
        <v>450</v>
      </c>
      <c r="H12" s="171" t="s">
        <v>10</v>
      </c>
      <c r="I12" s="183">
        <v>-9105000</v>
      </c>
      <c r="J12" s="184"/>
      <c r="K12" s="185">
        <v>-9105000</v>
      </c>
      <c r="L12" s="169" t="s">
        <v>407</v>
      </c>
      <c r="M12" s="169" t="s">
        <v>25</v>
      </c>
      <c r="N12" s="169" t="s">
        <v>271</v>
      </c>
      <c r="O12" s="169" t="s">
        <v>177</v>
      </c>
    </row>
    <row r="13" spans="1:15" ht="16" x14ac:dyDescent="0.2">
      <c r="A13" s="169" t="s">
        <v>13</v>
      </c>
      <c r="B13" s="170" t="s">
        <v>446</v>
      </c>
      <c r="C13" s="171" t="s">
        <v>12</v>
      </c>
      <c r="D13" s="171"/>
      <c r="E13" s="171" t="s">
        <v>8</v>
      </c>
      <c r="F13" s="171" t="s">
        <v>49</v>
      </c>
      <c r="G13" s="171" t="s">
        <v>451</v>
      </c>
      <c r="H13" s="171" t="s">
        <v>10</v>
      </c>
      <c r="I13" s="183">
        <v>-2121658</v>
      </c>
      <c r="J13" s="184"/>
      <c r="K13" s="185">
        <v>-2121658</v>
      </c>
      <c r="L13" s="169" t="s">
        <v>407</v>
      </c>
      <c r="M13" s="169" t="s">
        <v>25</v>
      </c>
      <c r="N13" s="169" t="s">
        <v>271</v>
      </c>
      <c r="O13" s="169" t="s">
        <v>177</v>
      </c>
    </row>
    <row r="14" spans="1:15" ht="16" x14ac:dyDescent="0.2">
      <c r="A14" s="169" t="s">
        <v>13</v>
      </c>
      <c r="B14" s="170" t="s">
        <v>452</v>
      </c>
      <c r="C14" s="171" t="s">
        <v>7</v>
      </c>
      <c r="D14" s="171"/>
      <c r="E14" s="171" t="s">
        <v>8</v>
      </c>
      <c r="F14" s="171" t="s">
        <v>453</v>
      </c>
      <c r="G14" s="171" t="s">
        <v>454</v>
      </c>
      <c r="H14" s="171" t="s">
        <v>10</v>
      </c>
      <c r="I14" s="183">
        <v>23617800</v>
      </c>
      <c r="J14" s="184"/>
      <c r="K14" s="185">
        <v>23617800</v>
      </c>
      <c r="L14" s="169" t="s">
        <v>407</v>
      </c>
      <c r="M14" s="169" t="s">
        <v>25</v>
      </c>
      <c r="N14" s="169" t="s">
        <v>362</v>
      </c>
      <c r="O14" s="169" t="s">
        <v>188</v>
      </c>
    </row>
    <row r="15" spans="1:15" ht="16" x14ac:dyDescent="0.2">
      <c r="A15" s="169" t="s">
        <v>13</v>
      </c>
      <c r="B15" s="170" t="s">
        <v>452</v>
      </c>
      <c r="C15" s="171" t="s">
        <v>7</v>
      </c>
      <c r="D15" s="171"/>
      <c r="E15" s="171" t="s">
        <v>8</v>
      </c>
      <c r="F15" s="171" t="s">
        <v>455</v>
      </c>
      <c r="G15" s="171" t="s">
        <v>456</v>
      </c>
      <c r="H15" s="171" t="s">
        <v>10</v>
      </c>
      <c r="I15" s="183">
        <v>6600000</v>
      </c>
      <c r="J15" s="184"/>
      <c r="K15" s="185">
        <v>6600000</v>
      </c>
      <c r="L15" s="169" t="s">
        <v>407</v>
      </c>
      <c r="M15" s="169" t="s">
        <v>25</v>
      </c>
      <c r="N15" s="169" t="s">
        <v>362</v>
      </c>
      <c r="O15" s="169" t="s">
        <v>188</v>
      </c>
    </row>
    <row r="16" spans="1:15" ht="16" x14ac:dyDescent="0.2">
      <c r="A16" s="169" t="s">
        <v>13</v>
      </c>
      <c r="B16" s="170" t="s">
        <v>452</v>
      </c>
      <c r="C16" s="171" t="s">
        <v>7</v>
      </c>
      <c r="D16" s="171"/>
      <c r="E16" s="171" t="s">
        <v>8</v>
      </c>
      <c r="F16" s="171" t="s">
        <v>457</v>
      </c>
      <c r="G16" s="171" t="s">
        <v>458</v>
      </c>
      <c r="H16" s="171" t="s">
        <v>10</v>
      </c>
      <c r="I16" s="183">
        <v>10030000</v>
      </c>
      <c r="J16" s="184"/>
      <c r="K16" s="185">
        <v>10030000</v>
      </c>
      <c r="L16" s="169" t="s">
        <v>407</v>
      </c>
      <c r="M16" s="169" t="s">
        <v>25</v>
      </c>
      <c r="N16" s="169" t="s">
        <v>362</v>
      </c>
      <c r="O16" s="169" t="s">
        <v>188</v>
      </c>
    </row>
    <row r="17" spans="1:15" ht="16" x14ac:dyDescent="0.2">
      <c r="A17" s="169" t="s">
        <v>13</v>
      </c>
      <c r="B17" s="170" t="s">
        <v>405</v>
      </c>
      <c r="C17" s="171" t="s">
        <v>12</v>
      </c>
      <c r="D17" s="171"/>
      <c r="E17" s="171" t="s">
        <v>8</v>
      </c>
      <c r="F17" s="171" t="s">
        <v>459</v>
      </c>
      <c r="G17" s="171" t="s">
        <v>460</v>
      </c>
      <c r="H17" s="171" t="s">
        <v>10</v>
      </c>
      <c r="I17" s="183">
        <v>-4133600</v>
      </c>
      <c r="J17" s="184"/>
      <c r="K17" s="185">
        <v>-4133600</v>
      </c>
      <c r="L17" s="169" t="s">
        <v>407</v>
      </c>
      <c r="M17" s="169" t="s">
        <v>25</v>
      </c>
      <c r="N17" s="169" t="s">
        <v>271</v>
      </c>
      <c r="O17" s="169" t="s">
        <v>177</v>
      </c>
    </row>
    <row r="18" spans="1:15" ht="16" x14ac:dyDescent="0.2">
      <c r="A18" s="169" t="s">
        <v>13</v>
      </c>
      <c r="B18" s="170" t="s">
        <v>405</v>
      </c>
      <c r="C18" s="171" t="s">
        <v>7</v>
      </c>
      <c r="D18" s="171"/>
      <c r="E18" s="171" t="s">
        <v>8</v>
      </c>
      <c r="F18" s="171" t="s">
        <v>408</v>
      </c>
      <c r="G18" s="171" t="s">
        <v>461</v>
      </c>
      <c r="H18" s="171" t="s">
        <v>10</v>
      </c>
      <c r="I18" s="183">
        <v>9548800</v>
      </c>
      <c r="J18" s="184"/>
      <c r="K18" s="185">
        <v>9548800</v>
      </c>
      <c r="L18" s="169" t="s">
        <v>407</v>
      </c>
      <c r="M18" s="169" t="s">
        <v>25</v>
      </c>
      <c r="N18" s="169" t="s">
        <v>272</v>
      </c>
      <c r="O18" s="169" t="s">
        <v>177</v>
      </c>
    </row>
    <row r="19" spans="1:15" ht="16" x14ac:dyDescent="0.2">
      <c r="A19" s="169" t="s">
        <v>13</v>
      </c>
      <c r="B19" s="170" t="s">
        <v>405</v>
      </c>
      <c r="C19" s="171" t="s">
        <v>7</v>
      </c>
      <c r="D19" s="171"/>
      <c r="E19" s="171" t="s">
        <v>8</v>
      </c>
      <c r="F19" s="171" t="s">
        <v>409</v>
      </c>
      <c r="G19" s="171" t="s">
        <v>462</v>
      </c>
      <c r="H19" s="171" t="s">
        <v>10</v>
      </c>
      <c r="I19" s="183">
        <v>2006000</v>
      </c>
      <c r="J19" s="184"/>
      <c r="K19" s="185">
        <v>2006000</v>
      </c>
      <c r="L19" s="169" t="s">
        <v>407</v>
      </c>
      <c r="M19" s="169" t="s">
        <v>25</v>
      </c>
      <c r="N19" s="169" t="s">
        <v>272</v>
      </c>
      <c r="O19" s="169" t="s">
        <v>177</v>
      </c>
    </row>
    <row r="20" spans="1:15" ht="16" x14ac:dyDescent="0.2">
      <c r="A20" s="169" t="s">
        <v>13</v>
      </c>
      <c r="B20" s="170" t="s">
        <v>405</v>
      </c>
      <c r="C20" s="171" t="s">
        <v>7</v>
      </c>
      <c r="D20" s="171"/>
      <c r="E20" s="171" t="s">
        <v>8</v>
      </c>
      <c r="F20" s="171" t="s">
        <v>406</v>
      </c>
      <c r="G20" s="171" t="s">
        <v>463</v>
      </c>
      <c r="H20" s="171" t="s">
        <v>10</v>
      </c>
      <c r="I20" s="183">
        <v>5676254</v>
      </c>
      <c r="J20" s="184"/>
      <c r="K20" s="185">
        <v>5676254</v>
      </c>
      <c r="L20" s="169" t="s">
        <v>407</v>
      </c>
      <c r="M20" s="169" t="s">
        <v>25</v>
      </c>
      <c r="N20" s="169" t="s">
        <v>272</v>
      </c>
      <c r="O20" s="169" t="s">
        <v>177</v>
      </c>
    </row>
    <row r="21" spans="1:15" ht="16" x14ac:dyDescent="0.2">
      <c r="A21" s="169" t="s">
        <v>13</v>
      </c>
      <c r="B21" s="170" t="s">
        <v>410</v>
      </c>
      <c r="C21" s="171" t="s">
        <v>12</v>
      </c>
      <c r="D21" s="171"/>
      <c r="E21" s="171" t="s">
        <v>8</v>
      </c>
      <c r="F21" s="171" t="s">
        <v>55</v>
      </c>
      <c r="G21" s="171" t="s">
        <v>464</v>
      </c>
      <c r="H21" s="171" t="s">
        <v>10</v>
      </c>
      <c r="I21" s="183">
        <v>-23052040</v>
      </c>
      <c r="J21" s="184"/>
      <c r="K21" s="185">
        <v>-23052040</v>
      </c>
      <c r="L21" s="169" t="s">
        <v>407</v>
      </c>
      <c r="M21" s="169" t="s">
        <v>25</v>
      </c>
      <c r="N21" s="169" t="s">
        <v>362</v>
      </c>
      <c r="O21" s="169" t="s">
        <v>188</v>
      </c>
    </row>
    <row r="22" spans="1:15" ht="16" x14ac:dyDescent="0.2">
      <c r="A22" s="169" t="s">
        <v>13</v>
      </c>
      <c r="B22" s="170" t="s">
        <v>410</v>
      </c>
      <c r="C22" s="171" t="s">
        <v>12</v>
      </c>
      <c r="D22" s="171"/>
      <c r="E22" s="171" t="s">
        <v>8</v>
      </c>
      <c r="F22" s="171" t="s">
        <v>408</v>
      </c>
      <c r="G22" s="171" t="s">
        <v>465</v>
      </c>
      <c r="H22" s="171" t="s">
        <v>10</v>
      </c>
      <c r="I22" s="183">
        <v>-9548800</v>
      </c>
      <c r="J22" s="184"/>
      <c r="K22" s="185">
        <v>-9548800</v>
      </c>
      <c r="L22" s="169" t="s">
        <v>407</v>
      </c>
      <c r="M22" s="169" t="s">
        <v>25</v>
      </c>
      <c r="N22" s="169" t="s">
        <v>272</v>
      </c>
      <c r="O22" s="169" t="s">
        <v>370</v>
      </c>
    </row>
    <row r="23" spans="1:15" ht="16" x14ac:dyDescent="0.2">
      <c r="A23" s="169" t="s">
        <v>13</v>
      </c>
      <c r="B23" s="170" t="s">
        <v>71</v>
      </c>
      <c r="C23" s="171" t="s">
        <v>12</v>
      </c>
      <c r="D23" s="171"/>
      <c r="E23" s="171" t="s">
        <v>8</v>
      </c>
      <c r="F23" s="171" t="s">
        <v>32</v>
      </c>
      <c r="G23" s="171" t="s">
        <v>466</v>
      </c>
      <c r="H23" s="171" t="s">
        <v>10</v>
      </c>
      <c r="I23" s="183">
        <v>-172878150</v>
      </c>
      <c r="J23" s="184"/>
      <c r="K23" s="185">
        <v>-172878150</v>
      </c>
      <c r="L23" s="169" t="s">
        <v>407</v>
      </c>
      <c r="M23" s="169" t="s">
        <v>25</v>
      </c>
      <c r="N23" s="169" t="s">
        <v>362</v>
      </c>
      <c r="O23" s="169" t="s">
        <v>104</v>
      </c>
    </row>
    <row r="24" spans="1:15" ht="16" x14ac:dyDescent="0.2">
      <c r="A24" s="169" t="s">
        <v>13</v>
      </c>
      <c r="B24" s="170" t="s">
        <v>467</v>
      </c>
      <c r="C24" s="171" t="s">
        <v>12</v>
      </c>
      <c r="D24" s="171"/>
      <c r="E24" s="171" t="s">
        <v>8</v>
      </c>
      <c r="F24" s="171" t="s">
        <v>457</v>
      </c>
      <c r="G24" s="171" t="s">
        <v>468</v>
      </c>
      <c r="H24" s="171" t="s">
        <v>10</v>
      </c>
      <c r="I24" s="183">
        <v>-10030000</v>
      </c>
      <c r="J24" s="184"/>
      <c r="K24" s="185">
        <v>-10030000</v>
      </c>
      <c r="L24" s="169" t="s">
        <v>407</v>
      </c>
      <c r="M24" s="169" t="s">
        <v>25</v>
      </c>
      <c r="N24" s="169" t="s">
        <v>362</v>
      </c>
      <c r="O24" s="169" t="s">
        <v>188</v>
      </c>
    </row>
    <row r="25" spans="1:15" ht="16" x14ac:dyDescent="0.2">
      <c r="A25" s="169" t="s">
        <v>13</v>
      </c>
      <c r="B25" s="170" t="s">
        <v>467</v>
      </c>
      <c r="C25" s="171" t="s">
        <v>12</v>
      </c>
      <c r="D25" s="171"/>
      <c r="E25" s="171" t="s">
        <v>8</v>
      </c>
      <c r="F25" s="171" t="s">
        <v>453</v>
      </c>
      <c r="G25" s="171" t="s">
        <v>469</v>
      </c>
      <c r="H25" s="171" t="s">
        <v>10</v>
      </c>
      <c r="I25" s="183">
        <v>-23617800</v>
      </c>
      <c r="J25" s="184"/>
      <c r="K25" s="185">
        <v>-23617800</v>
      </c>
      <c r="L25" s="169" t="s">
        <v>407</v>
      </c>
      <c r="M25" s="169" t="s">
        <v>25</v>
      </c>
      <c r="N25" s="169" t="s">
        <v>362</v>
      </c>
      <c r="O25" s="169" t="s">
        <v>188</v>
      </c>
    </row>
    <row r="26" spans="1:15" ht="16" x14ac:dyDescent="0.2">
      <c r="A26" s="169" t="s">
        <v>13</v>
      </c>
      <c r="B26" s="170" t="s">
        <v>467</v>
      </c>
      <c r="C26" s="171" t="s">
        <v>12</v>
      </c>
      <c r="D26" s="171"/>
      <c r="E26" s="171" t="s">
        <v>8</v>
      </c>
      <c r="F26" s="171" t="s">
        <v>455</v>
      </c>
      <c r="G26" s="171" t="s">
        <v>470</v>
      </c>
      <c r="H26" s="171" t="s">
        <v>10</v>
      </c>
      <c r="I26" s="183">
        <v>-6600000</v>
      </c>
      <c r="J26" s="184"/>
      <c r="K26" s="185">
        <v>-6600000</v>
      </c>
      <c r="L26" s="169" t="s">
        <v>407</v>
      </c>
      <c r="M26" s="169" t="s">
        <v>25</v>
      </c>
      <c r="N26" s="169" t="s">
        <v>362</v>
      </c>
      <c r="O26" s="169" t="s">
        <v>188</v>
      </c>
    </row>
    <row r="27" spans="1:15" ht="16" x14ac:dyDescent="0.2">
      <c r="A27" s="169" t="s">
        <v>13</v>
      </c>
      <c r="B27" s="170" t="s">
        <v>467</v>
      </c>
      <c r="C27" s="171" t="s">
        <v>12</v>
      </c>
      <c r="D27" s="171"/>
      <c r="E27" s="171" t="s">
        <v>8</v>
      </c>
      <c r="F27" s="171" t="s">
        <v>406</v>
      </c>
      <c r="G27" s="171" t="s">
        <v>471</v>
      </c>
      <c r="H27" s="171" t="s">
        <v>10</v>
      </c>
      <c r="I27" s="183">
        <v>-5676254</v>
      </c>
      <c r="J27" s="184"/>
      <c r="K27" s="185">
        <v>-5676254</v>
      </c>
      <c r="L27" s="169" t="s">
        <v>407</v>
      </c>
      <c r="M27" s="169" t="s">
        <v>25</v>
      </c>
      <c r="N27" s="169" t="s">
        <v>272</v>
      </c>
      <c r="O27" s="169" t="s">
        <v>370</v>
      </c>
    </row>
    <row r="28" spans="1:15" ht="16" x14ac:dyDescent="0.2">
      <c r="A28" s="169" t="s">
        <v>13</v>
      </c>
      <c r="B28" s="170" t="s">
        <v>467</v>
      </c>
      <c r="C28" s="171" t="s">
        <v>12</v>
      </c>
      <c r="D28" s="171"/>
      <c r="E28" s="171" t="s">
        <v>8</v>
      </c>
      <c r="F28" s="171" t="s">
        <v>409</v>
      </c>
      <c r="G28" s="171" t="s">
        <v>472</v>
      </c>
      <c r="H28" s="171" t="s">
        <v>10</v>
      </c>
      <c r="I28" s="183">
        <v>-2006000</v>
      </c>
      <c r="J28" s="184"/>
      <c r="K28" s="185">
        <v>-2006000</v>
      </c>
      <c r="L28" s="169" t="s">
        <v>407</v>
      </c>
      <c r="M28" s="169" t="s">
        <v>25</v>
      </c>
      <c r="N28" s="169" t="s">
        <v>272</v>
      </c>
      <c r="O28" s="169" t="s">
        <v>370</v>
      </c>
    </row>
    <row r="29" spans="1:15" ht="16" x14ac:dyDescent="0.2">
      <c r="A29" s="169" t="s">
        <v>13</v>
      </c>
      <c r="B29" s="170" t="s">
        <v>467</v>
      </c>
      <c r="C29" s="171" t="s">
        <v>7</v>
      </c>
      <c r="D29" s="171"/>
      <c r="E29" s="171" t="s">
        <v>8</v>
      </c>
      <c r="F29" s="171" t="s">
        <v>438</v>
      </c>
      <c r="G29" s="171" t="s">
        <v>473</v>
      </c>
      <c r="H29" s="171" t="s">
        <v>10</v>
      </c>
      <c r="I29" s="183">
        <v>556152</v>
      </c>
      <c r="J29" s="184"/>
      <c r="K29" s="185">
        <v>556152</v>
      </c>
      <c r="L29" s="169" t="s">
        <v>407</v>
      </c>
      <c r="M29" s="169" t="s">
        <v>25</v>
      </c>
      <c r="N29" s="169" t="s">
        <v>362</v>
      </c>
      <c r="O29" s="169" t="s">
        <v>188</v>
      </c>
    </row>
    <row r="30" spans="1:15" ht="16" x14ac:dyDescent="0.2">
      <c r="A30" s="169" t="s">
        <v>13</v>
      </c>
      <c r="B30" s="170" t="s">
        <v>441</v>
      </c>
      <c r="C30" s="171" t="s">
        <v>12</v>
      </c>
      <c r="D30" s="171"/>
      <c r="E30" s="171" t="s">
        <v>8</v>
      </c>
      <c r="F30" s="171" t="s">
        <v>438</v>
      </c>
      <c r="G30" s="171" t="s">
        <v>474</v>
      </c>
      <c r="H30" s="171" t="s">
        <v>10</v>
      </c>
      <c r="I30" s="183">
        <v>-556152</v>
      </c>
      <c r="J30" s="184"/>
      <c r="K30" s="185">
        <v>-556152</v>
      </c>
      <c r="L30" s="169" t="s">
        <v>407</v>
      </c>
      <c r="M30" s="169" t="s">
        <v>25</v>
      </c>
      <c r="N30" s="169" t="s">
        <v>362</v>
      </c>
      <c r="O30" s="169" t="s">
        <v>188</v>
      </c>
    </row>
    <row r="31" spans="1:15" ht="16" x14ac:dyDescent="0.2">
      <c r="A31" s="169" t="s">
        <v>13</v>
      </c>
      <c r="B31" s="170" t="s">
        <v>73</v>
      </c>
      <c r="C31" s="171" t="s">
        <v>12</v>
      </c>
      <c r="D31" s="171"/>
      <c r="E31" s="171" t="s">
        <v>8</v>
      </c>
      <c r="F31" s="171" t="s">
        <v>58</v>
      </c>
      <c r="G31" s="171" t="s">
        <v>475</v>
      </c>
      <c r="H31" s="171" t="s">
        <v>10</v>
      </c>
      <c r="I31" s="183">
        <v>-220566311</v>
      </c>
      <c r="J31" s="184"/>
      <c r="K31" s="185">
        <v>-220566311</v>
      </c>
      <c r="L31" s="169" t="s">
        <v>407</v>
      </c>
      <c r="M31" s="169" t="s">
        <v>25</v>
      </c>
      <c r="N31" s="169" t="s">
        <v>362</v>
      </c>
      <c r="O31" s="169" t="s">
        <v>104</v>
      </c>
    </row>
    <row r="32" spans="1:15" ht="16" x14ac:dyDescent="0.2">
      <c r="A32" s="169" t="s">
        <v>13</v>
      </c>
      <c r="B32" s="170" t="s">
        <v>73</v>
      </c>
      <c r="C32" s="171" t="s">
        <v>7</v>
      </c>
      <c r="D32" s="171"/>
      <c r="E32" s="171" t="s">
        <v>8</v>
      </c>
      <c r="F32" s="171" t="s">
        <v>23</v>
      </c>
      <c r="G32" s="171" t="s">
        <v>476</v>
      </c>
      <c r="H32" s="171" t="s">
        <v>10</v>
      </c>
      <c r="I32" s="183">
        <v>19850000</v>
      </c>
      <c r="J32" s="184"/>
      <c r="K32" s="185">
        <v>19850000</v>
      </c>
      <c r="L32" s="169" t="s">
        <v>407</v>
      </c>
      <c r="M32" s="169" t="s">
        <v>25</v>
      </c>
      <c r="N32" s="169" t="s">
        <v>273</v>
      </c>
      <c r="O32" s="169" t="s">
        <v>368</v>
      </c>
    </row>
    <row r="33" spans="1:15" s="182" customFormat="1" ht="16" x14ac:dyDescent="0.2">
      <c r="A33" s="174" t="s">
        <v>13</v>
      </c>
      <c r="B33" s="175" t="s">
        <v>14</v>
      </c>
      <c r="C33" s="176" t="s">
        <v>12</v>
      </c>
      <c r="D33" s="176"/>
      <c r="E33" s="176" t="s">
        <v>8</v>
      </c>
      <c r="F33" s="176" t="s">
        <v>23</v>
      </c>
      <c r="G33" s="176" t="s">
        <v>24</v>
      </c>
      <c r="H33" s="176" t="s">
        <v>10</v>
      </c>
      <c r="I33" s="186">
        <v>-19850000</v>
      </c>
      <c r="J33" s="187"/>
      <c r="K33" s="188">
        <v>-19850000</v>
      </c>
      <c r="L33" s="174" t="s">
        <v>397</v>
      </c>
      <c r="M33" s="174" t="s">
        <v>25</v>
      </c>
      <c r="N33" s="174" t="s">
        <v>273</v>
      </c>
      <c r="O33" s="174" t="s">
        <v>368</v>
      </c>
    </row>
    <row r="34" spans="1:15" s="182" customFormat="1" ht="16" x14ac:dyDescent="0.2">
      <c r="A34" s="174" t="s">
        <v>13</v>
      </c>
      <c r="B34" s="175" t="s">
        <v>31</v>
      </c>
      <c r="C34" s="176" t="s">
        <v>12</v>
      </c>
      <c r="D34" s="176"/>
      <c r="E34" s="176" t="s">
        <v>8</v>
      </c>
      <c r="F34" s="176" t="s">
        <v>32</v>
      </c>
      <c r="G34" s="176" t="s">
        <v>33</v>
      </c>
      <c r="H34" s="176" t="s">
        <v>10</v>
      </c>
      <c r="I34" s="186">
        <v>-135542771</v>
      </c>
      <c r="J34" s="187"/>
      <c r="K34" s="188">
        <v>-135542771</v>
      </c>
      <c r="L34" s="174" t="s">
        <v>397</v>
      </c>
      <c r="M34" s="174" t="s">
        <v>25</v>
      </c>
      <c r="N34" s="174" t="s">
        <v>362</v>
      </c>
      <c r="O34" s="174" t="s">
        <v>104</v>
      </c>
    </row>
    <row r="35" spans="1:15" s="182" customFormat="1" ht="16" x14ac:dyDescent="0.2">
      <c r="A35" s="174" t="s">
        <v>13</v>
      </c>
      <c r="B35" s="175" t="s">
        <v>34</v>
      </c>
      <c r="C35" s="176" t="s">
        <v>12</v>
      </c>
      <c r="D35" s="176"/>
      <c r="E35" s="176" t="s">
        <v>8</v>
      </c>
      <c r="F35" s="176" t="s">
        <v>35</v>
      </c>
      <c r="G35" s="176" t="s">
        <v>36</v>
      </c>
      <c r="H35" s="176" t="s">
        <v>10</v>
      </c>
      <c r="I35" s="186">
        <v>-34015328</v>
      </c>
      <c r="J35" s="187"/>
      <c r="K35" s="188">
        <v>-34015328</v>
      </c>
      <c r="L35" s="174" t="s">
        <v>397</v>
      </c>
      <c r="M35" s="174" t="s">
        <v>25</v>
      </c>
      <c r="N35" s="174" t="s">
        <v>273</v>
      </c>
      <c r="O35" s="174" t="s">
        <v>104</v>
      </c>
    </row>
    <row r="36" spans="1:15" s="182" customFormat="1" ht="16" x14ac:dyDescent="0.2">
      <c r="A36" s="174" t="s">
        <v>13</v>
      </c>
      <c r="B36" s="175" t="s">
        <v>34</v>
      </c>
      <c r="C36" s="176" t="s">
        <v>12</v>
      </c>
      <c r="D36" s="176"/>
      <c r="E36" s="176" t="s">
        <v>8</v>
      </c>
      <c r="F36" s="176" t="s">
        <v>37</v>
      </c>
      <c r="G36" s="176" t="s">
        <v>38</v>
      </c>
      <c r="H36" s="176" t="s">
        <v>10</v>
      </c>
      <c r="I36" s="186">
        <v>-34495941</v>
      </c>
      <c r="J36" s="187"/>
      <c r="K36" s="188">
        <v>-34495941</v>
      </c>
      <c r="L36" s="174" t="s">
        <v>397</v>
      </c>
      <c r="M36" s="174" t="s">
        <v>25</v>
      </c>
      <c r="N36" s="174" t="s">
        <v>272</v>
      </c>
      <c r="O36" s="174" t="s">
        <v>104</v>
      </c>
    </row>
    <row r="37" spans="1:15" s="182" customFormat="1" ht="16" x14ac:dyDescent="0.2">
      <c r="A37" s="174" t="s">
        <v>13</v>
      </c>
      <c r="B37" s="175" t="s">
        <v>34</v>
      </c>
      <c r="C37" s="176" t="s">
        <v>12</v>
      </c>
      <c r="D37" s="176"/>
      <c r="E37" s="176" t="s">
        <v>8</v>
      </c>
      <c r="F37" s="176" t="s">
        <v>39</v>
      </c>
      <c r="G37" s="176" t="s">
        <v>40</v>
      </c>
      <c r="H37" s="176" t="s">
        <v>10</v>
      </c>
      <c r="I37" s="186">
        <v>-35222457</v>
      </c>
      <c r="J37" s="187"/>
      <c r="K37" s="188">
        <v>-35222457</v>
      </c>
      <c r="L37" s="174" t="s">
        <v>397</v>
      </c>
      <c r="M37" s="174" t="s">
        <v>25</v>
      </c>
      <c r="N37" s="174" t="s">
        <v>273</v>
      </c>
      <c r="O37" s="174" t="s">
        <v>104</v>
      </c>
    </row>
    <row r="38" spans="1:15" s="182" customFormat="1" ht="16" x14ac:dyDescent="0.2">
      <c r="A38" s="174" t="s">
        <v>13</v>
      </c>
      <c r="B38" s="175" t="s">
        <v>34</v>
      </c>
      <c r="C38" s="176" t="s">
        <v>12</v>
      </c>
      <c r="D38" s="176"/>
      <c r="E38" s="176" t="s">
        <v>8</v>
      </c>
      <c r="F38" s="176" t="s">
        <v>41</v>
      </c>
      <c r="G38" s="176" t="s">
        <v>42</v>
      </c>
      <c r="H38" s="176" t="s">
        <v>10</v>
      </c>
      <c r="I38" s="186">
        <v>-34363735</v>
      </c>
      <c r="J38" s="187"/>
      <c r="K38" s="188">
        <v>-34363735</v>
      </c>
      <c r="L38" s="174" t="s">
        <v>397</v>
      </c>
      <c r="M38" s="174" t="s">
        <v>25</v>
      </c>
      <c r="N38" s="174" t="s">
        <v>272</v>
      </c>
      <c r="O38" s="174" t="s">
        <v>104</v>
      </c>
    </row>
    <row r="39" spans="1:15" s="182" customFormat="1" ht="16" x14ac:dyDescent="0.2">
      <c r="A39" s="174" t="s">
        <v>13</v>
      </c>
      <c r="B39" s="175" t="s">
        <v>34</v>
      </c>
      <c r="C39" s="176" t="s">
        <v>12</v>
      </c>
      <c r="D39" s="176"/>
      <c r="E39" s="176" t="s">
        <v>8</v>
      </c>
      <c r="F39" s="176" t="s">
        <v>43</v>
      </c>
      <c r="G39" s="176" t="s">
        <v>44</v>
      </c>
      <c r="H39" s="176" t="s">
        <v>10</v>
      </c>
      <c r="I39" s="186">
        <v>-34009634</v>
      </c>
      <c r="J39" s="187"/>
      <c r="K39" s="188">
        <v>-34009634</v>
      </c>
      <c r="L39" s="174" t="s">
        <v>397</v>
      </c>
      <c r="M39" s="174" t="s">
        <v>25</v>
      </c>
      <c r="N39" s="174" t="s">
        <v>272</v>
      </c>
      <c r="O39" s="174" t="s">
        <v>104</v>
      </c>
    </row>
    <row r="40" spans="1:15" s="182" customFormat="1" ht="16" x14ac:dyDescent="0.2">
      <c r="A40" s="174" t="s">
        <v>13</v>
      </c>
      <c r="B40" s="175" t="s">
        <v>34</v>
      </c>
      <c r="C40" s="176" t="s">
        <v>12</v>
      </c>
      <c r="D40" s="176"/>
      <c r="E40" s="176" t="s">
        <v>8</v>
      </c>
      <c r="F40" s="176" t="s">
        <v>45</v>
      </c>
      <c r="G40" s="176" t="s">
        <v>46</v>
      </c>
      <c r="H40" s="176" t="s">
        <v>10</v>
      </c>
      <c r="I40" s="186">
        <v>-34497956</v>
      </c>
      <c r="J40" s="187"/>
      <c r="K40" s="188">
        <v>-34497956</v>
      </c>
      <c r="L40" s="174" t="s">
        <v>397</v>
      </c>
      <c r="M40" s="174" t="s">
        <v>25</v>
      </c>
      <c r="N40" s="174" t="s">
        <v>273</v>
      </c>
      <c r="O40" s="174" t="s">
        <v>104</v>
      </c>
    </row>
    <row r="41" spans="1:15" s="182" customFormat="1" ht="16" x14ac:dyDescent="0.2">
      <c r="A41" s="174" t="s">
        <v>13</v>
      </c>
      <c r="B41" s="175" t="s">
        <v>34</v>
      </c>
      <c r="C41" s="176" t="s">
        <v>12</v>
      </c>
      <c r="D41" s="176"/>
      <c r="E41" s="176" t="s">
        <v>8</v>
      </c>
      <c r="F41" s="176" t="s">
        <v>47</v>
      </c>
      <c r="G41" s="176" t="s">
        <v>48</v>
      </c>
      <c r="H41" s="176" t="s">
        <v>10</v>
      </c>
      <c r="I41" s="186">
        <v>-34476523</v>
      </c>
      <c r="J41" s="187"/>
      <c r="K41" s="188">
        <v>-34476523</v>
      </c>
      <c r="L41" s="174" t="s">
        <v>397</v>
      </c>
      <c r="M41" s="174" t="s">
        <v>25</v>
      </c>
      <c r="N41" s="174" t="s">
        <v>273</v>
      </c>
      <c r="O41" s="174" t="s">
        <v>104</v>
      </c>
    </row>
    <row r="42" spans="1:15" s="182" customFormat="1" ht="16" x14ac:dyDescent="0.2">
      <c r="A42" s="174" t="s">
        <v>13</v>
      </c>
      <c r="B42" s="175" t="s">
        <v>34</v>
      </c>
      <c r="C42" s="176" t="s">
        <v>12</v>
      </c>
      <c r="D42" s="176"/>
      <c r="E42" s="176" t="s">
        <v>8</v>
      </c>
      <c r="F42" s="176" t="s">
        <v>49</v>
      </c>
      <c r="G42" s="176" t="s">
        <v>50</v>
      </c>
      <c r="H42" s="176" t="s">
        <v>10</v>
      </c>
      <c r="I42" s="186">
        <v>-33918426</v>
      </c>
      <c r="J42" s="187"/>
      <c r="K42" s="188">
        <v>-33918426</v>
      </c>
      <c r="L42" s="174" t="s">
        <v>397</v>
      </c>
      <c r="M42" s="174" t="s">
        <v>25</v>
      </c>
      <c r="N42" s="174" t="s">
        <v>272</v>
      </c>
      <c r="O42" s="174" t="s">
        <v>104</v>
      </c>
    </row>
    <row r="43" spans="1:15" s="182" customFormat="1" ht="16" x14ac:dyDescent="0.2">
      <c r="A43" s="174" t="s">
        <v>13</v>
      </c>
      <c r="B43" s="175" t="s">
        <v>57</v>
      </c>
      <c r="C43" s="176" t="s">
        <v>12</v>
      </c>
      <c r="D43" s="176"/>
      <c r="E43" s="176" t="s">
        <v>8</v>
      </c>
      <c r="F43" s="176" t="s">
        <v>58</v>
      </c>
      <c r="G43" s="176" t="s">
        <v>59</v>
      </c>
      <c r="H43" s="176" t="s">
        <v>10</v>
      </c>
      <c r="I43" s="186">
        <v>-229617511</v>
      </c>
      <c r="J43" s="187"/>
      <c r="K43" s="188">
        <v>-229617511</v>
      </c>
      <c r="L43" s="174" t="s">
        <v>397</v>
      </c>
      <c r="M43" s="174" t="s">
        <v>25</v>
      </c>
      <c r="N43" s="174" t="s">
        <v>362</v>
      </c>
      <c r="O43" s="174" t="s">
        <v>104</v>
      </c>
    </row>
  </sheetData>
  <mergeCells count="2">
    <mergeCell ref="A7:I7"/>
    <mergeCell ref="J7:O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D09FB-6FD6-4F8B-AC43-B53F5A7E2782}">
  <sheetPr>
    <tabColor rgb="FF7030A0"/>
  </sheetPr>
  <dimension ref="A1:P8"/>
  <sheetViews>
    <sheetView workbookViewId="0"/>
  </sheetViews>
  <sheetFormatPr baseColWidth="10" defaultColWidth="9" defaultRowHeight="15" x14ac:dyDescent="0.2"/>
  <cols>
    <col min="1" max="6" width="9" style="162"/>
    <col min="7" max="7" width="48.6640625" style="162" customWidth="1"/>
    <col min="8" max="8" width="11.6640625" style="162" customWidth="1"/>
    <col min="9" max="9" width="17.33203125" style="162" bestFit="1" customWidth="1"/>
    <col min="10" max="10" width="14.83203125" style="162" customWidth="1"/>
    <col min="11" max="11" width="17.6640625" style="162" bestFit="1" customWidth="1"/>
    <col min="12" max="12" width="9" style="162"/>
    <col min="13" max="13" width="12.33203125" style="162" customWidth="1"/>
    <col min="14" max="14" width="16" style="162" customWidth="1"/>
    <col min="15" max="15" width="9" style="162" bestFit="1" customWidth="1"/>
    <col min="16" max="16384" width="9" style="162"/>
  </cols>
  <sheetData>
    <row r="1" spans="1:16" ht="16" x14ac:dyDescent="0.2">
      <c r="A1" s="161" t="s">
        <v>477</v>
      </c>
      <c r="G1" s="161" t="s">
        <v>412</v>
      </c>
      <c r="H1" s="162" t="s">
        <v>398</v>
      </c>
      <c r="I1" s="162" t="s">
        <v>399</v>
      </c>
    </row>
    <row r="2" spans="1:16" ht="16" x14ac:dyDescent="0.2">
      <c r="G2" s="161" t="s">
        <v>444</v>
      </c>
      <c r="H2" s="162" t="s">
        <v>400</v>
      </c>
      <c r="I2" s="162" t="s">
        <v>445</v>
      </c>
    </row>
    <row r="4" spans="1:16" ht="16" x14ac:dyDescent="0.2">
      <c r="A4" s="209" t="s">
        <v>401</v>
      </c>
      <c r="B4" s="209"/>
      <c r="C4" s="209"/>
      <c r="D4" s="209"/>
      <c r="E4" s="209"/>
      <c r="F4" s="209"/>
      <c r="G4" s="209"/>
      <c r="H4" s="209"/>
      <c r="I4" s="209"/>
      <c r="J4" s="210" t="s">
        <v>402</v>
      </c>
      <c r="K4" s="210"/>
      <c r="L4" s="210"/>
      <c r="M4" s="210"/>
      <c r="N4" s="210"/>
      <c r="O4" s="210"/>
    </row>
    <row r="5" spans="1:16" ht="92" x14ac:dyDescent="0.2">
      <c r="A5" s="163"/>
      <c r="B5" s="164" t="s">
        <v>0</v>
      </c>
      <c r="C5" s="165"/>
      <c r="D5" s="164" t="s">
        <v>1</v>
      </c>
      <c r="E5" s="164" t="s">
        <v>2</v>
      </c>
      <c r="F5" s="164" t="s">
        <v>3</v>
      </c>
      <c r="G5" s="164" t="s">
        <v>4</v>
      </c>
      <c r="H5" s="164" t="s">
        <v>5</v>
      </c>
      <c r="I5" s="166" t="s">
        <v>6</v>
      </c>
      <c r="J5" s="163" t="s">
        <v>385</v>
      </c>
      <c r="K5" s="163" t="s">
        <v>403</v>
      </c>
      <c r="L5" s="163" t="s">
        <v>404</v>
      </c>
      <c r="M5" s="163" t="s">
        <v>415</v>
      </c>
      <c r="N5" s="116" t="s">
        <v>479</v>
      </c>
      <c r="O5" s="116" t="s">
        <v>478</v>
      </c>
      <c r="P5" s="168"/>
    </row>
    <row r="6" spans="1:16" ht="16" x14ac:dyDescent="0.2">
      <c r="A6" s="169" t="s">
        <v>13</v>
      </c>
      <c r="B6" s="170" t="s">
        <v>14</v>
      </c>
      <c r="C6" s="171" t="s">
        <v>12</v>
      </c>
      <c r="D6" s="171"/>
      <c r="E6" s="171" t="s">
        <v>8</v>
      </c>
      <c r="F6" s="171" t="s">
        <v>15</v>
      </c>
      <c r="G6" s="171" t="s">
        <v>16</v>
      </c>
      <c r="H6" s="171" t="s">
        <v>10</v>
      </c>
      <c r="I6" s="183">
        <v>-33993540</v>
      </c>
      <c r="J6" s="184"/>
      <c r="K6" s="185">
        <v>-33993540</v>
      </c>
      <c r="L6" s="169" t="s">
        <v>397</v>
      </c>
      <c r="M6" s="169" t="s">
        <v>17</v>
      </c>
      <c r="N6" s="169" t="s">
        <v>276</v>
      </c>
      <c r="O6" s="169" t="s">
        <v>177</v>
      </c>
      <c r="P6" s="169"/>
    </row>
    <row r="7" spans="1:16" ht="16" x14ac:dyDescent="0.2">
      <c r="A7" s="169" t="s">
        <v>13</v>
      </c>
      <c r="B7" s="170" t="s">
        <v>14</v>
      </c>
      <c r="C7" s="171" t="s">
        <v>12</v>
      </c>
      <c r="D7" s="171"/>
      <c r="E7" s="171" t="s">
        <v>8</v>
      </c>
      <c r="F7" s="171" t="s">
        <v>18</v>
      </c>
      <c r="G7" s="171" t="s">
        <v>19</v>
      </c>
      <c r="H7" s="171" t="s">
        <v>10</v>
      </c>
      <c r="I7" s="183">
        <v>-168825600</v>
      </c>
      <c r="J7" s="184"/>
      <c r="K7" s="185">
        <v>-168825600</v>
      </c>
      <c r="L7" s="169" t="s">
        <v>397</v>
      </c>
      <c r="M7" s="169" t="s">
        <v>17</v>
      </c>
      <c r="N7" s="169" t="s">
        <v>276</v>
      </c>
      <c r="O7" s="169" t="s">
        <v>177</v>
      </c>
      <c r="P7" s="169"/>
    </row>
    <row r="8" spans="1:16" ht="16" x14ac:dyDescent="0.2">
      <c r="A8" s="169" t="s">
        <v>13</v>
      </c>
      <c r="B8" s="170" t="s">
        <v>14</v>
      </c>
      <c r="C8" s="171" t="s">
        <v>12</v>
      </c>
      <c r="D8" s="171"/>
      <c r="E8" s="171" t="s">
        <v>8</v>
      </c>
      <c r="F8" s="171" t="s">
        <v>20</v>
      </c>
      <c r="G8" s="171" t="s">
        <v>21</v>
      </c>
      <c r="H8" s="171" t="s">
        <v>10</v>
      </c>
      <c r="I8" s="183">
        <v>-179000000</v>
      </c>
      <c r="J8" s="184"/>
      <c r="K8" s="185">
        <v>-179000000</v>
      </c>
      <c r="L8" s="169" t="s">
        <v>397</v>
      </c>
      <c r="M8" s="169" t="s">
        <v>17</v>
      </c>
      <c r="N8" s="169" t="s">
        <v>276</v>
      </c>
      <c r="O8" s="169" t="s">
        <v>177</v>
      </c>
      <c r="P8" s="169"/>
    </row>
  </sheetData>
  <mergeCells count="2">
    <mergeCell ref="A4:I4"/>
    <mergeCell ref="J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A9F42-3B10-401D-AC42-82BC02ADBF19}">
  <dimension ref="A1:I152"/>
  <sheetViews>
    <sheetView tabSelected="1" zoomScaleNormal="100" workbookViewId="0">
      <pane xSplit="7" ySplit="5" topLeftCell="H6" activePane="bottomRight" state="frozen"/>
      <selection pane="topRight" activeCell="H1" sqref="H1"/>
      <selection pane="bottomLeft" activeCell="A6" sqref="A6"/>
      <selection pane="bottomRight" activeCell="N96" sqref="N96"/>
    </sheetView>
  </sheetViews>
  <sheetFormatPr baseColWidth="10" defaultColWidth="8.83203125" defaultRowHeight="15" outlineLevelCol="1" x14ac:dyDescent="0.2"/>
  <cols>
    <col min="1" max="1" width="11.6640625" style="9" customWidth="1"/>
    <col min="2" max="2" width="19.5" style="8" customWidth="1"/>
    <col min="3" max="3" width="45.33203125" style="9" hidden="1" customWidth="1" outlineLevel="1"/>
    <col min="4" max="4" width="14.5" style="9" hidden="1" customWidth="1" outlineLevel="1"/>
    <col min="5" max="5" width="23.83203125" style="9" hidden="1" customWidth="1" outlineLevel="1"/>
    <col min="6" max="6" width="7.6640625" style="9" hidden="1" customWidth="1" outlineLevel="1"/>
    <col min="7" max="7" width="16.1640625" style="9" hidden="1" customWidth="1" outlineLevel="1"/>
    <col min="8" max="8" width="8.83203125" style="9" collapsed="1"/>
    <col min="9" max="16384" width="8.83203125" style="9"/>
  </cols>
  <sheetData>
    <row r="1" spans="1:8" ht="18" x14ac:dyDescent="0.2">
      <c r="A1" s="7" t="s">
        <v>92</v>
      </c>
    </row>
    <row r="2" spans="1:8" ht="18" x14ac:dyDescent="0.2">
      <c r="A2" s="7" t="s">
        <v>93</v>
      </c>
    </row>
    <row r="3" spans="1:8" x14ac:dyDescent="0.2">
      <c r="A3" s="10" t="s">
        <v>94</v>
      </c>
    </row>
    <row r="5" spans="1:8" ht="27" x14ac:dyDescent="0.2">
      <c r="B5" s="11" t="s">
        <v>95</v>
      </c>
      <c r="C5" s="12" t="s">
        <v>5</v>
      </c>
      <c r="D5" s="13" t="s">
        <v>96</v>
      </c>
      <c r="E5" s="13" t="s">
        <v>97</v>
      </c>
      <c r="F5" s="13" t="s">
        <v>98</v>
      </c>
      <c r="G5" s="13" t="s">
        <v>99</v>
      </c>
      <c r="H5" s="14"/>
    </row>
    <row r="6" spans="1:8" x14ac:dyDescent="0.2">
      <c r="B6" s="15" t="s">
        <v>100</v>
      </c>
      <c r="C6" s="16" t="s">
        <v>101</v>
      </c>
      <c r="D6" s="17" t="s">
        <v>102</v>
      </c>
      <c r="E6" s="17" t="s">
        <v>103</v>
      </c>
      <c r="F6" s="17"/>
      <c r="G6" s="17"/>
      <c r="H6" s="14" t="s">
        <v>334</v>
      </c>
    </row>
    <row r="7" spans="1:8" x14ac:dyDescent="0.2">
      <c r="B7" s="15" t="s">
        <v>105</v>
      </c>
      <c r="C7" s="16" t="s">
        <v>106</v>
      </c>
      <c r="D7" s="17" t="s">
        <v>102</v>
      </c>
      <c r="E7" s="17" t="s">
        <v>103</v>
      </c>
      <c r="F7" s="17"/>
      <c r="G7" s="17"/>
      <c r="H7" s="14" t="s">
        <v>334</v>
      </c>
    </row>
    <row r="8" spans="1:8" x14ac:dyDescent="0.2">
      <c r="B8" s="15" t="s">
        <v>107</v>
      </c>
      <c r="C8" s="16" t="s">
        <v>108</v>
      </c>
      <c r="D8" s="17" t="s">
        <v>102</v>
      </c>
      <c r="E8" s="17" t="s">
        <v>103</v>
      </c>
      <c r="F8" s="17"/>
      <c r="G8" s="17"/>
      <c r="H8" s="14" t="s">
        <v>334</v>
      </c>
    </row>
    <row r="9" spans="1:8" x14ac:dyDescent="0.2">
      <c r="B9" s="15" t="s">
        <v>109</v>
      </c>
      <c r="C9" s="16" t="s">
        <v>110</v>
      </c>
      <c r="D9" s="17" t="s">
        <v>102</v>
      </c>
      <c r="E9" s="17" t="s">
        <v>103</v>
      </c>
      <c r="F9" s="17"/>
      <c r="G9" s="17"/>
      <c r="H9" s="14" t="s">
        <v>334</v>
      </c>
    </row>
    <row r="10" spans="1:8" x14ac:dyDescent="0.2">
      <c r="B10" s="15" t="s">
        <v>111</v>
      </c>
      <c r="C10" s="16" t="s">
        <v>112</v>
      </c>
      <c r="D10" s="17" t="s">
        <v>102</v>
      </c>
      <c r="E10" s="17" t="s">
        <v>103</v>
      </c>
      <c r="F10" s="17"/>
      <c r="G10" s="17"/>
      <c r="H10" s="14" t="s">
        <v>334</v>
      </c>
    </row>
    <row r="11" spans="1:8" x14ac:dyDescent="0.2">
      <c r="B11" s="15" t="s">
        <v>113</v>
      </c>
      <c r="C11" s="16" t="s">
        <v>114</v>
      </c>
      <c r="D11" s="17" t="s">
        <v>102</v>
      </c>
      <c r="E11" s="17" t="s">
        <v>103</v>
      </c>
      <c r="F11" s="17"/>
      <c r="G11" s="17"/>
      <c r="H11" s="14" t="s">
        <v>334</v>
      </c>
    </row>
    <row r="12" spans="1:8" x14ac:dyDescent="0.2">
      <c r="B12" s="15" t="s">
        <v>115</v>
      </c>
      <c r="C12" s="16" t="s">
        <v>116</v>
      </c>
      <c r="D12" s="17" t="s">
        <v>102</v>
      </c>
      <c r="E12" s="17" t="s">
        <v>103</v>
      </c>
      <c r="F12" s="17"/>
      <c r="G12" s="17"/>
      <c r="H12" s="14" t="s">
        <v>334</v>
      </c>
    </row>
    <row r="13" spans="1:8" x14ac:dyDescent="0.2">
      <c r="B13" s="15" t="s">
        <v>117</v>
      </c>
      <c r="C13" s="16" t="s">
        <v>118</v>
      </c>
      <c r="D13" s="17" t="s">
        <v>102</v>
      </c>
      <c r="E13" s="17" t="s">
        <v>103</v>
      </c>
      <c r="F13" s="17"/>
      <c r="G13" s="17"/>
      <c r="H13" s="14" t="s">
        <v>334</v>
      </c>
    </row>
    <row r="14" spans="1:8" x14ac:dyDescent="0.2">
      <c r="B14" s="15" t="s">
        <v>119</v>
      </c>
      <c r="C14" s="16" t="s">
        <v>120</v>
      </c>
      <c r="D14" s="17" t="s">
        <v>102</v>
      </c>
      <c r="E14" s="17" t="s">
        <v>103</v>
      </c>
      <c r="F14" s="17"/>
      <c r="G14" s="17"/>
      <c r="H14" s="14" t="s">
        <v>334</v>
      </c>
    </row>
    <row r="15" spans="1:8" x14ac:dyDescent="0.2">
      <c r="B15" s="15" t="s">
        <v>121</v>
      </c>
      <c r="C15" s="16" t="s">
        <v>122</v>
      </c>
      <c r="D15" s="17" t="s">
        <v>102</v>
      </c>
      <c r="E15" s="17" t="s">
        <v>103</v>
      </c>
      <c r="F15" s="17"/>
      <c r="G15" s="17"/>
      <c r="H15" s="14" t="s">
        <v>334</v>
      </c>
    </row>
    <row r="16" spans="1:8" x14ac:dyDescent="0.2">
      <c r="B16" s="15" t="s">
        <v>123</v>
      </c>
      <c r="C16" s="16" t="s">
        <v>124</v>
      </c>
      <c r="D16" s="17" t="s">
        <v>102</v>
      </c>
      <c r="E16" s="17" t="s">
        <v>103</v>
      </c>
      <c r="F16" s="17"/>
      <c r="G16" s="17"/>
      <c r="H16" s="14" t="s">
        <v>334</v>
      </c>
    </row>
    <row r="17" spans="2:8" x14ac:dyDescent="0.2">
      <c r="B17" s="15" t="s">
        <v>125</v>
      </c>
      <c r="C17" s="16" t="s">
        <v>126</v>
      </c>
      <c r="D17" s="17" t="s">
        <v>102</v>
      </c>
      <c r="E17" s="17" t="s">
        <v>103</v>
      </c>
      <c r="F17" s="17"/>
      <c r="G17" s="17"/>
      <c r="H17" s="14" t="s">
        <v>334</v>
      </c>
    </row>
    <row r="18" spans="2:8" x14ac:dyDescent="0.2">
      <c r="B18" s="15" t="s">
        <v>127</v>
      </c>
      <c r="C18" s="16" t="s">
        <v>128</v>
      </c>
      <c r="D18" s="17" t="s">
        <v>102</v>
      </c>
      <c r="E18" s="17" t="s">
        <v>103</v>
      </c>
      <c r="F18" s="17"/>
      <c r="G18" s="17"/>
      <c r="H18" s="14" t="s">
        <v>334</v>
      </c>
    </row>
    <row r="19" spans="2:8" x14ac:dyDescent="0.2">
      <c r="B19" s="15" t="s">
        <v>129</v>
      </c>
      <c r="C19" s="16" t="s">
        <v>130</v>
      </c>
      <c r="D19" s="17" t="s">
        <v>102</v>
      </c>
      <c r="E19" s="17" t="s">
        <v>103</v>
      </c>
      <c r="F19" s="17"/>
      <c r="G19" s="17"/>
      <c r="H19" s="14" t="s">
        <v>334</v>
      </c>
    </row>
    <row r="20" spans="2:8" x14ac:dyDescent="0.2">
      <c r="B20" s="15" t="s">
        <v>131</v>
      </c>
      <c r="C20" s="16" t="s">
        <v>132</v>
      </c>
      <c r="D20" s="17" t="s">
        <v>102</v>
      </c>
      <c r="E20" s="17" t="s">
        <v>103</v>
      </c>
      <c r="F20" s="17"/>
      <c r="G20" s="17"/>
      <c r="H20" s="14" t="s">
        <v>334</v>
      </c>
    </row>
    <row r="21" spans="2:8" x14ac:dyDescent="0.2">
      <c r="B21" s="15" t="s">
        <v>133</v>
      </c>
      <c r="C21" s="16" t="s">
        <v>134</v>
      </c>
      <c r="D21" s="17" t="s">
        <v>102</v>
      </c>
      <c r="E21" s="17" t="s">
        <v>103</v>
      </c>
      <c r="F21" s="17"/>
      <c r="G21" s="17"/>
      <c r="H21" s="14" t="s">
        <v>334</v>
      </c>
    </row>
    <row r="22" spans="2:8" x14ac:dyDescent="0.2">
      <c r="B22" s="15" t="s">
        <v>135</v>
      </c>
      <c r="C22" s="16" t="s">
        <v>136</v>
      </c>
      <c r="D22" s="17" t="s">
        <v>102</v>
      </c>
      <c r="E22" s="17" t="s">
        <v>103</v>
      </c>
      <c r="F22" s="17"/>
      <c r="G22" s="17"/>
      <c r="H22" s="14" t="s">
        <v>334</v>
      </c>
    </row>
    <row r="23" spans="2:8" x14ac:dyDescent="0.2">
      <c r="B23" s="15" t="s">
        <v>137</v>
      </c>
      <c r="C23" s="16" t="s">
        <v>138</v>
      </c>
      <c r="D23" s="17" t="s">
        <v>102</v>
      </c>
      <c r="E23" s="17" t="s">
        <v>103</v>
      </c>
      <c r="F23" s="17"/>
      <c r="G23" s="17"/>
      <c r="H23" s="14" t="s">
        <v>334</v>
      </c>
    </row>
    <row r="24" spans="2:8" x14ac:dyDescent="0.2">
      <c r="B24" s="15" t="s">
        <v>139</v>
      </c>
      <c r="C24" s="16" t="s">
        <v>140</v>
      </c>
      <c r="D24" s="17" t="s">
        <v>102</v>
      </c>
      <c r="E24" s="17" t="s">
        <v>103</v>
      </c>
      <c r="F24" s="17"/>
      <c r="G24" s="17"/>
      <c r="H24" s="14" t="s">
        <v>334</v>
      </c>
    </row>
    <row r="25" spans="2:8" x14ac:dyDescent="0.2">
      <c r="B25" s="15" t="s">
        <v>141</v>
      </c>
      <c r="C25" s="16" t="s">
        <v>142</v>
      </c>
      <c r="D25" s="17" t="s">
        <v>102</v>
      </c>
      <c r="E25" s="17" t="s">
        <v>103</v>
      </c>
      <c r="F25" s="17"/>
      <c r="G25" s="17"/>
      <c r="H25" s="14" t="s">
        <v>334</v>
      </c>
    </row>
    <row r="26" spans="2:8" x14ac:dyDescent="0.2">
      <c r="B26" s="15" t="s">
        <v>143</v>
      </c>
      <c r="C26" s="16" t="s">
        <v>144</v>
      </c>
      <c r="D26" s="17" t="s">
        <v>102</v>
      </c>
      <c r="E26" s="17" t="s">
        <v>103</v>
      </c>
      <c r="F26" s="17"/>
      <c r="G26" s="17"/>
      <c r="H26" s="14" t="s">
        <v>334</v>
      </c>
    </row>
    <row r="27" spans="2:8" x14ac:dyDescent="0.2">
      <c r="B27" s="15" t="s">
        <v>145</v>
      </c>
      <c r="C27" s="16" t="s">
        <v>146</v>
      </c>
      <c r="D27" s="17" t="s">
        <v>102</v>
      </c>
      <c r="E27" s="17" t="s">
        <v>103</v>
      </c>
      <c r="F27" s="17"/>
      <c r="G27" s="17"/>
      <c r="H27" s="14" t="s">
        <v>334</v>
      </c>
    </row>
    <row r="28" spans="2:8" x14ac:dyDescent="0.2">
      <c r="B28" s="15" t="s">
        <v>147</v>
      </c>
      <c r="C28" s="16" t="s">
        <v>148</v>
      </c>
      <c r="D28" s="17" t="s">
        <v>102</v>
      </c>
      <c r="E28" s="17" t="s">
        <v>103</v>
      </c>
      <c r="F28" s="17"/>
      <c r="G28" s="17"/>
      <c r="H28" s="14" t="s">
        <v>334</v>
      </c>
    </row>
    <row r="29" spans="2:8" x14ac:dyDescent="0.2">
      <c r="B29" s="15" t="s">
        <v>149</v>
      </c>
      <c r="C29" s="16" t="s">
        <v>150</v>
      </c>
      <c r="D29" s="17" t="s">
        <v>102</v>
      </c>
      <c r="E29" s="17" t="s">
        <v>103</v>
      </c>
      <c r="F29" s="17"/>
      <c r="G29" s="17"/>
      <c r="H29" s="14" t="s">
        <v>334</v>
      </c>
    </row>
    <row r="30" spans="2:8" x14ac:dyDescent="0.2">
      <c r="B30" s="15" t="s">
        <v>151</v>
      </c>
      <c r="C30" s="16" t="s">
        <v>152</v>
      </c>
      <c r="D30" s="17" t="s">
        <v>102</v>
      </c>
      <c r="E30" s="17" t="s">
        <v>103</v>
      </c>
      <c r="F30" s="17"/>
      <c r="G30" s="17"/>
      <c r="H30" s="14" t="s">
        <v>334</v>
      </c>
    </row>
    <row r="31" spans="2:8" x14ac:dyDescent="0.2">
      <c r="B31" s="15" t="s">
        <v>153</v>
      </c>
      <c r="C31" s="16" t="s">
        <v>154</v>
      </c>
      <c r="D31" s="17" t="s">
        <v>102</v>
      </c>
      <c r="E31" s="17" t="s">
        <v>103</v>
      </c>
      <c r="F31" s="17"/>
      <c r="G31" s="17"/>
      <c r="H31" s="14" t="s">
        <v>334</v>
      </c>
    </row>
    <row r="32" spans="2:8" x14ac:dyDescent="0.2">
      <c r="B32" s="15" t="s">
        <v>155</v>
      </c>
      <c r="C32" s="16" t="s">
        <v>156</v>
      </c>
      <c r="D32" s="17" t="s">
        <v>102</v>
      </c>
      <c r="E32" s="17" t="s">
        <v>103</v>
      </c>
      <c r="F32" s="17"/>
      <c r="G32" s="17"/>
      <c r="H32" s="14" t="s">
        <v>334</v>
      </c>
    </row>
    <row r="33" spans="2:8" x14ac:dyDescent="0.2">
      <c r="B33" s="15" t="s">
        <v>157</v>
      </c>
      <c r="C33" s="16" t="s">
        <v>158</v>
      </c>
      <c r="D33" s="17" t="s">
        <v>102</v>
      </c>
      <c r="E33" s="17" t="s">
        <v>103</v>
      </c>
      <c r="F33" s="17"/>
      <c r="G33" s="17"/>
      <c r="H33" s="14" t="s">
        <v>334</v>
      </c>
    </row>
    <row r="34" spans="2:8" x14ac:dyDescent="0.2">
      <c r="B34" s="15" t="s">
        <v>159</v>
      </c>
      <c r="C34" s="16" t="s">
        <v>160</v>
      </c>
      <c r="D34" s="17" t="s">
        <v>102</v>
      </c>
      <c r="E34" s="17" t="s">
        <v>103</v>
      </c>
      <c r="F34" s="17"/>
      <c r="G34" s="17"/>
      <c r="H34" s="14" t="s">
        <v>334</v>
      </c>
    </row>
    <row r="35" spans="2:8" x14ac:dyDescent="0.2">
      <c r="B35" s="15" t="s">
        <v>161</v>
      </c>
      <c r="C35" s="16" t="s">
        <v>162</v>
      </c>
      <c r="D35" s="17" t="s">
        <v>102</v>
      </c>
      <c r="E35" s="17" t="s">
        <v>103</v>
      </c>
      <c r="F35" s="17"/>
      <c r="G35" s="17"/>
      <c r="H35" s="14" t="s">
        <v>334</v>
      </c>
    </row>
    <row r="36" spans="2:8" x14ac:dyDescent="0.2">
      <c r="B36" s="15" t="s">
        <v>163</v>
      </c>
      <c r="C36" s="16" t="s">
        <v>164</v>
      </c>
      <c r="D36" s="17" t="s">
        <v>102</v>
      </c>
      <c r="E36" s="17" t="s">
        <v>103</v>
      </c>
      <c r="F36" s="17"/>
      <c r="G36" s="17"/>
      <c r="H36" s="14" t="s">
        <v>334</v>
      </c>
    </row>
    <row r="37" spans="2:8" x14ac:dyDescent="0.2">
      <c r="B37" s="15" t="s">
        <v>165</v>
      </c>
      <c r="C37" s="16" t="s">
        <v>166</v>
      </c>
      <c r="D37" s="17" t="s">
        <v>102</v>
      </c>
      <c r="E37" s="17" t="s">
        <v>103</v>
      </c>
      <c r="F37" s="17"/>
      <c r="G37" s="17"/>
      <c r="H37" s="14" t="s">
        <v>334</v>
      </c>
    </row>
    <row r="38" spans="2:8" x14ac:dyDescent="0.2">
      <c r="B38" s="15" t="s">
        <v>167</v>
      </c>
      <c r="C38" s="16" t="s">
        <v>168</v>
      </c>
      <c r="D38" s="17" t="s">
        <v>102</v>
      </c>
      <c r="E38" s="17" t="s">
        <v>103</v>
      </c>
      <c r="F38" s="17"/>
      <c r="G38" s="17"/>
      <c r="H38" s="14" t="s">
        <v>334</v>
      </c>
    </row>
    <row r="39" spans="2:8" x14ac:dyDescent="0.2">
      <c r="B39" s="15" t="s">
        <v>169</v>
      </c>
      <c r="C39" s="16" t="s">
        <v>170</v>
      </c>
      <c r="D39" s="17" t="s">
        <v>102</v>
      </c>
      <c r="E39" s="17" t="s">
        <v>103</v>
      </c>
      <c r="F39" s="17"/>
      <c r="G39" s="17"/>
      <c r="H39" s="14" t="s">
        <v>334</v>
      </c>
    </row>
    <row r="40" spans="2:8" x14ac:dyDescent="0.2">
      <c r="B40" s="15" t="s">
        <v>171</v>
      </c>
      <c r="C40" s="16" t="s">
        <v>172</v>
      </c>
      <c r="D40" s="17" t="s">
        <v>102</v>
      </c>
      <c r="E40" s="17" t="s">
        <v>103</v>
      </c>
      <c r="F40" s="17"/>
      <c r="G40" s="17"/>
      <c r="H40" s="14" t="s">
        <v>334</v>
      </c>
    </row>
    <row r="41" spans="2:8" x14ac:dyDescent="0.2">
      <c r="B41" s="15" t="s">
        <v>173</v>
      </c>
      <c r="C41" s="16" t="s">
        <v>174</v>
      </c>
      <c r="D41" s="17" t="s">
        <v>102</v>
      </c>
      <c r="E41" s="17" t="s">
        <v>103</v>
      </c>
      <c r="F41" s="17"/>
      <c r="G41" s="17"/>
      <c r="H41" s="14" t="s">
        <v>334</v>
      </c>
    </row>
    <row r="42" spans="2:8" x14ac:dyDescent="0.2">
      <c r="B42" s="15" t="s">
        <v>175</v>
      </c>
      <c r="C42" s="16" t="s">
        <v>176</v>
      </c>
      <c r="D42" s="17" t="s">
        <v>102</v>
      </c>
      <c r="E42" s="17" t="s">
        <v>103</v>
      </c>
      <c r="F42" s="17"/>
      <c r="G42" s="17"/>
      <c r="H42" s="14" t="s">
        <v>335</v>
      </c>
    </row>
    <row r="43" spans="2:8" x14ac:dyDescent="0.2">
      <c r="B43" s="15" t="s">
        <v>178</v>
      </c>
      <c r="C43" s="16" t="s">
        <v>179</v>
      </c>
      <c r="D43" s="17" t="s">
        <v>102</v>
      </c>
      <c r="E43" s="17" t="s">
        <v>103</v>
      </c>
      <c r="F43" s="17"/>
      <c r="G43" s="17"/>
      <c r="H43" s="14" t="s">
        <v>335</v>
      </c>
    </row>
    <row r="44" spans="2:8" x14ac:dyDescent="0.2">
      <c r="B44" s="15" t="s">
        <v>180</v>
      </c>
      <c r="C44" s="16" t="s">
        <v>181</v>
      </c>
      <c r="D44" s="17" t="s">
        <v>102</v>
      </c>
      <c r="E44" s="17" t="s">
        <v>103</v>
      </c>
      <c r="F44" s="17"/>
      <c r="G44" s="17"/>
      <c r="H44" s="14" t="s">
        <v>335</v>
      </c>
    </row>
    <row r="45" spans="2:8" x14ac:dyDescent="0.2">
      <c r="B45" s="15" t="s">
        <v>182</v>
      </c>
      <c r="C45" s="16" t="s">
        <v>183</v>
      </c>
      <c r="D45" s="17" t="s">
        <v>102</v>
      </c>
      <c r="E45" s="17" t="s">
        <v>103</v>
      </c>
      <c r="F45" s="17"/>
      <c r="G45" s="17"/>
      <c r="H45" s="14" t="s">
        <v>335</v>
      </c>
    </row>
    <row r="46" spans="2:8" x14ac:dyDescent="0.2">
      <c r="B46" s="15" t="s">
        <v>184</v>
      </c>
      <c r="C46" s="16" t="s">
        <v>185</v>
      </c>
      <c r="D46" s="17" t="s">
        <v>102</v>
      </c>
      <c r="E46" s="17" t="s">
        <v>103</v>
      </c>
      <c r="F46" s="17"/>
      <c r="G46" s="17"/>
      <c r="H46" s="14" t="s">
        <v>335</v>
      </c>
    </row>
    <row r="47" spans="2:8" x14ac:dyDescent="0.2">
      <c r="B47" s="15" t="s">
        <v>186</v>
      </c>
      <c r="C47" s="16" t="s">
        <v>187</v>
      </c>
      <c r="D47" s="17" t="s">
        <v>102</v>
      </c>
      <c r="E47" s="17" t="s">
        <v>103</v>
      </c>
      <c r="F47" s="17"/>
      <c r="G47" s="17"/>
      <c r="H47" s="14" t="s">
        <v>336</v>
      </c>
    </row>
    <row r="48" spans="2:8" x14ac:dyDescent="0.2">
      <c r="B48" s="15" t="s">
        <v>189</v>
      </c>
      <c r="C48" s="16" t="s">
        <v>190</v>
      </c>
      <c r="D48" s="17" t="s">
        <v>102</v>
      </c>
      <c r="E48" s="17" t="s">
        <v>103</v>
      </c>
      <c r="F48" s="17"/>
      <c r="G48" s="17"/>
      <c r="H48" s="14" t="s">
        <v>335</v>
      </c>
    </row>
    <row r="49" spans="2:8" x14ac:dyDescent="0.2">
      <c r="B49" s="15" t="s">
        <v>191</v>
      </c>
      <c r="C49" s="16" t="s">
        <v>192</v>
      </c>
      <c r="D49" s="17" t="s">
        <v>102</v>
      </c>
      <c r="E49" s="17" t="s">
        <v>103</v>
      </c>
      <c r="F49" s="17"/>
      <c r="G49" s="17"/>
      <c r="H49" s="14" t="s">
        <v>335</v>
      </c>
    </row>
    <row r="50" spans="2:8" x14ac:dyDescent="0.2">
      <c r="B50" s="15" t="s">
        <v>193</v>
      </c>
      <c r="C50" s="16" t="s">
        <v>194</v>
      </c>
      <c r="D50" s="17" t="s">
        <v>102</v>
      </c>
      <c r="E50" s="17" t="s">
        <v>103</v>
      </c>
      <c r="F50" s="17"/>
      <c r="G50" s="17"/>
      <c r="H50" s="14" t="s">
        <v>336</v>
      </c>
    </row>
    <row r="51" spans="2:8" x14ac:dyDescent="0.2">
      <c r="B51" s="15" t="s">
        <v>195</v>
      </c>
      <c r="C51" s="16" t="s">
        <v>196</v>
      </c>
      <c r="D51" s="17" t="s">
        <v>102</v>
      </c>
      <c r="E51" s="17" t="s">
        <v>103</v>
      </c>
      <c r="F51" s="17"/>
      <c r="G51" s="17"/>
      <c r="H51" s="14" t="s">
        <v>335</v>
      </c>
    </row>
    <row r="52" spans="2:8" x14ac:dyDescent="0.2">
      <c r="B52" s="15" t="s">
        <v>197</v>
      </c>
      <c r="C52" s="16" t="s">
        <v>198</v>
      </c>
      <c r="D52" s="17" t="s">
        <v>102</v>
      </c>
      <c r="E52" s="17" t="s">
        <v>103</v>
      </c>
      <c r="F52" s="17"/>
      <c r="G52" s="17"/>
      <c r="H52" s="14" t="s">
        <v>336</v>
      </c>
    </row>
    <row r="53" spans="2:8" x14ac:dyDescent="0.2">
      <c r="B53" s="15" t="s">
        <v>199</v>
      </c>
      <c r="C53" s="16" t="s">
        <v>200</v>
      </c>
      <c r="D53" s="17" t="s">
        <v>102</v>
      </c>
      <c r="E53" s="17" t="s">
        <v>103</v>
      </c>
      <c r="F53" s="17"/>
      <c r="G53" s="17"/>
      <c r="H53" s="14" t="s">
        <v>336</v>
      </c>
    </row>
    <row r="54" spans="2:8" x14ac:dyDescent="0.2">
      <c r="B54" s="15" t="s">
        <v>201</v>
      </c>
      <c r="C54" s="16" t="s">
        <v>202</v>
      </c>
      <c r="D54" s="17" t="s">
        <v>102</v>
      </c>
      <c r="E54" s="17" t="s">
        <v>103</v>
      </c>
      <c r="F54" s="17"/>
      <c r="G54" s="17"/>
      <c r="H54" s="14" t="s">
        <v>335</v>
      </c>
    </row>
    <row r="55" spans="2:8" x14ac:dyDescent="0.2">
      <c r="B55" s="15" t="s">
        <v>203</v>
      </c>
      <c r="C55" s="16" t="s">
        <v>204</v>
      </c>
      <c r="D55" s="17" t="s">
        <v>102</v>
      </c>
      <c r="E55" s="17" t="s">
        <v>103</v>
      </c>
      <c r="F55" s="17"/>
      <c r="G55" s="17"/>
      <c r="H55" s="14" t="s">
        <v>336</v>
      </c>
    </row>
    <row r="56" spans="2:8" x14ac:dyDescent="0.2">
      <c r="B56" s="15" t="s">
        <v>205</v>
      </c>
      <c r="C56" s="16" t="s">
        <v>206</v>
      </c>
      <c r="D56" s="17" t="s">
        <v>102</v>
      </c>
      <c r="E56" s="17" t="s">
        <v>103</v>
      </c>
      <c r="F56" s="17"/>
      <c r="G56" s="17"/>
      <c r="H56" s="14" t="s">
        <v>335</v>
      </c>
    </row>
    <row r="57" spans="2:8" x14ac:dyDescent="0.2">
      <c r="B57" s="15" t="s">
        <v>207</v>
      </c>
      <c r="C57" s="16" t="s">
        <v>208</v>
      </c>
      <c r="D57" s="17" t="s">
        <v>102</v>
      </c>
      <c r="E57" s="17" t="s">
        <v>103</v>
      </c>
      <c r="F57" s="17"/>
      <c r="G57" s="17"/>
      <c r="H57" s="14" t="s">
        <v>335</v>
      </c>
    </row>
    <row r="58" spans="2:8" x14ac:dyDescent="0.2">
      <c r="B58" s="15" t="s">
        <v>209</v>
      </c>
      <c r="C58" s="16" t="s">
        <v>210</v>
      </c>
      <c r="D58" s="17" t="s">
        <v>102</v>
      </c>
      <c r="E58" s="17" t="s">
        <v>103</v>
      </c>
      <c r="F58" s="17"/>
      <c r="G58" s="17"/>
      <c r="H58" s="14" t="s">
        <v>335</v>
      </c>
    </row>
    <row r="59" spans="2:8" x14ac:dyDescent="0.2">
      <c r="B59" s="15" t="s">
        <v>211</v>
      </c>
      <c r="C59" s="16" t="s">
        <v>212</v>
      </c>
      <c r="D59" s="17" t="s">
        <v>102</v>
      </c>
      <c r="E59" s="17" t="s">
        <v>103</v>
      </c>
      <c r="F59" s="17"/>
      <c r="G59" s="17"/>
      <c r="H59" s="14" t="s">
        <v>336</v>
      </c>
    </row>
    <row r="60" spans="2:8" x14ac:dyDescent="0.2">
      <c r="B60" s="15" t="s">
        <v>213</v>
      </c>
      <c r="C60" s="16" t="s">
        <v>214</v>
      </c>
      <c r="D60" s="17" t="s">
        <v>102</v>
      </c>
      <c r="E60" s="17" t="s">
        <v>103</v>
      </c>
      <c r="F60" s="17"/>
      <c r="G60" s="17"/>
      <c r="H60" s="14" t="s">
        <v>335</v>
      </c>
    </row>
    <row r="61" spans="2:8" x14ac:dyDescent="0.2">
      <c r="B61" s="15" t="s">
        <v>215</v>
      </c>
      <c r="C61" s="16" t="s">
        <v>216</v>
      </c>
      <c r="D61" s="17" t="s">
        <v>102</v>
      </c>
      <c r="E61" s="17" t="s">
        <v>103</v>
      </c>
      <c r="F61" s="17"/>
      <c r="G61" s="17"/>
      <c r="H61" s="14" t="s">
        <v>335</v>
      </c>
    </row>
    <row r="62" spans="2:8" x14ac:dyDescent="0.2">
      <c r="B62" s="15" t="s">
        <v>217</v>
      </c>
      <c r="C62" s="16" t="s">
        <v>218</v>
      </c>
      <c r="D62" s="17" t="s">
        <v>102</v>
      </c>
      <c r="E62" s="17" t="s">
        <v>103</v>
      </c>
      <c r="F62" s="17"/>
      <c r="G62" s="17"/>
      <c r="H62" s="14" t="s">
        <v>336</v>
      </c>
    </row>
    <row r="63" spans="2:8" x14ac:dyDescent="0.2">
      <c r="B63" s="15" t="s">
        <v>219</v>
      </c>
      <c r="C63" s="16" t="s">
        <v>220</v>
      </c>
      <c r="D63" s="17" t="s">
        <v>102</v>
      </c>
      <c r="E63" s="17" t="s">
        <v>103</v>
      </c>
      <c r="F63" s="17"/>
      <c r="G63" s="17"/>
      <c r="H63" s="14" t="s">
        <v>335</v>
      </c>
    </row>
    <row r="64" spans="2:8" x14ac:dyDescent="0.2">
      <c r="B64" s="15" t="s">
        <v>221</v>
      </c>
      <c r="C64" s="16" t="s">
        <v>222</v>
      </c>
      <c r="D64" s="17" t="s">
        <v>102</v>
      </c>
      <c r="E64" s="17" t="s">
        <v>103</v>
      </c>
      <c r="F64" s="17"/>
      <c r="G64" s="17"/>
      <c r="H64" s="14" t="s">
        <v>335</v>
      </c>
    </row>
    <row r="65" spans="2:8" x14ac:dyDescent="0.2">
      <c r="B65" s="15" t="s">
        <v>223</v>
      </c>
      <c r="C65" s="16" t="s">
        <v>224</v>
      </c>
      <c r="D65" s="17" t="s">
        <v>102</v>
      </c>
      <c r="E65" s="17" t="s">
        <v>103</v>
      </c>
      <c r="F65" s="17"/>
      <c r="G65" s="17"/>
      <c r="H65" s="14" t="s">
        <v>335</v>
      </c>
    </row>
    <row r="66" spans="2:8" x14ac:dyDescent="0.2">
      <c r="B66" s="15" t="s">
        <v>225</v>
      </c>
      <c r="C66" s="16" t="s">
        <v>226</v>
      </c>
      <c r="D66" s="17" t="s">
        <v>102</v>
      </c>
      <c r="E66" s="17" t="s">
        <v>103</v>
      </c>
      <c r="F66" s="17"/>
      <c r="G66" s="17"/>
      <c r="H66" s="14" t="s">
        <v>336</v>
      </c>
    </row>
    <row r="67" spans="2:8" x14ac:dyDescent="0.2">
      <c r="B67" s="15" t="s">
        <v>227</v>
      </c>
      <c r="C67" s="16" t="s">
        <v>228</v>
      </c>
      <c r="D67" s="17" t="s">
        <v>102</v>
      </c>
      <c r="E67" s="17" t="s">
        <v>103</v>
      </c>
      <c r="F67" s="17"/>
      <c r="G67" s="17"/>
      <c r="H67" s="14" t="s">
        <v>336</v>
      </c>
    </row>
    <row r="68" spans="2:8" x14ac:dyDescent="0.2">
      <c r="B68" s="15" t="s">
        <v>229</v>
      </c>
      <c r="C68" s="16" t="s">
        <v>230</v>
      </c>
      <c r="D68" s="17" t="s">
        <v>102</v>
      </c>
      <c r="E68" s="17" t="s">
        <v>103</v>
      </c>
      <c r="F68" s="17"/>
      <c r="G68" s="17"/>
      <c r="H68" s="14" t="s">
        <v>336</v>
      </c>
    </row>
    <row r="69" spans="2:8" x14ac:dyDescent="0.2">
      <c r="B69" s="15" t="s">
        <v>231</v>
      </c>
      <c r="C69" s="16" t="s">
        <v>232</v>
      </c>
      <c r="D69" s="17" t="s">
        <v>102</v>
      </c>
      <c r="E69" s="17" t="s">
        <v>103</v>
      </c>
      <c r="F69" s="17"/>
      <c r="G69" s="17"/>
      <c r="H69" s="14" t="s">
        <v>336</v>
      </c>
    </row>
    <row r="70" spans="2:8" x14ac:dyDescent="0.2">
      <c r="B70" s="15" t="s">
        <v>233</v>
      </c>
      <c r="C70" s="16" t="s">
        <v>234</v>
      </c>
      <c r="D70" s="17" t="s">
        <v>102</v>
      </c>
      <c r="E70" s="17" t="s">
        <v>103</v>
      </c>
      <c r="F70" s="17"/>
      <c r="G70" s="17"/>
      <c r="H70" s="14" t="s">
        <v>336</v>
      </c>
    </row>
    <row r="71" spans="2:8" x14ac:dyDescent="0.2">
      <c r="B71" s="15" t="s">
        <v>235</v>
      </c>
      <c r="C71" s="16" t="s">
        <v>236</v>
      </c>
      <c r="D71" s="17" t="s">
        <v>102</v>
      </c>
      <c r="E71" s="17" t="s">
        <v>103</v>
      </c>
      <c r="F71" s="17"/>
      <c r="G71" s="17"/>
      <c r="H71" s="14" t="s">
        <v>336</v>
      </c>
    </row>
    <row r="72" spans="2:8" x14ac:dyDescent="0.2">
      <c r="B72" s="15" t="s">
        <v>237</v>
      </c>
      <c r="C72" s="16" t="s">
        <v>238</v>
      </c>
      <c r="D72" s="17" t="s">
        <v>102</v>
      </c>
      <c r="E72" s="17" t="s">
        <v>103</v>
      </c>
      <c r="F72" s="17"/>
      <c r="G72" s="17"/>
      <c r="H72" s="14" t="s">
        <v>336</v>
      </c>
    </row>
    <row r="73" spans="2:8" x14ac:dyDescent="0.2">
      <c r="B73" s="15" t="s">
        <v>239</v>
      </c>
      <c r="C73" s="16" t="s">
        <v>240</v>
      </c>
      <c r="D73" s="17" t="s">
        <v>102</v>
      </c>
      <c r="E73" s="17" t="s">
        <v>103</v>
      </c>
      <c r="F73" s="17"/>
      <c r="G73" s="17"/>
      <c r="H73" s="14" t="s">
        <v>336</v>
      </c>
    </row>
    <row r="74" spans="2:8" x14ac:dyDescent="0.2">
      <c r="B74" s="15" t="s">
        <v>241</v>
      </c>
      <c r="C74" s="16" t="s">
        <v>242</v>
      </c>
      <c r="D74" s="17" t="s">
        <v>102</v>
      </c>
      <c r="E74" s="17" t="s">
        <v>103</v>
      </c>
      <c r="F74" s="17"/>
      <c r="G74" s="17"/>
      <c r="H74" s="14" t="s">
        <v>336</v>
      </c>
    </row>
    <row r="75" spans="2:8" x14ac:dyDescent="0.2">
      <c r="B75" s="15" t="s">
        <v>243</v>
      </c>
      <c r="C75" s="16" t="s">
        <v>244</v>
      </c>
      <c r="D75" s="17" t="s">
        <v>102</v>
      </c>
      <c r="E75" s="17" t="s">
        <v>103</v>
      </c>
      <c r="F75" s="17"/>
      <c r="G75" s="17"/>
      <c r="H75" s="14" t="s">
        <v>336</v>
      </c>
    </row>
    <row r="76" spans="2:8" x14ac:dyDescent="0.2">
      <c r="B76" s="15" t="s">
        <v>245</v>
      </c>
      <c r="C76" s="16" t="s">
        <v>246</v>
      </c>
      <c r="D76" s="17" t="s">
        <v>102</v>
      </c>
      <c r="E76" s="17" t="s">
        <v>103</v>
      </c>
      <c r="F76" s="17"/>
      <c r="G76" s="17"/>
      <c r="H76" s="14" t="s">
        <v>336</v>
      </c>
    </row>
    <row r="77" spans="2:8" x14ac:dyDescent="0.2">
      <c r="B77" s="15" t="s">
        <v>247</v>
      </c>
      <c r="C77" s="16" t="s">
        <v>248</v>
      </c>
      <c r="D77" s="17" t="s">
        <v>102</v>
      </c>
      <c r="E77" s="17" t="s">
        <v>103</v>
      </c>
      <c r="F77" s="17"/>
      <c r="G77" s="17"/>
      <c r="H77" s="14" t="s">
        <v>336</v>
      </c>
    </row>
    <row r="78" spans="2:8" x14ac:dyDescent="0.2">
      <c r="B78" s="15" t="s">
        <v>249</v>
      </c>
      <c r="C78" s="16" t="s">
        <v>250</v>
      </c>
      <c r="D78" s="17" t="s">
        <v>102</v>
      </c>
      <c r="E78" s="17" t="s">
        <v>103</v>
      </c>
      <c r="F78" s="17"/>
      <c r="G78" s="17"/>
      <c r="H78" s="14" t="s">
        <v>336</v>
      </c>
    </row>
    <row r="79" spans="2:8" x14ac:dyDescent="0.2">
      <c r="B79" s="15" t="s">
        <v>251</v>
      </c>
      <c r="C79" s="16" t="s">
        <v>252</v>
      </c>
      <c r="D79" s="17" t="s">
        <v>102</v>
      </c>
      <c r="E79" s="17" t="s">
        <v>103</v>
      </c>
      <c r="F79" s="17"/>
      <c r="G79" s="17"/>
      <c r="H79" s="14" t="s">
        <v>335</v>
      </c>
    </row>
    <row r="80" spans="2:8" x14ac:dyDescent="0.2">
      <c r="B80" s="15" t="s">
        <v>253</v>
      </c>
      <c r="C80" s="16" t="s">
        <v>254</v>
      </c>
      <c r="D80" s="17" t="s">
        <v>102</v>
      </c>
      <c r="E80" s="17" t="s">
        <v>103</v>
      </c>
      <c r="F80" s="17"/>
      <c r="G80" s="17"/>
      <c r="H80" s="14" t="s">
        <v>335</v>
      </c>
    </row>
    <row r="81" spans="2:9" x14ac:dyDescent="0.2">
      <c r="B81" s="15" t="s">
        <v>255</v>
      </c>
      <c r="C81" s="16" t="s">
        <v>256</v>
      </c>
      <c r="D81" s="17" t="s">
        <v>102</v>
      </c>
      <c r="E81" s="17" t="s">
        <v>103</v>
      </c>
      <c r="F81" s="17"/>
      <c r="G81" s="17"/>
      <c r="H81" s="14" t="s">
        <v>335</v>
      </c>
    </row>
    <row r="82" spans="2:9" x14ac:dyDescent="0.2">
      <c r="B82" s="15" t="s">
        <v>257</v>
      </c>
      <c r="C82" s="16" t="s">
        <v>258</v>
      </c>
      <c r="D82" s="17" t="s">
        <v>102</v>
      </c>
      <c r="E82" s="17" t="s">
        <v>103</v>
      </c>
      <c r="F82" s="17"/>
      <c r="G82" s="17"/>
      <c r="H82" s="14" t="s">
        <v>335</v>
      </c>
    </row>
    <row r="83" spans="2:9" x14ac:dyDescent="0.2">
      <c r="B83" s="15" t="s">
        <v>259</v>
      </c>
      <c r="C83" s="16" t="s">
        <v>260</v>
      </c>
      <c r="D83" s="17" t="s">
        <v>102</v>
      </c>
      <c r="E83" s="17" t="s">
        <v>103</v>
      </c>
      <c r="F83" s="17"/>
      <c r="G83" s="17"/>
      <c r="H83" s="14" t="s">
        <v>335</v>
      </c>
    </row>
    <row r="84" spans="2:9" x14ac:dyDescent="0.2">
      <c r="B84" s="15" t="s">
        <v>261</v>
      </c>
      <c r="C84" s="16" t="s">
        <v>262</v>
      </c>
      <c r="D84" s="17" t="s">
        <v>102</v>
      </c>
      <c r="E84" s="17" t="s">
        <v>103</v>
      </c>
      <c r="F84" s="17"/>
      <c r="G84" s="17"/>
      <c r="H84" s="14" t="s">
        <v>336</v>
      </c>
    </row>
    <row r="85" spans="2:9" x14ac:dyDescent="0.2">
      <c r="B85" s="15" t="s">
        <v>263</v>
      </c>
      <c r="C85" s="16" t="s">
        <v>264</v>
      </c>
      <c r="D85" s="17" t="s">
        <v>102</v>
      </c>
      <c r="E85" s="17" t="s">
        <v>103</v>
      </c>
      <c r="F85" s="17"/>
      <c r="G85" s="17"/>
      <c r="H85" s="14" t="s">
        <v>335</v>
      </c>
    </row>
    <row r="86" spans="2:9" x14ac:dyDescent="0.2">
      <c r="B86" s="18" t="s">
        <v>265</v>
      </c>
      <c r="C86" s="16"/>
      <c r="D86" s="17"/>
      <c r="E86" s="17"/>
      <c r="F86" s="17"/>
      <c r="G86" s="17"/>
      <c r="H86" s="9" t="s">
        <v>266</v>
      </c>
    </row>
    <row r="87" spans="2:9" x14ac:dyDescent="0.2">
      <c r="B87" s="18" t="s">
        <v>267</v>
      </c>
      <c r="C87" s="16"/>
      <c r="D87" s="17"/>
      <c r="E87" s="17"/>
      <c r="F87" s="17"/>
      <c r="G87" s="17"/>
      <c r="H87" s="9" t="s">
        <v>266</v>
      </c>
    </row>
    <row r="88" spans="2:9" x14ac:dyDescent="0.2">
      <c r="B88" s="18" t="s">
        <v>268</v>
      </c>
      <c r="C88" s="16"/>
      <c r="D88" s="17"/>
      <c r="E88" s="17"/>
      <c r="F88" s="17"/>
      <c r="G88" s="17"/>
      <c r="H88" s="9" t="s">
        <v>266</v>
      </c>
    </row>
    <row r="89" spans="2:9" x14ac:dyDescent="0.2">
      <c r="B89" s="8" t="s">
        <v>269</v>
      </c>
      <c r="H89" s="9" t="s">
        <v>266</v>
      </c>
    </row>
    <row r="90" spans="2:9" x14ac:dyDescent="0.2">
      <c r="B90" s="8" t="s">
        <v>386</v>
      </c>
      <c r="H90" s="129" t="s">
        <v>393</v>
      </c>
    </row>
    <row r="91" spans="2:9" x14ac:dyDescent="0.2">
      <c r="B91" s="19" t="s">
        <v>387</v>
      </c>
      <c r="C91" s="20"/>
      <c r="E91" s="21"/>
      <c r="H91" s="9" t="s">
        <v>387</v>
      </c>
    </row>
    <row r="92" spans="2:9" x14ac:dyDescent="0.2">
      <c r="B92" s="19" t="s">
        <v>388</v>
      </c>
      <c r="C92" s="20"/>
      <c r="E92" s="21"/>
      <c r="H92" s="160" t="s">
        <v>334</v>
      </c>
    </row>
    <row r="93" spans="2:9" x14ac:dyDescent="0.2">
      <c r="B93" s="19" t="s">
        <v>389</v>
      </c>
      <c r="C93" s="20"/>
      <c r="E93" s="21"/>
      <c r="H93" s="14" t="s">
        <v>334</v>
      </c>
    </row>
    <row r="94" spans="2:9" x14ac:dyDescent="0.2">
      <c r="B94" s="19" t="s">
        <v>390</v>
      </c>
      <c r="C94" s="20"/>
      <c r="E94" s="21"/>
      <c r="H94" s="14" t="s">
        <v>334</v>
      </c>
    </row>
    <row r="95" spans="2:9" ht="16" thickBot="1" x14ac:dyDescent="0.25">
      <c r="B95" s="19" t="s">
        <v>391</v>
      </c>
      <c r="C95" s="20"/>
      <c r="E95" s="21"/>
      <c r="H95" s="14" t="s">
        <v>334</v>
      </c>
    </row>
    <row r="96" spans="2:9" x14ac:dyDescent="0.2">
      <c r="B96" s="189">
        <v>1</v>
      </c>
      <c r="C96" s="190">
        <v>2</v>
      </c>
      <c r="D96" s="190">
        <v>3</v>
      </c>
      <c r="E96" s="190">
        <v>4</v>
      </c>
      <c r="F96" s="190">
        <v>5</v>
      </c>
      <c r="G96" s="190">
        <v>6</v>
      </c>
      <c r="H96" s="191">
        <v>7</v>
      </c>
      <c r="I96" s="128">
        <v>8</v>
      </c>
    </row>
    <row r="97" spans="2:9" x14ac:dyDescent="0.2">
      <c r="B97" s="192" t="s">
        <v>392</v>
      </c>
      <c r="C97" s="20"/>
      <c r="E97" s="21"/>
      <c r="H97" s="193"/>
    </row>
    <row r="98" spans="2:9" x14ac:dyDescent="0.2">
      <c r="B98" s="194" t="s">
        <v>343</v>
      </c>
      <c r="H98" s="195" t="s">
        <v>280</v>
      </c>
    </row>
    <row r="99" spans="2:9" x14ac:dyDescent="0.2">
      <c r="B99" s="194" t="s">
        <v>344</v>
      </c>
      <c r="C99" s="20"/>
      <c r="E99" s="21"/>
      <c r="H99" s="196" t="s">
        <v>271</v>
      </c>
      <c r="I99" s="9" t="s">
        <v>344</v>
      </c>
    </row>
    <row r="100" spans="2:9" x14ac:dyDescent="0.2">
      <c r="B100" s="194" t="s">
        <v>363</v>
      </c>
      <c r="C100" s="20"/>
      <c r="E100" s="21"/>
      <c r="H100" s="196" t="s">
        <v>362</v>
      </c>
      <c r="I100" s="9" t="s">
        <v>373</v>
      </c>
    </row>
    <row r="101" spans="2:9" x14ac:dyDescent="0.2">
      <c r="B101" s="194" t="s">
        <v>346</v>
      </c>
      <c r="C101" s="20"/>
      <c r="E101" s="21"/>
      <c r="H101" s="196" t="s">
        <v>345</v>
      </c>
      <c r="I101" s="9" t="s">
        <v>374</v>
      </c>
    </row>
    <row r="102" spans="2:9" x14ac:dyDescent="0.2">
      <c r="B102" s="194" t="s">
        <v>347</v>
      </c>
      <c r="C102" s="20"/>
      <c r="E102" s="21"/>
      <c r="H102" s="196" t="s">
        <v>272</v>
      </c>
      <c r="I102" s="9" t="s">
        <v>375</v>
      </c>
    </row>
    <row r="103" spans="2:9" x14ac:dyDescent="0.2">
      <c r="B103" s="194" t="s">
        <v>348</v>
      </c>
      <c r="C103" s="20"/>
      <c r="E103" s="21"/>
      <c r="H103" s="196" t="s">
        <v>273</v>
      </c>
      <c r="I103" s="9" t="s">
        <v>376</v>
      </c>
    </row>
    <row r="104" spans="2:9" x14ac:dyDescent="0.2">
      <c r="B104" s="194" t="s">
        <v>349</v>
      </c>
      <c r="C104" s="20"/>
      <c r="E104" s="21"/>
      <c r="H104" s="196" t="s">
        <v>274</v>
      </c>
      <c r="I104" s="9" t="s">
        <v>377</v>
      </c>
    </row>
    <row r="105" spans="2:9" x14ac:dyDescent="0.2">
      <c r="B105" s="194" t="s">
        <v>350</v>
      </c>
      <c r="C105" s="20"/>
      <c r="E105" s="21"/>
      <c r="H105" s="196" t="s">
        <v>275</v>
      </c>
      <c r="I105" s="9" t="s">
        <v>378</v>
      </c>
    </row>
    <row r="106" spans="2:9" x14ac:dyDescent="0.2">
      <c r="B106" s="194" t="s">
        <v>351</v>
      </c>
      <c r="C106" s="20"/>
      <c r="E106" s="21"/>
      <c r="H106" s="196" t="s">
        <v>276</v>
      </c>
      <c r="I106" s="9" t="s">
        <v>292</v>
      </c>
    </row>
    <row r="107" spans="2:9" x14ac:dyDescent="0.2">
      <c r="B107" s="194" t="s">
        <v>357</v>
      </c>
      <c r="C107" s="20"/>
      <c r="E107" s="21"/>
      <c r="H107" s="196" t="s">
        <v>356</v>
      </c>
      <c r="I107" s="9" t="s">
        <v>379</v>
      </c>
    </row>
    <row r="108" spans="2:9" x14ac:dyDescent="0.2">
      <c r="B108" s="194" t="s">
        <v>359</v>
      </c>
      <c r="C108" s="20"/>
      <c r="E108" s="21"/>
      <c r="H108" s="196" t="s">
        <v>358</v>
      </c>
      <c r="I108" s="9" t="s">
        <v>380</v>
      </c>
    </row>
    <row r="109" spans="2:9" x14ac:dyDescent="0.2">
      <c r="B109" s="194" t="s">
        <v>353</v>
      </c>
      <c r="C109" s="20"/>
      <c r="E109" s="21"/>
      <c r="H109" s="196" t="s">
        <v>352</v>
      </c>
      <c r="I109" s="9" t="s">
        <v>381</v>
      </c>
    </row>
    <row r="110" spans="2:9" x14ac:dyDescent="0.2">
      <c r="B110" s="194" t="s">
        <v>361</v>
      </c>
      <c r="C110" s="20"/>
      <c r="E110" s="21"/>
      <c r="H110" s="196" t="s">
        <v>360</v>
      </c>
      <c r="I110" s="9" t="s">
        <v>382</v>
      </c>
    </row>
    <row r="111" spans="2:9" x14ac:dyDescent="0.2">
      <c r="B111" s="194" t="s">
        <v>355</v>
      </c>
      <c r="C111" s="20"/>
      <c r="E111" s="21"/>
      <c r="H111" s="196" t="s">
        <v>354</v>
      </c>
      <c r="I111" s="9" t="s">
        <v>383</v>
      </c>
    </row>
    <row r="112" spans="2:9" ht="16" thickBot="1" x14ac:dyDescent="0.25">
      <c r="B112" s="197" t="s">
        <v>365</v>
      </c>
      <c r="C112" s="198"/>
      <c r="D112" s="199"/>
      <c r="E112" s="200"/>
      <c r="F112" s="199"/>
      <c r="G112" s="199"/>
      <c r="H112" s="201" t="s">
        <v>365</v>
      </c>
    </row>
    <row r="113" spans="2:8" ht="17" x14ac:dyDescent="0.2">
      <c r="B113" s="19"/>
      <c r="C113" s="20"/>
      <c r="E113" s="21"/>
      <c r="H113" s="22"/>
    </row>
    <row r="114" spans="2:8" ht="17" x14ac:dyDescent="0.2">
      <c r="B114" s="19"/>
      <c r="C114" s="20"/>
      <c r="E114" s="21"/>
      <c r="H114" s="22"/>
    </row>
    <row r="115" spans="2:8" ht="17" x14ac:dyDescent="0.2">
      <c r="B115" s="19"/>
      <c r="C115" s="20"/>
      <c r="E115" s="21"/>
      <c r="H115" s="22"/>
    </row>
    <row r="116" spans="2:8" ht="17" x14ac:dyDescent="0.2">
      <c r="B116" s="19"/>
      <c r="C116" s="20"/>
      <c r="E116" s="21"/>
      <c r="H116" s="22"/>
    </row>
    <row r="117" spans="2:8" ht="17" x14ac:dyDescent="0.2">
      <c r="B117" s="19"/>
      <c r="C117" s="20"/>
      <c r="E117" s="21"/>
      <c r="H117" s="22"/>
    </row>
    <row r="118" spans="2:8" ht="17" x14ac:dyDescent="0.2">
      <c r="B118" s="19"/>
      <c r="C118" s="20"/>
      <c r="E118" s="21"/>
      <c r="H118" s="22"/>
    </row>
    <row r="119" spans="2:8" ht="17" x14ac:dyDescent="0.2">
      <c r="B119" s="19"/>
      <c r="C119" s="20"/>
      <c r="E119" s="21"/>
      <c r="H119" s="22"/>
    </row>
    <row r="120" spans="2:8" ht="17" x14ac:dyDescent="0.2">
      <c r="B120" s="19"/>
      <c r="C120" s="20"/>
      <c r="E120" s="21"/>
      <c r="H120" s="22"/>
    </row>
    <row r="121" spans="2:8" ht="17" x14ac:dyDescent="0.2">
      <c r="B121" s="19"/>
      <c r="C121" s="20"/>
      <c r="E121" s="21"/>
      <c r="H121" s="22"/>
    </row>
    <row r="122" spans="2:8" ht="17" x14ac:dyDescent="0.2">
      <c r="B122" s="19"/>
      <c r="C122" s="20"/>
      <c r="E122" s="21"/>
      <c r="H122" s="22"/>
    </row>
    <row r="123" spans="2:8" ht="17" x14ac:dyDescent="0.2">
      <c r="B123" s="19"/>
      <c r="C123" s="20"/>
      <c r="E123" s="21"/>
      <c r="H123" s="22"/>
    </row>
    <row r="124" spans="2:8" ht="17" x14ac:dyDescent="0.2">
      <c r="B124" s="19"/>
      <c r="C124" s="20"/>
      <c r="E124" s="21"/>
      <c r="H124" s="22"/>
    </row>
    <row r="125" spans="2:8" ht="17" x14ac:dyDescent="0.2">
      <c r="B125" s="19"/>
      <c r="C125" s="20"/>
      <c r="E125" s="21"/>
      <c r="H125" s="22"/>
    </row>
    <row r="126" spans="2:8" ht="17" x14ac:dyDescent="0.2">
      <c r="B126" s="19"/>
      <c r="C126" s="20"/>
      <c r="E126" s="21"/>
      <c r="H126" s="22"/>
    </row>
    <row r="127" spans="2:8" ht="17" x14ac:dyDescent="0.2">
      <c r="B127" s="19"/>
      <c r="C127" s="20"/>
      <c r="E127" s="21"/>
      <c r="H127" s="22"/>
    </row>
    <row r="128" spans="2:8" ht="17" x14ac:dyDescent="0.2">
      <c r="B128" s="19"/>
      <c r="C128" s="20"/>
      <c r="E128" s="21"/>
      <c r="H128" s="22"/>
    </row>
    <row r="129" spans="2:8" ht="17" x14ac:dyDescent="0.2">
      <c r="B129" s="19"/>
      <c r="C129" s="20"/>
      <c r="E129" s="21"/>
      <c r="H129" s="22"/>
    </row>
    <row r="130" spans="2:8" ht="17" x14ac:dyDescent="0.2">
      <c r="B130" s="19"/>
      <c r="C130" s="20"/>
      <c r="E130" s="21"/>
      <c r="H130" s="22"/>
    </row>
    <row r="131" spans="2:8" ht="17" x14ac:dyDescent="0.2">
      <c r="B131" s="19"/>
      <c r="C131" s="20"/>
      <c r="E131" s="21"/>
      <c r="H131" s="22"/>
    </row>
    <row r="132" spans="2:8" x14ac:dyDescent="0.2">
      <c r="B132" s="23"/>
      <c r="C132" s="24"/>
      <c r="D132" s="24"/>
      <c r="E132" s="21"/>
    </row>
    <row r="133" spans="2:8" x14ac:dyDescent="0.2">
      <c r="B133" s="23"/>
      <c r="C133" s="24"/>
      <c r="D133" s="24"/>
      <c r="E133" s="21"/>
    </row>
    <row r="134" spans="2:8" x14ac:dyDescent="0.2">
      <c r="B134" s="23"/>
      <c r="C134" s="24"/>
      <c r="D134" s="24"/>
      <c r="E134" s="21"/>
    </row>
    <row r="135" spans="2:8" x14ac:dyDescent="0.2">
      <c r="B135" s="23"/>
      <c r="C135" s="24"/>
      <c r="D135" s="24"/>
      <c r="E135" s="21"/>
    </row>
    <row r="136" spans="2:8" x14ac:dyDescent="0.2">
      <c r="B136" s="23"/>
      <c r="C136" s="24"/>
      <c r="D136" s="24"/>
      <c r="E136" s="21"/>
    </row>
    <row r="137" spans="2:8" x14ac:dyDescent="0.2">
      <c r="B137" s="23"/>
      <c r="C137" s="24"/>
      <c r="D137" s="24"/>
      <c r="E137" s="21"/>
    </row>
    <row r="138" spans="2:8" x14ac:dyDescent="0.2">
      <c r="B138" s="23"/>
      <c r="C138" s="24"/>
      <c r="D138" s="24"/>
      <c r="E138" s="21"/>
    </row>
    <row r="139" spans="2:8" x14ac:dyDescent="0.2">
      <c r="B139" s="23"/>
      <c r="C139" s="24"/>
      <c r="D139" s="24"/>
      <c r="E139" s="21"/>
    </row>
    <row r="140" spans="2:8" x14ac:dyDescent="0.2">
      <c r="B140" s="23"/>
      <c r="C140" s="24"/>
      <c r="D140" s="24"/>
      <c r="E140" s="21"/>
    </row>
    <row r="141" spans="2:8" x14ac:dyDescent="0.2">
      <c r="B141" s="23"/>
      <c r="C141" s="24"/>
      <c r="D141" s="24"/>
      <c r="E141" s="21"/>
    </row>
    <row r="142" spans="2:8" x14ac:dyDescent="0.2">
      <c r="B142" s="23"/>
      <c r="C142" s="24"/>
      <c r="D142" s="24"/>
      <c r="E142" s="21"/>
    </row>
    <row r="143" spans="2:8" x14ac:dyDescent="0.2">
      <c r="B143" s="23"/>
      <c r="C143" s="24"/>
      <c r="D143" s="24"/>
      <c r="E143" s="21"/>
    </row>
    <row r="144" spans="2:8" x14ac:dyDescent="0.2">
      <c r="B144" s="23"/>
      <c r="C144" s="24"/>
      <c r="D144" s="24"/>
      <c r="E144" s="21"/>
    </row>
    <row r="145" spans="2:5" x14ac:dyDescent="0.2">
      <c r="B145" s="23"/>
      <c r="C145" s="24"/>
      <c r="D145" s="24"/>
      <c r="E145" s="21"/>
    </row>
    <row r="146" spans="2:5" x14ac:dyDescent="0.2">
      <c r="B146" s="23"/>
      <c r="C146" s="24"/>
      <c r="D146" s="24"/>
      <c r="E146" s="21"/>
    </row>
    <row r="147" spans="2:5" x14ac:dyDescent="0.2">
      <c r="B147" s="23"/>
      <c r="C147" s="24"/>
      <c r="D147" s="24"/>
      <c r="E147" s="21"/>
    </row>
    <row r="148" spans="2:5" x14ac:dyDescent="0.2">
      <c r="B148" s="23"/>
      <c r="C148" s="24"/>
      <c r="D148" s="24"/>
      <c r="E148" s="21"/>
    </row>
    <row r="149" spans="2:5" x14ac:dyDescent="0.2">
      <c r="B149" s="23"/>
      <c r="C149" s="24"/>
      <c r="D149" s="24"/>
      <c r="E149" s="21"/>
    </row>
    <row r="150" spans="2:5" x14ac:dyDescent="0.2">
      <c r="B150" s="23"/>
      <c r="C150" s="24"/>
      <c r="D150" s="24"/>
      <c r="E150" s="21"/>
    </row>
    <row r="151" spans="2:5" x14ac:dyDescent="0.2">
      <c r="B151" s="23"/>
      <c r="C151" s="24"/>
      <c r="D151" s="24"/>
      <c r="E151" s="21"/>
    </row>
    <row r="152" spans="2:5" x14ac:dyDescent="0.2">
      <c r="B152" s="23"/>
      <c r="C152" s="24"/>
      <c r="D152" s="24"/>
      <c r="E152" s="21"/>
    </row>
  </sheetData>
  <autoFilter ref="A6:N87" xr:uid="{00000000-0009-0000-0000-00000F000000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B1D85-A06C-447D-8E9F-C130B9C3FC7F}">
  <dimension ref="A2:AJ27"/>
  <sheetViews>
    <sheetView topLeftCell="B1" zoomScale="70" zoomScaleNormal="70" workbookViewId="0">
      <pane xSplit="2" ySplit="5" topLeftCell="D6" activePane="bottomRight" state="frozen"/>
      <selection activeCell="A610" sqref="A610"/>
      <selection pane="topRight" activeCell="A610" sqref="A610"/>
      <selection pane="bottomLeft" activeCell="A610" sqref="A610"/>
      <selection pane="bottomRight" activeCell="I37" sqref="I37"/>
    </sheetView>
  </sheetViews>
  <sheetFormatPr baseColWidth="10" defaultColWidth="8.83203125" defaultRowHeight="15" x14ac:dyDescent="0.2"/>
  <cols>
    <col min="1" max="1" width="38.83203125" bestFit="1" customWidth="1"/>
    <col min="2" max="2" width="8" customWidth="1"/>
    <col min="3" max="3" width="26.33203125" customWidth="1"/>
    <col min="9" max="9" width="23.83203125" customWidth="1"/>
    <col min="11" max="11" width="12.6640625" customWidth="1"/>
    <col min="12" max="12" width="11.5" customWidth="1"/>
    <col min="13" max="13" width="0" hidden="1" customWidth="1"/>
    <col min="14" max="14" width="16.6640625" hidden="1" customWidth="1"/>
    <col min="15" max="15" width="14.33203125" hidden="1" customWidth="1"/>
    <col min="16" max="16" width="15.5" hidden="1" customWidth="1"/>
    <col min="17" max="22" width="15.6640625" hidden="1" customWidth="1"/>
    <col min="23" max="26" width="9" hidden="1" customWidth="1"/>
    <col min="27" max="27" width="12.5" hidden="1" customWidth="1"/>
    <col min="28" max="28" width="17.6640625" hidden="1" customWidth="1"/>
    <col min="29" max="29" width="16.33203125" hidden="1" customWidth="1"/>
    <col min="30" max="33" width="16.1640625" hidden="1" customWidth="1"/>
    <col min="34" max="34" width="21.6640625" hidden="1" customWidth="1"/>
    <col min="35" max="35" width="18.33203125" hidden="1" customWidth="1"/>
    <col min="36" max="36" width="0" hidden="1" customWidth="1"/>
  </cols>
  <sheetData>
    <row r="2" spans="1:36" x14ac:dyDescent="0.2">
      <c r="C2" t="s">
        <v>70</v>
      </c>
      <c r="D2" s="130"/>
      <c r="E2" s="130"/>
      <c r="F2" s="130"/>
      <c r="G2" s="130"/>
      <c r="H2" s="130"/>
      <c r="I2" s="130"/>
      <c r="J2" s="130"/>
    </row>
    <row r="3" spans="1:36" s="157" customFormat="1" ht="17" x14ac:dyDescent="0.2">
      <c r="C3" s="157" t="s">
        <v>270</v>
      </c>
      <c r="D3" s="158" t="s">
        <v>271</v>
      </c>
      <c r="E3" s="158" t="s">
        <v>272</v>
      </c>
      <c r="F3" s="158" t="s">
        <v>273</v>
      </c>
      <c r="G3" s="158" t="s">
        <v>274</v>
      </c>
      <c r="H3" s="158" t="s">
        <v>275</v>
      </c>
      <c r="I3" s="158" t="s">
        <v>276</v>
      </c>
      <c r="J3" s="159"/>
      <c r="N3" s="157" t="s">
        <v>343</v>
      </c>
      <c r="O3" s="157" t="s">
        <v>344</v>
      </c>
      <c r="P3" s="157" t="s">
        <v>373</v>
      </c>
      <c r="Q3" s="157" t="s">
        <v>374</v>
      </c>
      <c r="R3" s="157" t="s">
        <v>375</v>
      </c>
      <c r="S3" s="157" t="s">
        <v>376</v>
      </c>
      <c r="T3" s="157" t="s">
        <v>377</v>
      </c>
      <c r="U3" s="157" t="s">
        <v>378</v>
      </c>
      <c r="V3" s="157" t="s">
        <v>292</v>
      </c>
      <c r="W3" s="157" t="s">
        <v>379</v>
      </c>
      <c r="X3" s="157" t="s">
        <v>380</v>
      </c>
      <c r="Y3" s="157" t="s">
        <v>381</v>
      </c>
      <c r="Z3" s="157" t="s">
        <v>382</v>
      </c>
      <c r="AA3" s="157" t="s">
        <v>383</v>
      </c>
    </row>
    <row r="4" spans="1:36" x14ac:dyDescent="0.2">
      <c r="D4" s="130">
        <v>1</v>
      </c>
      <c r="E4" s="130">
        <v>2</v>
      </c>
      <c r="F4" s="130">
        <v>3</v>
      </c>
      <c r="G4" s="130">
        <v>4</v>
      </c>
      <c r="H4" s="130">
        <v>5</v>
      </c>
      <c r="I4" s="130">
        <v>6</v>
      </c>
      <c r="J4" s="130" t="s">
        <v>277</v>
      </c>
      <c r="N4" t="s">
        <v>394</v>
      </c>
      <c r="AC4" t="s">
        <v>395</v>
      </c>
    </row>
    <row r="5" spans="1:36" ht="32" x14ac:dyDescent="0.2">
      <c r="B5" s="131" t="s">
        <v>278</v>
      </c>
      <c r="C5" s="131" t="s">
        <v>279</v>
      </c>
      <c r="D5" s="132" t="s">
        <v>280</v>
      </c>
      <c r="E5" s="132" t="s">
        <v>281</v>
      </c>
      <c r="F5" s="132" t="s">
        <v>282</v>
      </c>
      <c r="G5" s="132" t="s">
        <v>283</v>
      </c>
      <c r="H5" s="132" t="s">
        <v>284</v>
      </c>
      <c r="I5" s="132" t="s">
        <v>285</v>
      </c>
      <c r="J5" s="132" t="s">
        <v>286</v>
      </c>
      <c r="K5" s="131" t="s">
        <v>287</v>
      </c>
      <c r="L5" s="133" t="s">
        <v>288</v>
      </c>
      <c r="M5" s="134" t="s">
        <v>384</v>
      </c>
      <c r="N5" s="135" t="s">
        <v>343</v>
      </c>
      <c r="O5" s="135" t="s">
        <v>344</v>
      </c>
      <c r="P5" s="135" t="s">
        <v>373</v>
      </c>
      <c r="Q5" s="135" t="s">
        <v>374</v>
      </c>
      <c r="R5" s="135" t="s">
        <v>375</v>
      </c>
      <c r="S5" s="135" t="s">
        <v>376</v>
      </c>
      <c r="T5" s="135" t="s">
        <v>377</v>
      </c>
      <c r="U5" s="135" t="s">
        <v>378</v>
      </c>
      <c r="V5" s="135" t="s">
        <v>292</v>
      </c>
      <c r="W5" s="135" t="s">
        <v>379</v>
      </c>
      <c r="X5" s="135" t="s">
        <v>380</v>
      </c>
      <c r="Y5" s="135" t="s">
        <v>381</v>
      </c>
      <c r="Z5" s="135" t="s">
        <v>382</v>
      </c>
      <c r="AA5" s="135" t="s">
        <v>383</v>
      </c>
      <c r="AB5" s="135" t="s">
        <v>286</v>
      </c>
      <c r="AC5" s="136" t="s">
        <v>344</v>
      </c>
      <c r="AD5" s="136" t="s">
        <v>281</v>
      </c>
      <c r="AE5" s="136" t="s">
        <v>282</v>
      </c>
      <c r="AF5" s="136" t="s">
        <v>283</v>
      </c>
      <c r="AG5" s="136" t="s">
        <v>284</v>
      </c>
      <c r="AH5" s="136" t="s">
        <v>285</v>
      </c>
      <c r="AI5" s="136" t="s">
        <v>286</v>
      </c>
    </row>
    <row r="6" spans="1:36" x14ac:dyDescent="0.2">
      <c r="A6" s="137" t="s">
        <v>60</v>
      </c>
      <c r="B6" s="138" t="s">
        <v>289</v>
      </c>
      <c r="C6" s="138" t="s">
        <v>60</v>
      </c>
      <c r="D6" s="139">
        <v>0</v>
      </c>
      <c r="E6" s="139">
        <v>0.1</v>
      </c>
      <c r="F6" s="139">
        <v>0.1</v>
      </c>
      <c r="G6" s="139">
        <v>0.1</v>
      </c>
      <c r="H6" s="139"/>
      <c r="I6" s="139">
        <v>0.7</v>
      </c>
      <c r="J6" s="140">
        <f t="shared" ref="J6:J22" si="0">SUM(D6:I6)</f>
        <v>1</v>
      </c>
      <c r="K6" s="138"/>
      <c r="L6">
        <v>5</v>
      </c>
      <c r="M6">
        <v>12024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X6" s="141">
        <v>0</v>
      </c>
      <c r="Y6" s="141">
        <v>0</v>
      </c>
      <c r="Z6" s="141">
        <v>0</v>
      </c>
      <c r="AA6" s="141">
        <v>0</v>
      </c>
      <c r="AB6" s="142">
        <f>P6</f>
        <v>0</v>
      </c>
      <c r="AC6" s="141">
        <f>$AB6*D6</f>
        <v>0</v>
      </c>
      <c r="AD6" s="141">
        <f t="shared" ref="AD6:AH21" si="1">$AB6*E6</f>
        <v>0</v>
      </c>
      <c r="AE6" s="141">
        <f t="shared" si="1"/>
        <v>0</v>
      </c>
      <c r="AF6" s="141">
        <f t="shared" si="1"/>
        <v>0</v>
      </c>
      <c r="AG6" s="141">
        <f t="shared" si="1"/>
        <v>0</v>
      </c>
      <c r="AH6" s="141">
        <f t="shared" si="1"/>
        <v>0</v>
      </c>
      <c r="AI6" s="142">
        <f>SUM(AC6:AH6)</f>
        <v>0</v>
      </c>
      <c r="AJ6" s="126">
        <f>AB6-AI6</f>
        <v>0</v>
      </c>
    </row>
    <row r="7" spans="1:36" ht="15" customHeight="1" x14ac:dyDescent="0.2">
      <c r="A7" s="137" t="s">
        <v>61</v>
      </c>
      <c r="B7" s="138" t="s">
        <v>289</v>
      </c>
      <c r="C7" s="138" t="s">
        <v>290</v>
      </c>
      <c r="D7" s="139">
        <v>0</v>
      </c>
      <c r="E7" s="139">
        <v>0.2</v>
      </c>
      <c r="F7" s="139">
        <v>0.2</v>
      </c>
      <c r="G7" s="139">
        <v>0.2</v>
      </c>
      <c r="H7" s="139"/>
      <c r="I7" s="139">
        <v>0.4</v>
      </c>
      <c r="J7" s="140">
        <f t="shared" si="0"/>
        <v>1</v>
      </c>
      <c r="K7" s="138"/>
      <c r="L7">
        <v>5</v>
      </c>
      <c r="M7">
        <v>12024</v>
      </c>
      <c r="N7" s="143">
        <v>0</v>
      </c>
      <c r="O7" s="143">
        <v>0</v>
      </c>
      <c r="P7" s="143">
        <v>0</v>
      </c>
      <c r="Q7" s="143">
        <v>0</v>
      </c>
      <c r="R7" s="143">
        <v>0</v>
      </c>
      <c r="S7" s="143">
        <v>0</v>
      </c>
      <c r="T7" s="143">
        <v>0</v>
      </c>
      <c r="U7" s="143">
        <v>0</v>
      </c>
      <c r="V7" s="143">
        <v>0</v>
      </c>
      <c r="W7" s="143">
        <v>0</v>
      </c>
      <c r="X7" s="143">
        <v>0</v>
      </c>
      <c r="Y7" s="143">
        <v>0</v>
      </c>
      <c r="Z7" s="143">
        <v>0</v>
      </c>
      <c r="AA7" s="143">
        <v>0</v>
      </c>
      <c r="AB7" s="144">
        <f t="shared" ref="AB7" si="2">P7</f>
        <v>0</v>
      </c>
      <c r="AC7" s="143">
        <f t="shared" ref="AC7:AH22" si="3">$AB7*D7</f>
        <v>0</v>
      </c>
      <c r="AD7" s="143">
        <f t="shared" si="1"/>
        <v>0</v>
      </c>
      <c r="AE7" s="143">
        <f t="shared" si="1"/>
        <v>0</v>
      </c>
      <c r="AF7" s="143">
        <f t="shared" si="1"/>
        <v>0</v>
      </c>
      <c r="AG7" s="143">
        <f t="shared" si="1"/>
        <v>0</v>
      </c>
      <c r="AH7" s="143">
        <f t="shared" si="1"/>
        <v>0</v>
      </c>
      <c r="AI7" s="144">
        <f t="shared" ref="AI7:AI22" si="4">SUM(AC7:AH7)</f>
        <v>0</v>
      </c>
      <c r="AJ7" s="126">
        <f t="shared" ref="AJ7:AJ22" si="5">AB7-AI7</f>
        <v>0</v>
      </c>
    </row>
    <row r="8" spans="1:36" x14ac:dyDescent="0.2">
      <c r="A8" s="137" t="s">
        <v>291</v>
      </c>
      <c r="B8" s="138" t="s">
        <v>292</v>
      </c>
      <c r="C8" s="138" t="s">
        <v>65</v>
      </c>
      <c r="D8" s="139">
        <v>0</v>
      </c>
      <c r="E8" s="139">
        <v>0.2</v>
      </c>
      <c r="F8" s="139">
        <v>0.2</v>
      </c>
      <c r="G8" s="139">
        <v>0.2</v>
      </c>
      <c r="H8" s="139"/>
      <c r="I8" s="139">
        <v>0.4</v>
      </c>
      <c r="J8" s="140">
        <f t="shared" si="0"/>
        <v>1</v>
      </c>
      <c r="K8" s="138"/>
      <c r="L8">
        <v>5</v>
      </c>
      <c r="M8">
        <v>12024</v>
      </c>
      <c r="N8" s="143">
        <v>0</v>
      </c>
      <c r="O8" s="143">
        <v>0</v>
      </c>
      <c r="P8" s="143">
        <v>0</v>
      </c>
      <c r="Q8" s="143">
        <v>0</v>
      </c>
      <c r="R8" s="143">
        <v>0</v>
      </c>
      <c r="S8" s="143">
        <v>0</v>
      </c>
      <c r="T8" s="143">
        <v>0</v>
      </c>
      <c r="U8" s="143">
        <v>0</v>
      </c>
      <c r="V8" s="143">
        <v>0</v>
      </c>
      <c r="W8" s="143">
        <v>0</v>
      </c>
      <c r="X8" s="143">
        <v>0</v>
      </c>
      <c r="Y8" s="143">
        <v>0</v>
      </c>
      <c r="Z8" s="143">
        <v>0</v>
      </c>
      <c r="AA8" s="143">
        <v>0</v>
      </c>
      <c r="AB8" s="144">
        <f>V8</f>
        <v>0</v>
      </c>
      <c r="AC8" s="143">
        <f t="shared" si="3"/>
        <v>0</v>
      </c>
      <c r="AD8" s="143">
        <f t="shared" si="1"/>
        <v>0</v>
      </c>
      <c r="AE8" s="143">
        <f t="shared" si="1"/>
        <v>0</v>
      </c>
      <c r="AF8" s="143">
        <f t="shared" si="1"/>
        <v>0</v>
      </c>
      <c r="AG8" s="143">
        <f t="shared" si="1"/>
        <v>0</v>
      </c>
      <c r="AH8" s="143">
        <f t="shared" si="1"/>
        <v>0</v>
      </c>
      <c r="AI8" s="144">
        <f t="shared" si="4"/>
        <v>0</v>
      </c>
      <c r="AJ8" s="126">
        <f t="shared" si="5"/>
        <v>0</v>
      </c>
    </row>
    <row r="9" spans="1:36" x14ac:dyDescent="0.2">
      <c r="A9" s="137" t="s">
        <v>62</v>
      </c>
      <c r="B9" s="138" t="s">
        <v>292</v>
      </c>
      <c r="C9" s="138" t="s">
        <v>66</v>
      </c>
      <c r="D9" s="139">
        <v>0</v>
      </c>
      <c r="E9" s="139">
        <v>0</v>
      </c>
      <c r="F9" s="139">
        <v>0</v>
      </c>
      <c r="G9" s="139">
        <v>0</v>
      </c>
      <c r="H9" s="139"/>
      <c r="I9" s="139">
        <v>1</v>
      </c>
      <c r="J9" s="140">
        <f t="shared" si="0"/>
        <v>1</v>
      </c>
      <c r="K9" s="138"/>
      <c r="L9" t="s">
        <v>293</v>
      </c>
      <c r="M9">
        <v>12024</v>
      </c>
      <c r="N9" s="143">
        <v>0</v>
      </c>
      <c r="O9" s="143">
        <v>0</v>
      </c>
      <c r="P9" s="143">
        <v>0</v>
      </c>
      <c r="Q9" s="143">
        <v>0</v>
      </c>
      <c r="R9" s="143">
        <v>0</v>
      </c>
      <c r="S9" s="143">
        <v>0</v>
      </c>
      <c r="T9" s="143">
        <v>0</v>
      </c>
      <c r="U9" s="143">
        <v>0</v>
      </c>
      <c r="V9" s="143">
        <v>0</v>
      </c>
      <c r="W9" s="143">
        <v>0</v>
      </c>
      <c r="X9" s="143">
        <v>0</v>
      </c>
      <c r="Y9" s="143">
        <v>0</v>
      </c>
      <c r="Z9" s="143">
        <v>0</v>
      </c>
      <c r="AA9" s="143">
        <v>0</v>
      </c>
      <c r="AB9" s="144">
        <f t="shared" ref="AB9:AB13" si="6">V9</f>
        <v>0</v>
      </c>
      <c r="AC9" s="143">
        <f t="shared" si="3"/>
        <v>0</v>
      </c>
      <c r="AD9" s="143">
        <f t="shared" si="1"/>
        <v>0</v>
      </c>
      <c r="AE9" s="143">
        <f t="shared" si="1"/>
        <v>0</v>
      </c>
      <c r="AF9" s="143">
        <f t="shared" si="1"/>
        <v>0</v>
      </c>
      <c r="AG9" s="143">
        <f t="shared" si="1"/>
        <v>0</v>
      </c>
      <c r="AH9" s="143">
        <f t="shared" si="1"/>
        <v>0</v>
      </c>
      <c r="AI9" s="144">
        <f t="shared" si="4"/>
        <v>0</v>
      </c>
      <c r="AJ9" s="126">
        <f t="shared" si="5"/>
        <v>0</v>
      </c>
    </row>
    <row r="10" spans="1:36" x14ac:dyDescent="0.2">
      <c r="A10" s="137" t="s">
        <v>290</v>
      </c>
      <c r="B10" s="138" t="s">
        <v>292</v>
      </c>
      <c r="C10" s="138" t="s">
        <v>26</v>
      </c>
      <c r="D10" s="139">
        <v>0</v>
      </c>
      <c r="E10" s="139">
        <v>0</v>
      </c>
      <c r="F10" s="139">
        <v>0</v>
      </c>
      <c r="G10" s="139">
        <v>0</v>
      </c>
      <c r="H10" s="139"/>
      <c r="I10" s="139">
        <v>1</v>
      </c>
      <c r="J10" s="140">
        <f t="shared" si="0"/>
        <v>1</v>
      </c>
      <c r="K10" s="138"/>
      <c r="L10" t="s">
        <v>293</v>
      </c>
      <c r="M10">
        <v>12024</v>
      </c>
      <c r="N10" s="143">
        <v>0</v>
      </c>
      <c r="O10" s="143">
        <v>0</v>
      </c>
      <c r="P10" s="143">
        <v>0</v>
      </c>
      <c r="Q10" s="143">
        <v>0</v>
      </c>
      <c r="R10" s="143">
        <v>0</v>
      </c>
      <c r="S10" s="143">
        <v>0</v>
      </c>
      <c r="T10" s="143">
        <v>0</v>
      </c>
      <c r="U10" s="143">
        <v>0</v>
      </c>
      <c r="V10" s="143">
        <v>0</v>
      </c>
      <c r="W10" s="143">
        <v>0</v>
      </c>
      <c r="X10" s="143">
        <v>0</v>
      </c>
      <c r="Y10" s="143">
        <v>0</v>
      </c>
      <c r="Z10" s="143">
        <v>0</v>
      </c>
      <c r="AA10" s="143">
        <v>0</v>
      </c>
      <c r="AB10" s="144">
        <f t="shared" si="6"/>
        <v>0</v>
      </c>
      <c r="AC10" s="143">
        <f t="shared" si="3"/>
        <v>0</v>
      </c>
      <c r="AD10" s="143">
        <f t="shared" si="1"/>
        <v>0</v>
      </c>
      <c r="AE10" s="143">
        <f t="shared" si="1"/>
        <v>0</v>
      </c>
      <c r="AF10" s="143">
        <f t="shared" si="1"/>
        <v>0</v>
      </c>
      <c r="AG10" s="143">
        <f t="shared" si="1"/>
        <v>0</v>
      </c>
      <c r="AH10" s="143">
        <f t="shared" si="1"/>
        <v>0</v>
      </c>
      <c r="AI10" s="144">
        <f t="shared" si="4"/>
        <v>0</v>
      </c>
      <c r="AJ10" s="126">
        <f t="shared" si="5"/>
        <v>0</v>
      </c>
    </row>
    <row r="11" spans="1:36" x14ac:dyDescent="0.2">
      <c r="A11" s="137" t="s">
        <v>22</v>
      </c>
      <c r="B11" s="138" t="s">
        <v>294</v>
      </c>
      <c r="C11" s="138" t="s">
        <v>63</v>
      </c>
      <c r="D11" s="139">
        <v>0</v>
      </c>
      <c r="E11" s="139">
        <v>0.2</v>
      </c>
      <c r="F11" s="139">
        <v>0.2</v>
      </c>
      <c r="G11" s="139">
        <v>0.2</v>
      </c>
      <c r="H11" s="139"/>
      <c r="I11" s="139">
        <v>0.4</v>
      </c>
      <c r="J11" s="140">
        <f t="shared" si="0"/>
        <v>1</v>
      </c>
      <c r="K11" s="138" t="s">
        <v>295</v>
      </c>
      <c r="L11">
        <v>5</v>
      </c>
      <c r="M11">
        <v>12024</v>
      </c>
      <c r="N11" s="143">
        <v>0</v>
      </c>
      <c r="O11" s="143">
        <v>0</v>
      </c>
      <c r="P11" s="143">
        <v>0</v>
      </c>
      <c r="Q11" s="143">
        <v>0</v>
      </c>
      <c r="R11" s="143">
        <v>0</v>
      </c>
      <c r="S11" s="143">
        <v>0</v>
      </c>
      <c r="T11" s="143">
        <v>0</v>
      </c>
      <c r="U11" s="143">
        <v>0</v>
      </c>
      <c r="V11" s="143">
        <v>0</v>
      </c>
      <c r="W11" s="143">
        <v>0</v>
      </c>
      <c r="X11" s="143">
        <v>0</v>
      </c>
      <c r="Y11" s="143">
        <v>0</v>
      </c>
      <c r="Z11" s="143">
        <v>0</v>
      </c>
      <c r="AA11" s="143">
        <v>0</v>
      </c>
      <c r="AB11" s="144">
        <f>Q11</f>
        <v>0</v>
      </c>
      <c r="AC11" s="143">
        <f t="shared" si="3"/>
        <v>0</v>
      </c>
      <c r="AD11" s="143">
        <f t="shared" si="1"/>
        <v>0</v>
      </c>
      <c r="AE11" s="143">
        <f t="shared" si="1"/>
        <v>0</v>
      </c>
      <c r="AF11" s="143">
        <f t="shared" si="1"/>
        <v>0</v>
      </c>
      <c r="AG11" s="143">
        <f t="shared" si="1"/>
        <v>0</v>
      </c>
      <c r="AH11" s="143">
        <f t="shared" si="1"/>
        <v>0</v>
      </c>
      <c r="AI11" s="144">
        <f t="shared" si="4"/>
        <v>0</v>
      </c>
      <c r="AJ11" s="126">
        <f t="shared" si="5"/>
        <v>0</v>
      </c>
    </row>
    <row r="12" spans="1:36" x14ac:dyDescent="0.2">
      <c r="A12" s="137" t="s">
        <v>63</v>
      </c>
      <c r="B12" s="138" t="s">
        <v>294</v>
      </c>
      <c r="C12" s="138" t="s">
        <v>30</v>
      </c>
      <c r="D12" s="139">
        <v>0</v>
      </c>
      <c r="E12" s="139">
        <v>0.2</v>
      </c>
      <c r="F12" s="139">
        <v>0.2</v>
      </c>
      <c r="G12" s="139">
        <v>0.2</v>
      </c>
      <c r="H12" s="139"/>
      <c r="I12" s="139">
        <v>0.4</v>
      </c>
      <c r="J12" s="140">
        <f t="shared" si="0"/>
        <v>1</v>
      </c>
      <c r="K12" s="138" t="s">
        <v>295</v>
      </c>
      <c r="L12">
        <v>5</v>
      </c>
      <c r="M12">
        <v>12024</v>
      </c>
      <c r="N12" s="143">
        <v>0</v>
      </c>
      <c r="O12" s="143">
        <v>0</v>
      </c>
      <c r="P12" s="143">
        <v>0</v>
      </c>
      <c r="Q12" s="143">
        <v>0</v>
      </c>
      <c r="R12" s="143">
        <v>0</v>
      </c>
      <c r="S12" s="143">
        <v>0</v>
      </c>
      <c r="T12" s="143">
        <v>0</v>
      </c>
      <c r="U12" s="143">
        <v>0</v>
      </c>
      <c r="V12" s="143">
        <v>0</v>
      </c>
      <c r="W12" s="143">
        <v>0</v>
      </c>
      <c r="X12" s="143">
        <v>0</v>
      </c>
      <c r="Y12" s="143">
        <v>0</v>
      </c>
      <c r="Z12" s="143">
        <v>0</v>
      </c>
      <c r="AA12" s="143">
        <v>0</v>
      </c>
      <c r="AB12" s="144">
        <f>Q12</f>
        <v>0</v>
      </c>
      <c r="AC12" s="143">
        <f t="shared" si="3"/>
        <v>0</v>
      </c>
      <c r="AD12" s="143">
        <f t="shared" si="1"/>
        <v>0</v>
      </c>
      <c r="AE12" s="143">
        <f t="shared" si="1"/>
        <v>0</v>
      </c>
      <c r="AF12" s="143">
        <f t="shared" si="1"/>
        <v>0</v>
      </c>
      <c r="AG12" s="143">
        <f t="shared" si="1"/>
        <v>0</v>
      </c>
      <c r="AH12" s="143">
        <f t="shared" si="1"/>
        <v>0</v>
      </c>
      <c r="AI12" s="144">
        <f t="shared" si="4"/>
        <v>0</v>
      </c>
      <c r="AJ12" s="126">
        <f t="shared" si="5"/>
        <v>0</v>
      </c>
    </row>
    <row r="13" spans="1:36" x14ac:dyDescent="0.2">
      <c r="A13" s="137" t="s">
        <v>30</v>
      </c>
      <c r="B13" s="138" t="s">
        <v>292</v>
      </c>
      <c r="C13" s="138" t="s">
        <v>296</v>
      </c>
      <c r="D13" s="139">
        <v>0</v>
      </c>
      <c r="E13" s="139">
        <v>0.2</v>
      </c>
      <c r="F13" s="139">
        <v>0.2</v>
      </c>
      <c r="G13" s="139">
        <v>0.2</v>
      </c>
      <c r="H13" s="139"/>
      <c r="I13" s="139">
        <v>0.4</v>
      </c>
      <c r="J13" s="140">
        <f t="shared" si="0"/>
        <v>1</v>
      </c>
      <c r="K13" s="138"/>
      <c r="L13">
        <v>5</v>
      </c>
      <c r="M13">
        <v>12024</v>
      </c>
      <c r="N13" s="143">
        <v>0</v>
      </c>
      <c r="O13" s="143">
        <v>0</v>
      </c>
      <c r="P13" s="143">
        <v>0</v>
      </c>
      <c r="Q13" s="143">
        <v>0</v>
      </c>
      <c r="R13" s="143">
        <v>0</v>
      </c>
      <c r="S13" s="143">
        <v>0</v>
      </c>
      <c r="T13" s="143">
        <v>0</v>
      </c>
      <c r="U13" s="143">
        <v>0</v>
      </c>
      <c r="V13" s="143">
        <v>0</v>
      </c>
      <c r="W13" s="143">
        <v>0</v>
      </c>
      <c r="X13" s="143">
        <v>0</v>
      </c>
      <c r="Y13" s="143">
        <v>0</v>
      </c>
      <c r="Z13" s="143">
        <v>0</v>
      </c>
      <c r="AA13" s="143">
        <v>0</v>
      </c>
      <c r="AB13" s="144">
        <f t="shared" si="6"/>
        <v>0</v>
      </c>
      <c r="AC13" s="143">
        <f t="shared" si="3"/>
        <v>0</v>
      </c>
      <c r="AD13" s="143">
        <f t="shared" si="1"/>
        <v>0</v>
      </c>
      <c r="AE13" s="143">
        <f t="shared" si="1"/>
        <v>0</v>
      </c>
      <c r="AF13" s="143">
        <f t="shared" si="1"/>
        <v>0</v>
      </c>
      <c r="AG13" s="143">
        <f t="shared" si="1"/>
        <v>0</v>
      </c>
      <c r="AH13" s="143">
        <f t="shared" si="1"/>
        <v>0</v>
      </c>
      <c r="AI13" s="144">
        <f t="shared" si="4"/>
        <v>0</v>
      </c>
      <c r="AJ13" s="126">
        <f t="shared" si="5"/>
        <v>0</v>
      </c>
    </row>
    <row r="14" spans="1:36" x14ac:dyDescent="0.2">
      <c r="A14" s="137" t="s">
        <v>64</v>
      </c>
      <c r="B14" s="138" t="s">
        <v>289</v>
      </c>
      <c r="C14" s="138" t="s">
        <v>61</v>
      </c>
      <c r="D14" s="139">
        <v>0.5</v>
      </c>
      <c r="E14" s="139">
        <v>0.1</v>
      </c>
      <c r="F14" s="139">
        <v>0.1</v>
      </c>
      <c r="G14" s="139">
        <v>0.1</v>
      </c>
      <c r="H14" s="139"/>
      <c r="I14" s="139">
        <v>0.2</v>
      </c>
      <c r="J14" s="140">
        <f t="shared" si="0"/>
        <v>1</v>
      </c>
      <c r="K14" s="138"/>
      <c r="L14">
        <v>5</v>
      </c>
      <c r="M14">
        <v>12024</v>
      </c>
      <c r="N14" s="143">
        <v>0</v>
      </c>
      <c r="O14" s="143">
        <v>0</v>
      </c>
      <c r="P14" s="143">
        <v>0</v>
      </c>
      <c r="Q14" s="143">
        <v>0</v>
      </c>
      <c r="R14" s="143">
        <v>0</v>
      </c>
      <c r="S14" s="143">
        <v>0</v>
      </c>
      <c r="T14" s="143">
        <v>0</v>
      </c>
      <c r="U14" s="143">
        <v>0</v>
      </c>
      <c r="V14" s="143">
        <v>0</v>
      </c>
      <c r="W14" s="143">
        <v>0</v>
      </c>
      <c r="X14" s="143">
        <v>0</v>
      </c>
      <c r="Y14" s="143">
        <v>0</v>
      </c>
      <c r="Z14" s="143">
        <v>0</v>
      </c>
      <c r="AA14" s="143">
        <v>0</v>
      </c>
      <c r="AB14" s="144">
        <f t="shared" ref="AB14:AB19" si="7">P14</f>
        <v>0</v>
      </c>
      <c r="AC14" s="143">
        <f t="shared" si="3"/>
        <v>0</v>
      </c>
      <c r="AD14" s="143">
        <f t="shared" si="1"/>
        <v>0</v>
      </c>
      <c r="AE14" s="143">
        <f t="shared" si="1"/>
        <v>0</v>
      </c>
      <c r="AF14" s="143">
        <f t="shared" si="1"/>
        <v>0</v>
      </c>
      <c r="AG14" s="143">
        <f t="shared" si="1"/>
        <v>0</v>
      </c>
      <c r="AH14" s="143">
        <f t="shared" si="1"/>
        <v>0</v>
      </c>
      <c r="AI14" s="144">
        <f t="shared" si="4"/>
        <v>0</v>
      </c>
      <c r="AJ14" s="126">
        <f t="shared" si="5"/>
        <v>0</v>
      </c>
    </row>
    <row r="15" spans="1:36" x14ac:dyDescent="0.2">
      <c r="A15" s="137" t="s">
        <v>68</v>
      </c>
      <c r="B15" s="138" t="s">
        <v>289</v>
      </c>
      <c r="C15" s="138" t="s">
        <v>62</v>
      </c>
      <c r="D15" s="139">
        <v>0</v>
      </c>
      <c r="E15" s="139">
        <v>0.16999999999999998</v>
      </c>
      <c r="F15" s="139">
        <v>0.16999999999999998</v>
      </c>
      <c r="G15" s="139">
        <v>0.16999999999999998</v>
      </c>
      <c r="H15" s="139"/>
      <c r="I15" s="139">
        <v>0.49</v>
      </c>
      <c r="J15" s="140">
        <f t="shared" si="0"/>
        <v>1</v>
      </c>
      <c r="K15" s="138"/>
      <c r="L15">
        <v>6</v>
      </c>
      <c r="M15">
        <v>12024</v>
      </c>
      <c r="N15" s="143">
        <v>0</v>
      </c>
      <c r="O15" s="143">
        <v>0</v>
      </c>
      <c r="P15" s="143">
        <v>0</v>
      </c>
      <c r="Q15" s="143">
        <v>0</v>
      </c>
      <c r="R15" s="143">
        <v>0</v>
      </c>
      <c r="S15" s="143">
        <v>0</v>
      </c>
      <c r="T15" s="143">
        <v>0</v>
      </c>
      <c r="U15" s="143">
        <v>0</v>
      </c>
      <c r="V15" s="143">
        <v>0</v>
      </c>
      <c r="W15" s="143">
        <v>0</v>
      </c>
      <c r="X15" s="143">
        <v>0</v>
      </c>
      <c r="Y15" s="143">
        <v>0</v>
      </c>
      <c r="Z15" s="143">
        <v>0</v>
      </c>
      <c r="AA15" s="143">
        <v>0</v>
      </c>
      <c r="AB15" s="144">
        <f t="shared" si="7"/>
        <v>0</v>
      </c>
      <c r="AC15" s="143">
        <f t="shared" si="3"/>
        <v>0</v>
      </c>
      <c r="AD15" s="143">
        <f t="shared" si="1"/>
        <v>0</v>
      </c>
      <c r="AE15" s="143">
        <f t="shared" si="1"/>
        <v>0</v>
      </c>
      <c r="AF15" s="143">
        <f t="shared" si="1"/>
        <v>0</v>
      </c>
      <c r="AG15" s="143">
        <f t="shared" si="1"/>
        <v>0</v>
      </c>
      <c r="AH15" s="143">
        <f t="shared" si="1"/>
        <v>0</v>
      </c>
      <c r="AI15" s="144">
        <f t="shared" si="4"/>
        <v>0</v>
      </c>
      <c r="AJ15" s="126">
        <f t="shared" si="5"/>
        <v>0</v>
      </c>
    </row>
    <row r="16" spans="1:36" x14ac:dyDescent="0.2">
      <c r="A16" s="137" t="s">
        <v>72</v>
      </c>
      <c r="B16" s="138" t="s">
        <v>289</v>
      </c>
      <c r="C16" s="138" t="s">
        <v>22</v>
      </c>
      <c r="D16" s="139">
        <v>0</v>
      </c>
      <c r="E16" s="139">
        <v>0.1</v>
      </c>
      <c r="F16" s="139">
        <v>0.1</v>
      </c>
      <c r="G16" s="139">
        <v>0.1</v>
      </c>
      <c r="H16" s="139"/>
      <c r="I16" s="139">
        <v>0.7</v>
      </c>
      <c r="J16" s="140">
        <f t="shared" si="0"/>
        <v>1</v>
      </c>
      <c r="K16" s="138"/>
      <c r="L16">
        <v>5</v>
      </c>
      <c r="M16">
        <v>12024</v>
      </c>
      <c r="N16" s="143">
        <v>0</v>
      </c>
      <c r="O16" s="143">
        <v>0</v>
      </c>
      <c r="P16" s="143">
        <v>0</v>
      </c>
      <c r="Q16" s="143">
        <v>0</v>
      </c>
      <c r="R16" s="143">
        <v>0</v>
      </c>
      <c r="S16" s="143">
        <v>0</v>
      </c>
      <c r="T16" s="143">
        <v>0</v>
      </c>
      <c r="U16" s="143">
        <v>0</v>
      </c>
      <c r="V16" s="143">
        <v>0</v>
      </c>
      <c r="W16" s="143">
        <v>0</v>
      </c>
      <c r="X16" s="143">
        <v>0</v>
      </c>
      <c r="Y16" s="143">
        <v>0</v>
      </c>
      <c r="Z16" s="143">
        <v>0</v>
      </c>
      <c r="AA16" s="143">
        <v>0</v>
      </c>
      <c r="AB16" s="144">
        <f t="shared" si="7"/>
        <v>0</v>
      </c>
      <c r="AC16" s="143">
        <f t="shared" si="3"/>
        <v>0</v>
      </c>
      <c r="AD16" s="143">
        <f t="shared" si="1"/>
        <v>0</v>
      </c>
      <c r="AE16" s="143">
        <f t="shared" si="1"/>
        <v>0</v>
      </c>
      <c r="AF16" s="143">
        <f t="shared" si="1"/>
        <v>0</v>
      </c>
      <c r="AG16" s="143">
        <f t="shared" si="1"/>
        <v>0</v>
      </c>
      <c r="AH16" s="143">
        <f t="shared" si="1"/>
        <v>0</v>
      </c>
      <c r="AI16" s="144">
        <f t="shared" si="4"/>
        <v>0</v>
      </c>
      <c r="AJ16" s="126">
        <f t="shared" si="5"/>
        <v>0</v>
      </c>
    </row>
    <row r="17" spans="1:36" x14ac:dyDescent="0.2">
      <c r="A17" s="137" t="s">
        <v>65</v>
      </c>
      <c r="B17" s="138" t="s">
        <v>289</v>
      </c>
      <c r="C17" s="138" t="s">
        <v>68</v>
      </c>
      <c r="D17" s="139">
        <v>0</v>
      </c>
      <c r="E17" s="139">
        <v>0.16999999999999998</v>
      </c>
      <c r="F17" s="139">
        <v>0.16999999999999998</v>
      </c>
      <c r="G17" s="139">
        <v>0.16999999999999998</v>
      </c>
      <c r="H17" s="139"/>
      <c r="I17" s="139">
        <v>0.49</v>
      </c>
      <c r="J17" s="140">
        <f t="shared" si="0"/>
        <v>1</v>
      </c>
      <c r="K17" s="138"/>
      <c r="L17">
        <v>6</v>
      </c>
      <c r="M17">
        <v>12024</v>
      </c>
      <c r="N17" s="143">
        <v>0</v>
      </c>
      <c r="O17" s="143">
        <v>0</v>
      </c>
      <c r="P17" s="143">
        <v>0</v>
      </c>
      <c r="Q17" s="143">
        <v>0</v>
      </c>
      <c r="R17" s="143">
        <v>0</v>
      </c>
      <c r="S17" s="143">
        <v>0</v>
      </c>
      <c r="T17" s="143">
        <v>0</v>
      </c>
      <c r="U17" s="143">
        <v>0</v>
      </c>
      <c r="V17" s="143">
        <v>0</v>
      </c>
      <c r="W17" s="143">
        <v>0</v>
      </c>
      <c r="X17" s="143">
        <v>0</v>
      </c>
      <c r="Y17" s="143">
        <v>0</v>
      </c>
      <c r="Z17" s="143">
        <v>0</v>
      </c>
      <c r="AA17" s="143">
        <v>0</v>
      </c>
      <c r="AB17" s="144">
        <f t="shared" si="7"/>
        <v>0</v>
      </c>
      <c r="AC17" s="143">
        <f t="shared" si="3"/>
        <v>0</v>
      </c>
      <c r="AD17" s="143">
        <f t="shared" si="1"/>
        <v>0</v>
      </c>
      <c r="AE17" s="143">
        <f t="shared" si="1"/>
        <v>0</v>
      </c>
      <c r="AF17" s="143">
        <f t="shared" si="1"/>
        <v>0</v>
      </c>
      <c r="AG17" s="143">
        <f t="shared" si="1"/>
        <v>0</v>
      </c>
      <c r="AH17" s="143">
        <f t="shared" si="1"/>
        <v>0</v>
      </c>
      <c r="AI17" s="144">
        <f t="shared" si="4"/>
        <v>0</v>
      </c>
      <c r="AJ17" s="126">
        <f t="shared" si="5"/>
        <v>0</v>
      </c>
    </row>
    <row r="18" spans="1:36" x14ac:dyDescent="0.2">
      <c r="A18" s="137" t="s">
        <v>296</v>
      </c>
      <c r="B18" s="138" t="s">
        <v>289</v>
      </c>
      <c r="C18" s="138" t="s">
        <v>55</v>
      </c>
      <c r="D18" s="139">
        <v>0</v>
      </c>
      <c r="E18" s="139">
        <v>0.16999999999999998</v>
      </c>
      <c r="F18" s="139">
        <v>0.16999999999999998</v>
      </c>
      <c r="G18" s="139">
        <v>0.16999999999999998</v>
      </c>
      <c r="H18" s="139"/>
      <c r="I18" s="139">
        <v>0.49</v>
      </c>
      <c r="J18" s="140">
        <f t="shared" si="0"/>
        <v>1</v>
      </c>
      <c r="K18" s="138"/>
      <c r="L18">
        <v>6</v>
      </c>
      <c r="M18">
        <v>12024</v>
      </c>
      <c r="N18" s="143">
        <v>0</v>
      </c>
      <c r="O18" s="143">
        <v>0</v>
      </c>
      <c r="P18" s="143">
        <v>0</v>
      </c>
      <c r="Q18" s="143">
        <v>0</v>
      </c>
      <c r="R18" s="143">
        <v>0</v>
      </c>
      <c r="S18" s="143">
        <v>0</v>
      </c>
      <c r="T18" s="143">
        <v>0</v>
      </c>
      <c r="U18" s="143">
        <v>0</v>
      </c>
      <c r="V18" s="143">
        <v>0</v>
      </c>
      <c r="W18" s="143">
        <v>0</v>
      </c>
      <c r="X18" s="143">
        <v>0</v>
      </c>
      <c r="Y18" s="143">
        <v>0</v>
      </c>
      <c r="Z18" s="143">
        <v>0</v>
      </c>
      <c r="AA18" s="143">
        <v>0</v>
      </c>
      <c r="AB18" s="144">
        <f t="shared" si="7"/>
        <v>0</v>
      </c>
      <c r="AC18" s="143">
        <f t="shared" si="3"/>
        <v>0</v>
      </c>
      <c r="AD18" s="143">
        <f t="shared" si="1"/>
        <v>0</v>
      </c>
      <c r="AE18" s="143">
        <f t="shared" si="1"/>
        <v>0</v>
      </c>
      <c r="AF18" s="143">
        <f t="shared" si="1"/>
        <v>0</v>
      </c>
      <c r="AG18" s="143">
        <f t="shared" si="1"/>
        <v>0</v>
      </c>
      <c r="AH18" s="143">
        <f t="shared" si="1"/>
        <v>0</v>
      </c>
      <c r="AI18" s="144">
        <f t="shared" si="4"/>
        <v>0</v>
      </c>
      <c r="AJ18" s="126">
        <f t="shared" si="5"/>
        <v>0</v>
      </c>
    </row>
    <row r="19" spans="1:36" x14ac:dyDescent="0.2">
      <c r="A19" s="137" t="s">
        <v>66</v>
      </c>
      <c r="B19" s="138" t="s">
        <v>289</v>
      </c>
      <c r="C19" s="138" t="s">
        <v>67</v>
      </c>
      <c r="D19" s="139">
        <v>0</v>
      </c>
      <c r="E19" s="139">
        <v>0.16999999999999998</v>
      </c>
      <c r="F19" s="139">
        <v>0.16999999999999998</v>
      </c>
      <c r="G19" s="139">
        <v>0.16999999999999998</v>
      </c>
      <c r="H19" s="139"/>
      <c r="I19" s="139">
        <v>0.49</v>
      </c>
      <c r="J19" s="140">
        <f t="shared" si="0"/>
        <v>1</v>
      </c>
      <c r="K19" s="138"/>
      <c r="L19">
        <v>6</v>
      </c>
      <c r="M19">
        <v>12024</v>
      </c>
      <c r="N19" s="143">
        <v>0</v>
      </c>
      <c r="O19" s="143">
        <v>0</v>
      </c>
      <c r="P19" s="143">
        <v>0</v>
      </c>
      <c r="Q19" s="143">
        <v>0</v>
      </c>
      <c r="R19" s="143">
        <v>0</v>
      </c>
      <c r="S19" s="143">
        <v>0</v>
      </c>
      <c r="T19" s="143">
        <v>0</v>
      </c>
      <c r="U19" s="143">
        <v>0</v>
      </c>
      <c r="V19" s="143">
        <v>0</v>
      </c>
      <c r="W19" s="143">
        <v>0</v>
      </c>
      <c r="X19" s="143">
        <v>0</v>
      </c>
      <c r="Y19" s="143">
        <v>0</v>
      </c>
      <c r="Z19" s="143">
        <v>0</v>
      </c>
      <c r="AA19" s="143">
        <v>0</v>
      </c>
      <c r="AB19" s="144">
        <f t="shared" si="7"/>
        <v>0</v>
      </c>
      <c r="AC19" s="143">
        <f t="shared" si="3"/>
        <v>0</v>
      </c>
      <c r="AD19" s="143">
        <f t="shared" si="1"/>
        <v>0</v>
      </c>
      <c r="AE19" s="143">
        <f t="shared" si="1"/>
        <v>0</v>
      </c>
      <c r="AF19" s="143">
        <f t="shared" si="1"/>
        <v>0</v>
      </c>
      <c r="AG19" s="143">
        <f t="shared" si="1"/>
        <v>0</v>
      </c>
      <c r="AH19" s="143">
        <f t="shared" si="1"/>
        <v>0</v>
      </c>
      <c r="AI19" s="144">
        <f t="shared" si="4"/>
        <v>0</v>
      </c>
      <c r="AJ19" s="126">
        <f t="shared" si="5"/>
        <v>0</v>
      </c>
    </row>
    <row r="20" spans="1:36" x14ac:dyDescent="0.2">
      <c r="A20" s="137" t="s">
        <v>26</v>
      </c>
      <c r="B20" s="138" t="s">
        <v>294</v>
      </c>
      <c r="C20" s="138" t="s">
        <v>56</v>
      </c>
      <c r="D20" s="139">
        <v>0</v>
      </c>
      <c r="E20" s="139">
        <v>0.2</v>
      </c>
      <c r="F20" s="139">
        <v>0.2</v>
      </c>
      <c r="G20" s="139">
        <v>0.2</v>
      </c>
      <c r="H20" s="139"/>
      <c r="I20" s="139">
        <v>0.4</v>
      </c>
      <c r="J20" s="140">
        <f t="shared" si="0"/>
        <v>1</v>
      </c>
      <c r="K20" s="138"/>
      <c r="L20">
        <v>5</v>
      </c>
      <c r="M20">
        <v>12024</v>
      </c>
      <c r="N20" s="143">
        <v>0</v>
      </c>
      <c r="O20" s="143">
        <v>0</v>
      </c>
      <c r="P20" s="143">
        <v>0</v>
      </c>
      <c r="Q20" s="143">
        <v>0</v>
      </c>
      <c r="R20" s="143">
        <v>0</v>
      </c>
      <c r="S20" s="143">
        <v>0</v>
      </c>
      <c r="T20" s="143">
        <v>0</v>
      </c>
      <c r="U20" s="143">
        <v>0</v>
      </c>
      <c r="V20" s="143">
        <v>0</v>
      </c>
      <c r="W20" s="143">
        <v>0</v>
      </c>
      <c r="X20" s="143">
        <v>0</v>
      </c>
      <c r="Y20" s="143">
        <v>0</v>
      </c>
      <c r="Z20" s="143">
        <v>0</v>
      </c>
      <c r="AA20" s="143">
        <v>0</v>
      </c>
      <c r="AB20" s="144">
        <f t="shared" ref="AB20:AB21" si="8">Q20</f>
        <v>0</v>
      </c>
      <c r="AC20" s="143">
        <f t="shared" si="3"/>
        <v>0</v>
      </c>
      <c r="AD20" s="143">
        <f t="shared" si="1"/>
        <v>0</v>
      </c>
      <c r="AE20" s="143">
        <f t="shared" si="1"/>
        <v>0</v>
      </c>
      <c r="AF20" s="143">
        <f t="shared" si="1"/>
        <v>0</v>
      </c>
      <c r="AG20" s="143">
        <f t="shared" si="1"/>
        <v>0</v>
      </c>
      <c r="AH20" s="143">
        <f t="shared" si="1"/>
        <v>0</v>
      </c>
      <c r="AI20" s="144">
        <f t="shared" si="4"/>
        <v>0</v>
      </c>
      <c r="AJ20" s="126">
        <f t="shared" si="5"/>
        <v>0</v>
      </c>
    </row>
    <row r="21" spans="1:36" x14ac:dyDescent="0.2">
      <c r="A21" s="137" t="s">
        <v>56</v>
      </c>
      <c r="B21" s="138" t="s">
        <v>294</v>
      </c>
      <c r="C21" s="138" t="s">
        <v>64</v>
      </c>
      <c r="D21" s="139">
        <v>0</v>
      </c>
      <c r="E21" s="139">
        <v>0.2</v>
      </c>
      <c r="F21" s="139">
        <v>0.2</v>
      </c>
      <c r="G21" s="139">
        <v>0.2</v>
      </c>
      <c r="H21" s="139"/>
      <c r="I21" s="139">
        <v>0.4</v>
      </c>
      <c r="J21" s="140">
        <f t="shared" si="0"/>
        <v>1</v>
      </c>
      <c r="K21" s="138"/>
      <c r="L21">
        <v>5</v>
      </c>
      <c r="M21">
        <v>12024</v>
      </c>
      <c r="N21" s="143">
        <v>0</v>
      </c>
      <c r="O21" s="143">
        <v>0</v>
      </c>
      <c r="P21" s="143">
        <v>0</v>
      </c>
      <c r="Q21" s="143">
        <v>0</v>
      </c>
      <c r="R21" s="143">
        <v>0</v>
      </c>
      <c r="S21" s="143">
        <v>0</v>
      </c>
      <c r="T21" s="143">
        <v>0</v>
      </c>
      <c r="U21" s="143">
        <v>0</v>
      </c>
      <c r="V21" s="143">
        <v>0</v>
      </c>
      <c r="W21" s="143">
        <v>0</v>
      </c>
      <c r="X21" s="143">
        <v>0</v>
      </c>
      <c r="Y21" s="143">
        <v>0</v>
      </c>
      <c r="Z21" s="143">
        <v>0</v>
      </c>
      <c r="AA21" s="143">
        <v>0</v>
      </c>
      <c r="AB21" s="144">
        <f t="shared" si="8"/>
        <v>0</v>
      </c>
      <c r="AC21" s="143">
        <f t="shared" si="3"/>
        <v>0</v>
      </c>
      <c r="AD21" s="143">
        <f t="shared" si="1"/>
        <v>0</v>
      </c>
      <c r="AE21" s="143">
        <f t="shared" si="1"/>
        <v>0</v>
      </c>
      <c r="AF21" s="143">
        <f t="shared" si="1"/>
        <v>0</v>
      </c>
      <c r="AG21" s="143">
        <f t="shared" si="1"/>
        <v>0</v>
      </c>
      <c r="AH21" s="143">
        <f t="shared" si="1"/>
        <v>0</v>
      </c>
      <c r="AI21" s="144">
        <f t="shared" si="4"/>
        <v>0</v>
      </c>
      <c r="AJ21" s="126">
        <f t="shared" si="5"/>
        <v>0</v>
      </c>
    </row>
    <row r="22" spans="1:36" x14ac:dyDescent="0.2">
      <c r="A22" s="137" t="s">
        <v>297</v>
      </c>
      <c r="B22" s="138" t="s">
        <v>280</v>
      </c>
      <c r="C22" s="138" t="s">
        <v>72</v>
      </c>
      <c r="D22" s="139">
        <v>0</v>
      </c>
      <c r="E22" s="139">
        <v>0</v>
      </c>
      <c r="F22" s="139">
        <v>0</v>
      </c>
      <c r="G22" s="139">
        <v>0</v>
      </c>
      <c r="H22" s="139"/>
      <c r="I22" s="139">
        <v>1</v>
      </c>
      <c r="J22" s="140">
        <f t="shared" si="0"/>
        <v>1</v>
      </c>
      <c r="K22" s="138"/>
      <c r="L22" t="s">
        <v>298</v>
      </c>
      <c r="M22">
        <v>12024</v>
      </c>
      <c r="N22" s="143">
        <v>0</v>
      </c>
      <c r="O22" s="143">
        <v>0</v>
      </c>
      <c r="P22" s="143">
        <v>0</v>
      </c>
      <c r="Q22" s="143">
        <v>0</v>
      </c>
      <c r="R22" s="143">
        <v>0</v>
      </c>
      <c r="S22" s="143">
        <v>0</v>
      </c>
      <c r="T22" s="143">
        <v>0</v>
      </c>
      <c r="U22" s="143">
        <v>0</v>
      </c>
      <c r="V22" s="143">
        <v>0</v>
      </c>
      <c r="W22" s="143">
        <v>0</v>
      </c>
      <c r="X22" s="143">
        <v>0</v>
      </c>
      <c r="Y22" s="143">
        <v>0</v>
      </c>
      <c r="Z22" s="143">
        <v>0</v>
      </c>
      <c r="AA22" s="143">
        <v>0</v>
      </c>
      <c r="AB22" s="144">
        <f>O22</f>
        <v>0</v>
      </c>
      <c r="AC22" s="143">
        <f t="shared" si="3"/>
        <v>0</v>
      </c>
      <c r="AD22" s="143">
        <f t="shared" si="3"/>
        <v>0</v>
      </c>
      <c r="AE22" s="143">
        <f t="shared" si="3"/>
        <v>0</v>
      </c>
      <c r="AF22" s="143">
        <f t="shared" si="3"/>
        <v>0</v>
      </c>
      <c r="AG22" s="143">
        <f t="shared" si="3"/>
        <v>0</v>
      </c>
      <c r="AH22" s="143">
        <f t="shared" si="3"/>
        <v>0</v>
      </c>
      <c r="AI22" s="144">
        <f t="shared" si="4"/>
        <v>0</v>
      </c>
      <c r="AJ22" s="126">
        <f t="shared" si="5"/>
        <v>0</v>
      </c>
    </row>
    <row r="23" spans="1:36" x14ac:dyDescent="0.2">
      <c r="A23" s="137"/>
      <c r="B23" s="145"/>
      <c r="C23" s="145"/>
      <c r="D23" s="146"/>
      <c r="E23" s="146"/>
      <c r="F23" s="146"/>
      <c r="G23" s="146"/>
      <c r="H23" s="147"/>
      <c r="I23" s="146"/>
      <c r="J23" s="148"/>
      <c r="K23" s="145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4"/>
      <c r="AC23" s="138"/>
      <c r="AD23" s="138"/>
      <c r="AE23" s="138"/>
      <c r="AF23" s="138"/>
      <c r="AG23" s="138"/>
      <c r="AH23" s="138"/>
      <c r="AI23" s="149"/>
    </row>
    <row r="24" spans="1:36" s="127" customFormat="1" x14ac:dyDescent="0.2">
      <c r="A24" s="150" t="s">
        <v>32</v>
      </c>
      <c r="B24" s="151"/>
      <c r="C24" s="151"/>
      <c r="D24" s="152"/>
      <c r="E24" s="152"/>
      <c r="F24" s="152"/>
      <c r="G24" s="152"/>
      <c r="H24" s="153"/>
      <c r="I24" s="152"/>
      <c r="J24" s="154"/>
      <c r="K24" s="151"/>
      <c r="N24" s="151"/>
      <c r="O24" s="155">
        <f>SUM(O22)</f>
        <v>0</v>
      </c>
      <c r="P24" s="155">
        <f>SUM(P6:P7,P14:P19)</f>
        <v>0</v>
      </c>
      <c r="Q24" s="155">
        <f>SUM(Q11,Q12,Q20,Q21)</f>
        <v>0</v>
      </c>
      <c r="R24" s="151"/>
      <c r="S24" s="151"/>
      <c r="T24" s="151"/>
      <c r="U24" s="151"/>
      <c r="V24" s="155">
        <f>SUM(V8,V9,V10,V11,V13)</f>
        <v>0</v>
      </c>
      <c r="W24" s="151"/>
      <c r="X24" s="151"/>
      <c r="Y24" s="151"/>
      <c r="Z24" s="151"/>
      <c r="AA24" s="151"/>
      <c r="AB24" s="156">
        <f>SUM(N24:AA24)</f>
        <v>0</v>
      </c>
      <c r="AC24" s="155">
        <f>SUM(AC6:AC23)</f>
        <v>0</v>
      </c>
      <c r="AD24" s="155">
        <f t="shared" ref="AD24:AI24" si="9">SUM(AD6:AD23)</f>
        <v>0</v>
      </c>
      <c r="AE24" s="155">
        <f t="shared" si="9"/>
        <v>0</v>
      </c>
      <c r="AF24" s="155">
        <f t="shared" si="9"/>
        <v>0</v>
      </c>
      <c r="AG24" s="155">
        <f t="shared" si="9"/>
        <v>0</v>
      </c>
      <c r="AH24" s="155">
        <f t="shared" si="9"/>
        <v>0</v>
      </c>
      <c r="AI24" s="155">
        <f t="shared" si="9"/>
        <v>0</v>
      </c>
    </row>
    <row r="27" spans="1:36" ht="14.25" hidden="1" customHeight="1" x14ac:dyDescent="0.2"/>
  </sheetData>
  <conditionalFormatting sqref="A1:A1048576 C1:C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Notes</vt:lpstr>
      <vt:lpstr>Output(link)</vt:lpstr>
      <vt:lpstr>1230</vt:lpstr>
      <vt:lpstr>1500</vt:lpstr>
      <vt:lpstr>1252</vt:lpstr>
      <vt:lpstr>Lookup1_AcctList</vt:lpstr>
      <vt:lpstr>Lookup2_Allocation</vt:lpstr>
      <vt:lpstr>'Output(link)'!Print_Area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Yao, Kyle Yusong</cp:lastModifiedBy>
  <cp:revision/>
  <dcterms:created xsi:type="dcterms:W3CDTF">2025-12-09T03:28:36Z</dcterms:created>
  <dcterms:modified xsi:type="dcterms:W3CDTF">2025-12-29T14:21:33Z</dcterms:modified>
  <cp:category/>
  <cp:contentStatus/>
</cp:coreProperties>
</file>