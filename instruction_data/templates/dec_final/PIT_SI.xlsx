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final/"/>
    </mc:Choice>
  </mc:AlternateContent>
  <xr:revisionPtr revIDLastSave="0" documentId="8_{855DE1A9-708D-2849-A42B-E1C1784A7D01}" xr6:coauthVersionLast="47" xr6:coauthVersionMax="47" xr10:uidLastSave="{00000000-0000-0000-0000-000000000000}"/>
  <bookViews>
    <workbookView xWindow="780" yWindow="1000" windowWidth="27640" windowHeight="15520" xr2:uid="{810EA2B3-482B-894A-A620-1EEE84924FEB}"/>
  </bookViews>
  <sheets>
    <sheet name="PIT+SI payment" sheetId="1" r:id="rId1"/>
  </sheets>
  <externalReferences>
    <externalReference r:id="rId2"/>
    <externalReference r:id="rId3"/>
  </externalReferences>
  <definedNames>
    <definedName name="_xlnm._FilterDatabase" localSheetId="0" hidden="1">'PIT+SI payment'!$A$1:$E$65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_xlnm.Print_Area" localSheetId="0">'PIT+SI payment'!$A$1:$E$1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</calcChain>
</file>

<file path=xl/sharedStrings.xml><?xml version="1.0" encoding="utf-8"?>
<sst xmlns="http://schemas.openxmlformats.org/spreadsheetml/2006/main" count="188" uniqueCount="102">
  <si>
    <t>input payment to "Vietnam Tax Company" in blue section</t>
  </si>
  <si>
    <t>VNMOET;PIT NOV 2025</t>
  </si>
  <si>
    <t>MOET staff</t>
  </si>
  <si>
    <t>12/19/2025</t>
  </si>
  <si>
    <t>Vietnam Tax Company</t>
  </si>
  <si>
    <t>VNELC;PIT of Do Kim Dung March 2024</t>
  </si>
  <si>
    <t>Do Kim Dung</t>
  </si>
  <si>
    <t>VNMOET;PIT of Le Thi Thu Huyen March 2024</t>
  </si>
  <si>
    <t>Le Thi Thu Huyen</t>
  </si>
  <si>
    <t>input payment to "Service Center for Foreign Affairs" in grey section</t>
  </si>
  <si>
    <t>VNHBC71001030;SI, HI, UI  - Nguyen Thi Minh Ngoc-Dec/25- VND-5389074</t>
  </si>
  <si>
    <t>Nguyen Thi Minh Ngoc</t>
  </si>
  <si>
    <t>Service Center for Foreign Affairs</t>
  </si>
  <si>
    <t>VNBN7100102;SI, HI, UI  - Nguyen Thi Huong-Dec/25- VND-4160000</t>
  </si>
  <si>
    <t>Nguyen Thi Huong</t>
  </si>
  <si>
    <t>VNBN7100102;SI, HI, UI  - Nguyen Dang Hai Sam-Dec/25- VND-4160000</t>
  </si>
  <si>
    <t>Nguyen Dang Hai Sam</t>
  </si>
  <si>
    <t>VNHCM7100102;SI, HI, UI  - Mai Thi Mong Tuyen-Dec/25- VND-4160000</t>
  </si>
  <si>
    <t>Mai Thi Mong Tuyen</t>
  </si>
  <si>
    <t>VNQN7100102;SI, HI, UI  - Pham Thi Nhi Ca-Dec/25- VND-3976000</t>
  </si>
  <si>
    <t>Pham Thi Nhi Ca</t>
  </si>
  <si>
    <t>VNOther7100202;SI, HI, UI  - Nguyen Thi Hai-Dec/25- VND-1600000</t>
  </si>
  <si>
    <t>Nguyen Thi Hai</t>
  </si>
  <si>
    <t>VNLA7100102;SI, HI, UI  - Nguyen Thi Thuy Van-Dec/25- VND-4160000</t>
  </si>
  <si>
    <t>Nguyen Thi Thuy Van</t>
  </si>
  <si>
    <t>VNQN7100102;SI, HI, UI  - Nguyen Thi Thuy Na-Dec/25- VND-3604352</t>
  </si>
  <si>
    <t>Nguyen Thi Thuy Na</t>
  </si>
  <si>
    <t>VNHCM7100102;SI, HI, UI  - Mai Anh Thu-Dec/25- VND-4564352</t>
  </si>
  <si>
    <t>Mai Anh Thu</t>
  </si>
  <si>
    <t>VNHCM7100102;SI, HI, UI  - Nguyen Thi Nhung-Dec/25- VND-4564352</t>
  </si>
  <si>
    <t>Nguyen Thi Nhung</t>
  </si>
  <si>
    <t>VNHD7100102;SI, HI, UI  - Vu Thi Thu Thuy-Dec/25- VND-4069952</t>
  </si>
  <si>
    <t>Vu Thi Thu Thuy</t>
  </si>
  <si>
    <t>VNQN7100102;SI, HI, UI  - Ho Thi Mong Thu-Dec/25- VND-5039552</t>
  </si>
  <si>
    <t>Ho Thi Mong Thu</t>
  </si>
  <si>
    <t>VNDN7100102;SI, HI, UI  - Nguyen Thi Tram Anh-Dec/25- VND-4564352</t>
  </si>
  <si>
    <t>Nguyen Thi Tram Anh</t>
  </si>
  <si>
    <t>VNDN7100102;SI, HI, UI  - Vo Thi Quynh Thi-Dec/25- VND-6516352</t>
  </si>
  <si>
    <t>Vo Thi Quynh Thi</t>
  </si>
  <si>
    <t>VNDN7100102;SI, HI, UI  - Pham Thi Huyen-Dec/25- VND-5064512</t>
  </si>
  <si>
    <t>Pham Thi Huyen</t>
  </si>
  <si>
    <t>VNDN7100102;SI, HI, UI  - Mai Thi Kim Hang-Dec/25- VND-3984832</t>
  </si>
  <si>
    <t>Mai Thi Kim Hang</t>
  </si>
  <si>
    <t>VNOther7100402;SI, HI, UI  - Phan Thi Thao Nguyen-Dec/25- VND-15534950</t>
  </si>
  <si>
    <t>Phan Thi Thao Nguyen</t>
  </si>
  <si>
    <t>VNOther7100207;SI, HI, UI  - Nguyen Thi Thanh Thanh -Dec/25- VND-14094497</t>
  </si>
  <si>
    <t>Nguyen Thi Thanh Thanh</t>
  </si>
  <si>
    <t>VNMOET7100201;SI, HI, UI  - Huynh My Ngoc-Dec/25- VND-15117814</t>
  </si>
  <si>
    <t>Huynh My Ngoc</t>
  </si>
  <si>
    <t>VNMOET7100201;SI, HI, UI  - Bui Thi Huong-Dec/25- VND-15063924</t>
  </si>
  <si>
    <t>Bui Thi Huong</t>
  </si>
  <si>
    <t>VNMOET7100107;SI, HI, UI  - Truong Thi Hai-Dec/25- VND-15117814</t>
  </si>
  <si>
    <t>Truong Thi Hai</t>
  </si>
  <si>
    <t>VNMOET71002010;SI, HI, UI  - Phan Doan Kim Nhung-Dec/25- VND-6400558</t>
  </si>
  <si>
    <t>Phan Doan Kim Nhung</t>
  </si>
  <si>
    <t>VNHBC7100201;SI, HI, UI  - Pham Thi  Dieu Loan-Dec/25- VND-15316796</t>
  </si>
  <si>
    <t>Pham Thi  Dieu Loan</t>
  </si>
  <si>
    <t>VNMOET7100103;SI, HI, UI  - Hoang Thi Kieu Oanh-Dec/25- VND-8879531</t>
  </si>
  <si>
    <t>Hoang Thi Kieu Oanh</t>
  </si>
  <si>
    <t>VNOther7100202;SI, HI, UI  - Nguyen Hong Kim-Dec/25- VND-13970133</t>
  </si>
  <si>
    <t>Nguyen Hong Kim</t>
  </si>
  <si>
    <t>VNOther7100301;SI, HI, UI  - Maggie Huyen Nguyen-Dec/25- VND-15205906</t>
  </si>
  <si>
    <t>Maggie Huyen Nguyen</t>
  </si>
  <si>
    <t>VNHBC7100101;SI, HI, UI  - Tran Thi Que Chi-Dec/25- VND-15483132</t>
  </si>
  <si>
    <t>Tran Thi Que Chi</t>
  </si>
  <si>
    <t>VNOther7100401;SI, HI, UI  - Thuy Thi Bich Thuy Tran-Dec/25- VND-15333896</t>
  </si>
  <si>
    <t>Thuy Thi Bich Thuy Tran</t>
  </si>
  <si>
    <t>VNBN7100102;SI, HI, UI  - Nguyen Thi Huong-Nov/25- VND-4160000</t>
  </si>
  <si>
    <t>VNBN7100102;SI, HI, UI  - Nguyen Dang Hai Sam-Nov/25- VND-4160000</t>
  </si>
  <si>
    <t>VNHCM7100102;SI, HI, UI  - Mai Thi Mong Tuyen-Nov/25- VND-4160000</t>
  </si>
  <si>
    <t>VNQN7100102;SI, HI, UI  - Pham Thi Nhi Ca-Nov/25- VND-3976000</t>
  </si>
  <si>
    <t>VNOther7100202;SI, HI, UI  - Nguyen Thi Hai-Nov/25- VND-1600000</t>
  </si>
  <si>
    <t>VNLA7100102;SI, HI, UI  - Nguyen Thi Thuy Van-Nov/25- VND-4160000</t>
  </si>
  <si>
    <t>VNLA7100102;SI, HI, UI  - Pham Thi Thanh Loan-Nov/25- VND0</t>
  </si>
  <si>
    <t>Pham Thi Thanh Loan</t>
  </si>
  <si>
    <t>VNQN7100102;SI, HI, UI  - Nguyen Thi Thuy Na-Nov/25- VND-3604352</t>
  </si>
  <si>
    <t>VNMOET7100206;SI, HI, UI  - Le Thi Thu Hanh-Nov/25- VND0</t>
  </si>
  <si>
    <t>Le Thi Thu Hanh</t>
  </si>
  <si>
    <t>VNHCM7100102;SI, HI, UI  - Mai Anh Thu-Nov/25- VND-4564352</t>
  </si>
  <si>
    <t>VNHCM7100102;SI, HI, UI  - Nguyen Thi Nhung-Nov/25- VND-4564352</t>
  </si>
  <si>
    <t>VNHD7100102;SI, HI, UI  - Vu Thi Thu Thuy-Nov/25- VND-4069952</t>
  </si>
  <si>
    <t>VNQN7100102;SI, HI, UI  - Truong Thi Diem Phuong-Nov/25- VND-4069952</t>
  </si>
  <si>
    <t>Truong Thi Diem Phuong</t>
  </si>
  <si>
    <t>VNQN7100102;SI, HI, UI  - Ho Thi Mong Thu-Nov/25- VND-5039552</t>
  </si>
  <si>
    <t>VNDN7100102;SI, HI, UI  - Nguyen Thi Tram Anh-Nov/25- VND-4564352</t>
  </si>
  <si>
    <t>VNDN7100102;SI, HI, UI  - Vo Thi Quynh Thi-Nov/25- VND-6516352</t>
  </si>
  <si>
    <t>VNDN7100102;SI, HI, UI  - Pham Thi Huyen-Nov/25- VND-5064512</t>
  </si>
  <si>
    <t>VNDN7100102;SI, HI, UI  - Mai Thi Kim Hang-Nov/25- VND-3984832</t>
  </si>
  <si>
    <t>VNOther7100402;SI, HI, UI  - Phan Thi Thao Nguyen-Nov/25- VND-15534950</t>
  </si>
  <si>
    <t>VNOther7100207;SI, HI, UI  - Nguyen Thi Thanh Thanh -Nov/25- VND-14094497</t>
  </si>
  <si>
    <t>VNMOET7100201;SI, HI, UI  - Huynh My Ngoc-Nov/25- VND-15117814</t>
  </si>
  <si>
    <t>VNMOET7100201;SI, HI, UI  - Bui Thi Huong-Nov/25- VND-15063924</t>
  </si>
  <si>
    <t>VNMOET7100107;SI, HI, UI  - Truong Thi Hai-Nov/25- VND-15117814</t>
  </si>
  <si>
    <t>VNHBC71001030;SI, HI, UI  - Phan Doan Kim Nhung-Nov/25- VND-6400558</t>
  </si>
  <si>
    <t>VNHBC7100201;SI, HI, UI  - Pham Thi  Dieu Loan-Nov/25- VND-15316796</t>
  </si>
  <si>
    <t>VNMOET7100103;SI, HI, UI  - Hoang Thi Kieu Oanh-Nov/25- VND-8879531</t>
  </si>
  <si>
    <t>VNOther7100202;SI, HI, UI  - Nguyen Hong Kim-Nov/25- VND-13970133</t>
  </si>
  <si>
    <t>VNOther7100301;SI, HI, UI  - Maggie Huyen Nguyen-Nov/25- VND-15205906</t>
  </si>
  <si>
    <t>VNHBC7100101;SI, HI, UI  - Tran Thi Que Chi-Nov/25- VND-15483132</t>
  </si>
  <si>
    <t>VNOther7100401;SI, HI, UI  - Thuy Thi Bich Thuy Tran-Nov/25- VND-15333896</t>
  </si>
  <si>
    <t>-</t>
  </si>
  <si>
    <t>Staff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</si>
</sst>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164" fontId="0" fillId="0" borderId="0" xfId="2" applyNumberFormat="1" applyFont="1"/>
    <xf numFmtId="164" fontId="2" fillId="0" borderId="1" xfId="2" applyNumberFormat="1" applyFont="1" applyFill="1" applyBorder="1"/>
    <xf numFmtId="0" fontId="2" fillId="0" borderId="1" xfId="1" applyFont="1" applyBorder="1"/>
    <xf numFmtId="14" fontId="2" fillId="0" borderId="1" xfId="1" applyNumberFormat="1" applyFont="1" applyBorder="1"/>
    <xf numFmtId="0" fontId="3" fillId="0" borderId="1" xfId="1" applyFont="1" applyBorder="1"/>
    <xf numFmtId="164" fontId="2" fillId="2" borderId="0" xfId="2" applyNumberFormat="1" applyFont="1" applyFill="1" applyBorder="1"/>
    <xf numFmtId="0" fontId="2" fillId="2" borderId="0" xfId="1" applyFont="1" applyFill="1"/>
    <xf numFmtId="14" fontId="2" fillId="2" borderId="0" xfId="1" applyNumberFormat="1" applyFont="1" applyFill="1"/>
    <xf numFmtId="164" fontId="2" fillId="3" borderId="0" xfId="2" applyNumberFormat="1" applyFont="1" applyFill="1" applyBorder="1"/>
    <xf numFmtId="0" fontId="2" fillId="3" borderId="0" xfId="1" applyFont="1" applyFill="1"/>
    <xf numFmtId="14" fontId="2" fillId="3" borderId="0" xfId="1" applyNumberFormat="1" applyFont="1" applyFill="1"/>
    <xf numFmtId="0" fontId="4" fillId="0" borderId="0" xfId="1" applyFont="1"/>
    <xf numFmtId="164" fontId="4" fillId="0" borderId="2" xfId="2" applyNumberFormat="1" applyFont="1" applyBorder="1"/>
    <xf numFmtId="0" fontId="4" fillId="0" borderId="2" xfId="1" applyFont="1" applyBorder="1"/>
  </cellXfs>
  <cellStyles count="3">
    <cellStyle name="Comma 2" xfId="2" xr:uid="{CBE96844-E2A0-2648-9512-467E2382D379}"/>
    <cellStyle name="Normal" xfId="0" builtinId="0"/>
    <cellStyle name="Normal 2" xfId="1" xr:uid="{EF3EEF78-943B-B840-AB08-0AC7CE719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Relationship Id="rId1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OneSky_Vietnam_Raw%20data_Master_File.xlsx" TargetMode="External"/><Relationship Id="rId1" Type="http://schemas.openxmlformats.org/officeDocument/2006/relationships/externalLinkPath" Target="/Users/kyle/Downloads/OneSky_Vietnam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otes"/>
      <sheetName val="Summary"/>
      <sheetName val="cost allocation"/>
      <sheetName val="C&amp;G Ledger_allocation"/>
      <sheetName val="Summary_k phan bo"/>
      <sheetName val="Jan 25"/>
      <sheetName val="Advance Ledger 2024"/>
      <sheetName val="PIT+SI payment"/>
      <sheetName val="salary allocation"/>
      <sheetName val="C&amp;G Ledger_k Phan bo"/>
      <sheetName val="salary allocation-v2"/>
      <sheetName val="C&amp;G Oct25"/>
      <sheetName val="C&amp;G Sep25"/>
      <sheetName val="C&amp;G Aug25"/>
      <sheetName val="C&amp;G_Jan25"/>
      <sheetName val="C&amp;G_Feb25"/>
      <sheetName val="C&amp;G_Mar25"/>
      <sheetName val="C&amp;G Apr25"/>
      <sheetName val="C&amp;G May25"/>
      <sheetName val="C&amp;G Jun25"/>
      <sheetName val="Advance Ledger 2025"/>
      <sheetName val="Allocation rate"/>
      <sheetName val="Tổng hợp"/>
      <sheetName val="Lũy kế_ DN"/>
      <sheetName val="Báo cáo PACCOM"/>
      <sheetName val="Fund_sacombank"/>
      <sheetName val="Child #"/>
      <sheetName val="Commitment"/>
      <sheetName val="Sheet3"/>
    </sheetNames>
    <sheetDataSet>
      <sheetData sheetId="0"/>
      <sheetData sheetId="1"/>
      <sheetData sheetId="2"/>
      <sheetData sheetId="3"/>
      <sheetData sheetId="4">
        <row r="4">
          <cell r="AP4">
            <v>0</v>
          </cell>
        </row>
        <row r="9">
          <cell r="B9" t="str">
            <v>Transaction Date</v>
          </cell>
          <cell r="H9" t="str">
            <v>Name</v>
          </cell>
          <cell r="J9" t="str">
            <v>Memo/Description</v>
          </cell>
          <cell r="L9" t="str">
            <v>Amount</v>
          </cell>
        </row>
      </sheetData>
      <sheetData sheetId="5"/>
      <sheetData sheetId="6"/>
      <sheetData sheetId="7"/>
      <sheetData sheetId="8"/>
      <sheetData sheetId="9">
        <row r="3">
          <cell r="E3" t="str">
            <v>VNELC</v>
          </cell>
        </row>
      </sheetData>
      <sheetData sheetId="10"/>
      <sheetData sheetId="11">
        <row r="3">
          <cell r="E3" t="str">
            <v>VNELC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List with Splits"/>
      <sheetName val="BS manual mapping"/>
      <sheetName val="salary allocation-v2"/>
      <sheetName val="PIT+SI payment (2)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09B4-10D2-F847-B788-FF73762C2230}">
  <sheetPr>
    <pageSetUpPr fitToPage="1"/>
  </sheetPr>
  <dimension ref="A1:E84"/>
  <sheetViews>
    <sheetView tabSelected="1" zoomScale="85" zoomScaleNormal="85" workbookViewId="0">
      <pane xSplit="3" ySplit="1" topLeftCell="D2" activePane="bottomRight" state="frozen"/>
      <selection pane="topRight" activeCell="I36" sqref="I36"/>
      <selection pane="bottomLeft" activeCell="I36" sqref="I36"/>
      <selection pane="bottomRight" activeCell="D68" sqref="D68"/>
    </sheetView>
  </sheetViews>
  <sheetFormatPr baseColWidth="10" defaultColWidth="9" defaultRowHeight="16" x14ac:dyDescent="0.2"/>
  <cols>
    <col min="1" max="1" width="21.5" style="1" customWidth="1"/>
    <col min="2" max="2" width="13.1640625" style="1" customWidth="1"/>
    <col min="3" max="3" width="24.6640625" style="1" bestFit="1" customWidth="1"/>
    <col min="4" max="4" width="69.6640625" style="1" customWidth="1"/>
    <col min="5" max="5" width="15.1640625" style="2" customWidth="1"/>
    <col min="6" max="13" width="7.6640625" style="1" customWidth="1"/>
    <col min="14" max="16384" width="9" style="1"/>
  </cols>
  <sheetData>
    <row r="1" spans="1:5" s="13" customFormat="1" ht="21" customHeight="1" x14ac:dyDescent="0.2">
      <c r="A1" s="15" t="s">
        <v>101</v>
      </c>
      <c r="B1" s="15" t="str">
        <f>'[1]C&amp;G Ledger_allocation'!B9</f>
        <v>Transaction Date</v>
      </c>
      <c r="C1" s="15" t="str">
        <f>'[1]C&amp;G Ledger_allocation'!H9</f>
        <v>Name</v>
      </c>
      <c r="D1" s="15" t="str">
        <f>'[1]C&amp;G Ledger_allocation'!J9</f>
        <v>Memo/Description</v>
      </c>
      <c r="E1" s="14" t="str">
        <f>'[1]C&amp;G Ledger_allocation'!L9</f>
        <v>Amount</v>
      </c>
    </row>
    <row r="2" spans="1:5" s="1" customFormat="1" x14ac:dyDescent="0.2">
      <c r="A2" s="11" t="s">
        <v>100</v>
      </c>
      <c r="B2" s="12"/>
      <c r="C2" s="11"/>
      <c r="D2" s="11"/>
      <c r="E2" s="10"/>
    </row>
    <row r="3" spans="1:5" s="1" customFormat="1" x14ac:dyDescent="0.2">
      <c r="A3" s="11" t="s">
        <v>12</v>
      </c>
      <c r="B3" s="12">
        <v>45994</v>
      </c>
      <c r="C3" s="11" t="s">
        <v>66</v>
      </c>
      <c r="D3" s="11" t="s">
        <v>99</v>
      </c>
      <c r="E3" s="10">
        <v>-15333896</v>
      </c>
    </row>
    <row r="4" spans="1:5" s="1" customFormat="1" x14ac:dyDescent="0.2">
      <c r="A4" s="11" t="s">
        <v>12</v>
      </c>
      <c r="B4" s="12">
        <v>45994</v>
      </c>
      <c r="C4" s="11" t="s">
        <v>64</v>
      </c>
      <c r="D4" s="11" t="s">
        <v>98</v>
      </c>
      <c r="E4" s="10">
        <v>-15483132</v>
      </c>
    </row>
    <row r="5" spans="1:5" s="1" customFormat="1" x14ac:dyDescent="0.2">
      <c r="A5" s="11" t="s">
        <v>12</v>
      </c>
      <c r="B5" s="12">
        <v>45994</v>
      </c>
      <c r="C5" s="11" t="s">
        <v>62</v>
      </c>
      <c r="D5" s="11" t="s">
        <v>97</v>
      </c>
      <c r="E5" s="10">
        <v>-15205906</v>
      </c>
    </row>
    <row r="6" spans="1:5" s="1" customFormat="1" x14ac:dyDescent="0.2">
      <c r="A6" s="11" t="s">
        <v>12</v>
      </c>
      <c r="B6" s="12">
        <v>45994</v>
      </c>
      <c r="C6" s="11" t="s">
        <v>60</v>
      </c>
      <c r="D6" s="11" t="s">
        <v>96</v>
      </c>
      <c r="E6" s="10">
        <v>-13970133</v>
      </c>
    </row>
    <row r="7" spans="1:5" s="1" customFormat="1" x14ac:dyDescent="0.2">
      <c r="A7" s="11" t="s">
        <v>12</v>
      </c>
      <c r="B7" s="12">
        <v>45994</v>
      </c>
      <c r="C7" s="11" t="s">
        <v>58</v>
      </c>
      <c r="D7" s="11" t="s">
        <v>95</v>
      </c>
      <c r="E7" s="10">
        <v>-8879531</v>
      </c>
    </row>
    <row r="8" spans="1:5" s="1" customFormat="1" x14ac:dyDescent="0.2">
      <c r="A8" s="11" t="s">
        <v>12</v>
      </c>
      <c r="B8" s="12">
        <v>45994</v>
      </c>
      <c r="C8" s="11" t="s">
        <v>56</v>
      </c>
      <c r="D8" s="11" t="s">
        <v>94</v>
      </c>
      <c r="E8" s="10">
        <v>-15316796</v>
      </c>
    </row>
    <row r="9" spans="1:5" s="1" customFormat="1" x14ac:dyDescent="0.2">
      <c r="A9" s="11" t="s">
        <v>12</v>
      </c>
      <c r="B9" s="12">
        <v>45994</v>
      </c>
      <c r="C9" s="11" t="s">
        <v>54</v>
      </c>
      <c r="D9" s="11" t="s">
        <v>93</v>
      </c>
      <c r="E9" s="10">
        <v>-6400558</v>
      </c>
    </row>
    <row r="10" spans="1:5" s="1" customFormat="1" x14ac:dyDescent="0.2">
      <c r="A10" s="11" t="s">
        <v>12</v>
      </c>
      <c r="B10" s="12">
        <v>45994</v>
      </c>
      <c r="C10" s="11" t="s">
        <v>52</v>
      </c>
      <c r="D10" s="11" t="s">
        <v>92</v>
      </c>
      <c r="E10" s="10">
        <v>-15117814</v>
      </c>
    </row>
    <row r="11" spans="1:5" s="1" customFormat="1" x14ac:dyDescent="0.2">
      <c r="A11" s="11" t="s">
        <v>12</v>
      </c>
      <c r="B11" s="12">
        <v>45994</v>
      </c>
      <c r="C11" s="11" t="s">
        <v>50</v>
      </c>
      <c r="D11" s="11" t="s">
        <v>91</v>
      </c>
      <c r="E11" s="10">
        <v>-15063924</v>
      </c>
    </row>
    <row r="12" spans="1:5" s="1" customFormat="1" x14ac:dyDescent="0.2">
      <c r="A12" s="11" t="s">
        <v>12</v>
      </c>
      <c r="B12" s="12">
        <v>45994</v>
      </c>
      <c r="C12" s="11" t="s">
        <v>48</v>
      </c>
      <c r="D12" s="11" t="s">
        <v>90</v>
      </c>
      <c r="E12" s="10">
        <v>-15117814</v>
      </c>
    </row>
    <row r="13" spans="1:5" s="1" customFormat="1" x14ac:dyDescent="0.2">
      <c r="A13" s="11" t="s">
        <v>12</v>
      </c>
      <c r="B13" s="12">
        <v>45994</v>
      </c>
      <c r="C13" s="11" t="s">
        <v>46</v>
      </c>
      <c r="D13" s="11" t="s">
        <v>89</v>
      </c>
      <c r="E13" s="10">
        <v>-14094497</v>
      </c>
    </row>
    <row r="14" spans="1:5" s="1" customFormat="1" x14ac:dyDescent="0.2">
      <c r="A14" s="11" t="s">
        <v>12</v>
      </c>
      <c r="B14" s="12">
        <v>45994</v>
      </c>
      <c r="C14" s="11" t="s">
        <v>44</v>
      </c>
      <c r="D14" s="11" t="s">
        <v>88</v>
      </c>
      <c r="E14" s="10">
        <v>-15534950</v>
      </c>
    </row>
    <row r="15" spans="1:5" s="1" customFormat="1" x14ac:dyDescent="0.2">
      <c r="A15" s="11" t="s">
        <v>12</v>
      </c>
      <c r="B15" s="12">
        <v>45994</v>
      </c>
      <c r="C15" s="11" t="s">
        <v>42</v>
      </c>
      <c r="D15" s="11" t="s">
        <v>87</v>
      </c>
      <c r="E15" s="10">
        <v>-3984832</v>
      </c>
    </row>
    <row r="16" spans="1:5" s="1" customFormat="1" x14ac:dyDescent="0.2">
      <c r="A16" s="11" t="s">
        <v>12</v>
      </c>
      <c r="B16" s="12">
        <v>45994</v>
      </c>
      <c r="C16" s="11" t="s">
        <v>40</v>
      </c>
      <c r="D16" s="11" t="s">
        <v>86</v>
      </c>
      <c r="E16" s="10">
        <v>-5064512</v>
      </c>
    </row>
    <row r="17" spans="1:5" s="1" customFormat="1" x14ac:dyDescent="0.2">
      <c r="A17" s="11" t="s">
        <v>12</v>
      </c>
      <c r="B17" s="12">
        <v>45994</v>
      </c>
      <c r="C17" s="11" t="s">
        <v>38</v>
      </c>
      <c r="D17" s="11" t="s">
        <v>85</v>
      </c>
      <c r="E17" s="10">
        <v>-6516352</v>
      </c>
    </row>
    <row r="18" spans="1:5" s="1" customFormat="1" x14ac:dyDescent="0.2">
      <c r="A18" s="11" t="s">
        <v>12</v>
      </c>
      <c r="B18" s="12">
        <v>45994</v>
      </c>
      <c r="C18" s="11" t="s">
        <v>36</v>
      </c>
      <c r="D18" s="11" t="s">
        <v>84</v>
      </c>
      <c r="E18" s="10">
        <v>-4564352</v>
      </c>
    </row>
    <row r="19" spans="1:5" s="1" customFormat="1" x14ac:dyDescent="0.2">
      <c r="A19" s="11" t="s">
        <v>12</v>
      </c>
      <c r="B19" s="12">
        <v>45994</v>
      </c>
      <c r="C19" s="11" t="s">
        <v>34</v>
      </c>
      <c r="D19" s="11" t="s">
        <v>83</v>
      </c>
      <c r="E19" s="10">
        <v>-5039552</v>
      </c>
    </row>
    <row r="20" spans="1:5" s="1" customFormat="1" x14ac:dyDescent="0.2">
      <c r="A20" s="11" t="s">
        <v>12</v>
      </c>
      <c r="B20" s="12">
        <v>45994</v>
      </c>
      <c r="C20" s="11" t="s">
        <v>82</v>
      </c>
      <c r="D20" s="11" t="s">
        <v>81</v>
      </c>
      <c r="E20" s="10">
        <v>-4069952</v>
      </c>
    </row>
    <row r="21" spans="1:5" s="1" customFormat="1" x14ac:dyDescent="0.2">
      <c r="A21" s="11" t="s">
        <v>12</v>
      </c>
      <c r="B21" s="12">
        <v>45994</v>
      </c>
      <c r="C21" s="11" t="s">
        <v>32</v>
      </c>
      <c r="D21" s="11" t="s">
        <v>80</v>
      </c>
      <c r="E21" s="10">
        <v>-4069952</v>
      </c>
    </row>
    <row r="22" spans="1:5" s="1" customFormat="1" x14ac:dyDescent="0.2">
      <c r="A22" s="11" t="s">
        <v>12</v>
      </c>
      <c r="B22" s="12">
        <v>45994</v>
      </c>
      <c r="C22" s="11" t="s">
        <v>30</v>
      </c>
      <c r="D22" s="11" t="s">
        <v>79</v>
      </c>
      <c r="E22" s="10">
        <v>-4564352</v>
      </c>
    </row>
    <row r="23" spans="1:5" s="1" customFormat="1" x14ac:dyDescent="0.2">
      <c r="A23" s="11" t="s">
        <v>12</v>
      </c>
      <c r="B23" s="12">
        <v>45994</v>
      </c>
      <c r="C23" s="11" t="s">
        <v>28</v>
      </c>
      <c r="D23" s="11" t="s">
        <v>78</v>
      </c>
      <c r="E23" s="10">
        <v>-4564352</v>
      </c>
    </row>
    <row r="24" spans="1:5" s="1" customFormat="1" x14ac:dyDescent="0.2">
      <c r="A24" s="11" t="s">
        <v>12</v>
      </c>
      <c r="B24" s="12">
        <v>45994</v>
      </c>
      <c r="C24" s="11" t="s">
        <v>77</v>
      </c>
      <c r="D24" s="11" t="s">
        <v>76</v>
      </c>
      <c r="E24" s="10">
        <v>0</v>
      </c>
    </row>
    <row r="25" spans="1:5" s="1" customFormat="1" x14ac:dyDescent="0.2">
      <c r="A25" s="11" t="s">
        <v>12</v>
      </c>
      <c r="B25" s="12">
        <v>45994</v>
      </c>
      <c r="C25" s="11" t="s">
        <v>26</v>
      </c>
      <c r="D25" s="11" t="s">
        <v>75</v>
      </c>
      <c r="E25" s="10">
        <v>-3604352</v>
      </c>
    </row>
    <row r="26" spans="1:5" s="1" customFormat="1" x14ac:dyDescent="0.2">
      <c r="A26" s="11" t="s">
        <v>12</v>
      </c>
      <c r="B26" s="12">
        <v>45994</v>
      </c>
      <c r="C26" s="11" t="s">
        <v>74</v>
      </c>
      <c r="D26" s="11" t="s">
        <v>73</v>
      </c>
      <c r="E26" s="10">
        <v>0</v>
      </c>
    </row>
    <row r="27" spans="1:5" s="1" customFormat="1" x14ac:dyDescent="0.2">
      <c r="A27" s="11" t="s">
        <v>12</v>
      </c>
      <c r="B27" s="12">
        <v>45994</v>
      </c>
      <c r="C27" s="11" t="s">
        <v>24</v>
      </c>
      <c r="D27" s="11" t="s">
        <v>72</v>
      </c>
      <c r="E27" s="10">
        <v>-4160000</v>
      </c>
    </row>
    <row r="28" spans="1:5" s="1" customFormat="1" x14ac:dyDescent="0.2">
      <c r="A28" s="11" t="s">
        <v>12</v>
      </c>
      <c r="B28" s="12">
        <v>45994</v>
      </c>
      <c r="C28" s="11" t="s">
        <v>22</v>
      </c>
      <c r="D28" s="11" t="s">
        <v>71</v>
      </c>
      <c r="E28" s="10">
        <v>-1600000</v>
      </c>
    </row>
    <row r="29" spans="1:5" s="1" customFormat="1" x14ac:dyDescent="0.2">
      <c r="A29" s="11" t="s">
        <v>12</v>
      </c>
      <c r="B29" s="12">
        <v>45994</v>
      </c>
      <c r="C29" s="11" t="s">
        <v>20</v>
      </c>
      <c r="D29" s="11" t="s">
        <v>70</v>
      </c>
      <c r="E29" s="10">
        <v>-3976000</v>
      </c>
    </row>
    <row r="30" spans="1:5" s="1" customFormat="1" x14ac:dyDescent="0.2">
      <c r="A30" s="11" t="s">
        <v>12</v>
      </c>
      <c r="B30" s="12">
        <v>45994</v>
      </c>
      <c r="C30" s="11" t="s">
        <v>18</v>
      </c>
      <c r="D30" s="11" t="s">
        <v>69</v>
      </c>
      <c r="E30" s="10">
        <v>-4160000</v>
      </c>
    </row>
    <row r="31" spans="1:5" s="1" customFormat="1" x14ac:dyDescent="0.2">
      <c r="A31" s="11" t="s">
        <v>12</v>
      </c>
      <c r="B31" s="12">
        <v>45994</v>
      </c>
      <c r="C31" s="11" t="s">
        <v>16</v>
      </c>
      <c r="D31" s="11" t="s">
        <v>68</v>
      </c>
      <c r="E31" s="10">
        <v>-4160000</v>
      </c>
    </row>
    <row r="32" spans="1:5" s="1" customFormat="1" x14ac:dyDescent="0.2">
      <c r="A32" s="11" t="s">
        <v>12</v>
      </c>
      <c r="B32" s="12">
        <v>45994</v>
      </c>
      <c r="C32" s="11" t="s">
        <v>14</v>
      </c>
      <c r="D32" s="11" t="s">
        <v>67</v>
      </c>
      <c r="E32" s="10">
        <v>-4160000</v>
      </c>
    </row>
    <row r="33" spans="1:5" s="1" customFormat="1" x14ac:dyDescent="0.2">
      <c r="A33" s="11" t="s">
        <v>12</v>
      </c>
      <c r="B33" s="12">
        <v>46020</v>
      </c>
      <c r="C33" s="11" t="s">
        <v>66</v>
      </c>
      <c r="D33" s="11" t="s">
        <v>65</v>
      </c>
      <c r="E33" s="10">
        <v>-15333896</v>
      </c>
    </row>
    <row r="34" spans="1:5" s="1" customFormat="1" x14ac:dyDescent="0.2">
      <c r="A34" s="11" t="s">
        <v>12</v>
      </c>
      <c r="B34" s="12">
        <v>46020</v>
      </c>
      <c r="C34" s="11" t="s">
        <v>64</v>
      </c>
      <c r="D34" s="11" t="s">
        <v>63</v>
      </c>
      <c r="E34" s="10">
        <v>-15483132</v>
      </c>
    </row>
    <row r="35" spans="1:5" s="1" customFormat="1" x14ac:dyDescent="0.2">
      <c r="A35" s="11" t="s">
        <v>12</v>
      </c>
      <c r="B35" s="12">
        <v>46020</v>
      </c>
      <c r="C35" s="11" t="s">
        <v>62</v>
      </c>
      <c r="D35" s="11" t="s">
        <v>61</v>
      </c>
      <c r="E35" s="10">
        <v>-15205906</v>
      </c>
    </row>
    <row r="36" spans="1:5" s="1" customFormat="1" x14ac:dyDescent="0.2">
      <c r="A36" s="11" t="s">
        <v>12</v>
      </c>
      <c r="B36" s="12">
        <v>46020</v>
      </c>
      <c r="C36" s="11" t="s">
        <v>60</v>
      </c>
      <c r="D36" s="11" t="s">
        <v>59</v>
      </c>
      <c r="E36" s="10">
        <v>-13970133</v>
      </c>
    </row>
    <row r="37" spans="1:5" s="1" customFormat="1" x14ac:dyDescent="0.2">
      <c r="A37" s="11" t="s">
        <v>12</v>
      </c>
      <c r="B37" s="12">
        <v>46020</v>
      </c>
      <c r="C37" s="11" t="s">
        <v>58</v>
      </c>
      <c r="D37" s="11" t="s">
        <v>57</v>
      </c>
      <c r="E37" s="10">
        <v>-8879531</v>
      </c>
    </row>
    <row r="38" spans="1:5" s="1" customFormat="1" x14ac:dyDescent="0.2">
      <c r="A38" s="11" t="s">
        <v>12</v>
      </c>
      <c r="B38" s="12">
        <v>46020</v>
      </c>
      <c r="C38" s="11" t="s">
        <v>56</v>
      </c>
      <c r="D38" s="11" t="s">
        <v>55</v>
      </c>
      <c r="E38" s="10">
        <v>-15316796</v>
      </c>
    </row>
    <row r="39" spans="1:5" s="1" customFormat="1" x14ac:dyDescent="0.2">
      <c r="A39" s="11" t="s">
        <v>12</v>
      </c>
      <c r="B39" s="12">
        <v>46020</v>
      </c>
      <c r="C39" s="11" t="s">
        <v>54</v>
      </c>
      <c r="D39" s="11" t="s">
        <v>53</v>
      </c>
      <c r="E39" s="10">
        <v>-6400558</v>
      </c>
    </row>
    <row r="40" spans="1:5" s="1" customFormat="1" x14ac:dyDescent="0.2">
      <c r="A40" s="11" t="s">
        <v>12</v>
      </c>
      <c r="B40" s="12">
        <v>46020</v>
      </c>
      <c r="C40" s="11" t="s">
        <v>52</v>
      </c>
      <c r="D40" s="11" t="s">
        <v>51</v>
      </c>
      <c r="E40" s="10">
        <v>-15117814</v>
      </c>
    </row>
    <row r="41" spans="1:5" s="1" customFormat="1" x14ac:dyDescent="0.2">
      <c r="A41" s="11" t="s">
        <v>12</v>
      </c>
      <c r="B41" s="12">
        <v>46020</v>
      </c>
      <c r="C41" s="11" t="s">
        <v>50</v>
      </c>
      <c r="D41" s="11" t="s">
        <v>49</v>
      </c>
      <c r="E41" s="10">
        <v>-15063924</v>
      </c>
    </row>
    <row r="42" spans="1:5" s="1" customFormat="1" x14ac:dyDescent="0.2">
      <c r="A42" s="11" t="s">
        <v>12</v>
      </c>
      <c r="B42" s="12">
        <v>46020</v>
      </c>
      <c r="C42" s="11" t="s">
        <v>48</v>
      </c>
      <c r="D42" s="11" t="s">
        <v>47</v>
      </c>
      <c r="E42" s="10">
        <v>-15117814</v>
      </c>
    </row>
    <row r="43" spans="1:5" s="1" customFormat="1" x14ac:dyDescent="0.2">
      <c r="A43" s="11" t="s">
        <v>12</v>
      </c>
      <c r="B43" s="12">
        <v>46020</v>
      </c>
      <c r="C43" s="11" t="s">
        <v>46</v>
      </c>
      <c r="D43" s="11" t="s">
        <v>45</v>
      </c>
      <c r="E43" s="10">
        <v>-14094497</v>
      </c>
    </row>
    <row r="44" spans="1:5" s="1" customFormat="1" x14ac:dyDescent="0.2">
      <c r="A44" s="11" t="s">
        <v>12</v>
      </c>
      <c r="B44" s="12">
        <v>46020</v>
      </c>
      <c r="C44" s="11" t="s">
        <v>44</v>
      </c>
      <c r="D44" s="11" t="s">
        <v>43</v>
      </c>
      <c r="E44" s="10">
        <v>-15534950</v>
      </c>
    </row>
    <row r="45" spans="1:5" s="1" customFormat="1" x14ac:dyDescent="0.2">
      <c r="A45" s="11" t="s">
        <v>12</v>
      </c>
      <c r="B45" s="12">
        <v>46020</v>
      </c>
      <c r="C45" s="11" t="s">
        <v>42</v>
      </c>
      <c r="D45" s="11" t="s">
        <v>41</v>
      </c>
      <c r="E45" s="10">
        <v>-3984832</v>
      </c>
    </row>
    <row r="46" spans="1:5" s="1" customFormat="1" x14ac:dyDescent="0.2">
      <c r="A46" s="11" t="s">
        <v>12</v>
      </c>
      <c r="B46" s="12">
        <v>46020</v>
      </c>
      <c r="C46" s="11" t="s">
        <v>40</v>
      </c>
      <c r="D46" s="11" t="s">
        <v>39</v>
      </c>
      <c r="E46" s="10">
        <v>-5064512</v>
      </c>
    </row>
    <row r="47" spans="1:5" s="1" customFormat="1" x14ac:dyDescent="0.2">
      <c r="A47" s="11" t="s">
        <v>12</v>
      </c>
      <c r="B47" s="12">
        <v>46020</v>
      </c>
      <c r="C47" s="11" t="s">
        <v>38</v>
      </c>
      <c r="D47" s="11" t="s">
        <v>37</v>
      </c>
      <c r="E47" s="10">
        <v>-6516352</v>
      </c>
    </row>
    <row r="48" spans="1:5" s="1" customFormat="1" x14ac:dyDescent="0.2">
      <c r="A48" s="11" t="s">
        <v>12</v>
      </c>
      <c r="B48" s="12">
        <v>46020</v>
      </c>
      <c r="C48" s="11" t="s">
        <v>36</v>
      </c>
      <c r="D48" s="11" t="s">
        <v>35</v>
      </c>
      <c r="E48" s="10">
        <v>-4564352</v>
      </c>
    </row>
    <row r="49" spans="1:5" s="1" customFormat="1" x14ac:dyDescent="0.2">
      <c r="A49" s="11" t="s">
        <v>12</v>
      </c>
      <c r="B49" s="12">
        <v>46020</v>
      </c>
      <c r="C49" s="11" t="s">
        <v>34</v>
      </c>
      <c r="D49" s="11" t="s">
        <v>33</v>
      </c>
      <c r="E49" s="10">
        <v>-5039552</v>
      </c>
    </row>
    <row r="50" spans="1:5" s="1" customFormat="1" x14ac:dyDescent="0.2">
      <c r="A50" s="11" t="s">
        <v>12</v>
      </c>
      <c r="B50" s="12">
        <v>46020</v>
      </c>
      <c r="C50" s="11" t="s">
        <v>32</v>
      </c>
      <c r="D50" s="11" t="s">
        <v>31</v>
      </c>
      <c r="E50" s="10">
        <v>-4069952</v>
      </c>
    </row>
    <row r="51" spans="1:5" s="1" customFormat="1" x14ac:dyDescent="0.2">
      <c r="A51" s="11" t="s">
        <v>12</v>
      </c>
      <c r="B51" s="12">
        <v>46020</v>
      </c>
      <c r="C51" s="11" t="s">
        <v>30</v>
      </c>
      <c r="D51" s="11" t="s">
        <v>29</v>
      </c>
      <c r="E51" s="10">
        <v>-4564352</v>
      </c>
    </row>
    <row r="52" spans="1:5" s="1" customFormat="1" x14ac:dyDescent="0.2">
      <c r="A52" s="11" t="s">
        <v>12</v>
      </c>
      <c r="B52" s="12">
        <v>46020</v>
      </c>
      <c r="C52" s="11" t="s">
        <v>28</v>
      </c>
      <c r="D52" s="11" t="s">
        <v>27</v>
      </c>
      <c r="E52" s="10">
        <v>-4564352</v>
      </c>
    </row>
    <row r="53" spans="1:5" s="1" customFormat="1" x14ac:dyDescent="0.2">
      <c r="A53" s="11" t="s">
        <v>12</v>
      </c>
      <c r="B53" s="12">
        <v>46020</v>
      </c>
      <c r="C53" s="11" t="s">
        <v>26</v>
      </c>
      <c r="D53" s="11" t="s">
        <v>25</v>
      </c>
      <c r="E53" s="10">
        <v>-3604352</v>
      </c>
    </row>
    <row r="54" spans="1:5" s="1" customFormat="1" x14ac:dyDescent="0.2">
      <c r="A54" s="11" t="s">
        <v>12</v>
      </c>
      <c r="B54" s="12">
        <v>46020</v>
      </c>
      <c r="C54" s="11" t="s">
        <v>24</v>
      </c>
      <c r="D54" s="11" t="s">
        <v>23</v>
      </c>
      <c r="E54" s="10">
        <v>-4160000</v>
      </c>
    </row>
    <row r="55" spans="1:5" s="1" customFormat="1" x14ac:dyDescent="0.2">
      <c r="A55" s="11" t="s">
        <v>12</v>
      </c>
      <c r="B55" s="12">
        <v>46020</v>
      </c>
      <c r="C55" s="11" t="s">
        <v>22</v>
      </c>
      <c r="D55" s="11" t="s">
        <v>21</v>
      </c>
      <c r="E55" s="10">
        <v>-1600000</v>
      </c>
    </row>
    <row r="56" spans="1:5" s="1" customFormat="1" x14ac:dyDescent="0.2">
      <c r="A56" s="11" t="s">
        <v>12</v>
      </c>
      <c r="B56" s="12">
        <v>46020</v>
      </c>
      <c r="C56" s="11" t="s">
        <v>20</v>
      </c>
      <c r="D56" s="11" t="s">
        <v>19</v>
      </c>
      <c r="E56" s="10">
        <v>-3976000</v>
      </c>
    </row>
    <row r="57" spans="1:5" s="1" customFormat="1" x14ac:dyDescent="0.2">
      <c r="A57" s="11" t="s">
        <v>12</v>
      </c>
      <c r="B57" s="12">
        <v>46020</v>
      </c>
      <c r="C57" s="11" t="s">
        <v>18</v>
      </c>
      <c r="D57" s="11" t="s">
        <v>17</v>
      </c>
      <c r="E57" s="10">
        <v>-4160000</v>
      </c>
    </row>
    <row r="58" spans="1:5" s="1" customFormat="1" x14ac:dyDescent="0.2">
      <c r="A58" s="11" t="s">
        <v>12</v>
      </c>
      <c r="B58" s="12">
        <v>46020</v>
      </c>
      <c r="C58" s="11" t="s">
        <v>16</v>
      </c>
      <c r="D58" s="11" t="s">
        <v>15</v>
      </c>
      <c r="E58" s="10">
        <v>-4160000</v>
      </c>
    </row>
    <row r="59" spans="1:5" s="1" customFormat="1" x14ac:dyDescent="0.2">
      <c r="A59" s="11" t="s">
        <v>12</v>
      </c>
      <c r="B59" s="12">
        <v>46020</v>
      </c>
      <c r="C59" s="11" t="s">
        <v>14</v>
      </c>
      <c r="D59" s="11" t="s">
        <v>13</v>
      </c>
      <c r="E59" s="10">
        <v>-4160000</v>
      </c>
    </row>
    <row r="60" spans="1:5" s="1" customFormat="1" x14ac:dyDescent="0.2">
      <c r="A60" s="11" t="s">
        <v>12</v>
      </c>
      <c r="B60" s="12">
        <v>46020</v>
      </c>
      <c r="C60" s="11" t="s">
        <v>11</v>
      </c>
      <c r="D60" s="11" t="s">
        <v>10</v>
      </c>
      <c r="E60" s="10">
        <v>-5389074</v>
      </c>
    </row>
    <row r="61" spans="1:5" s="1" customFormat="1" x14ac:dyDescent="0.2">
      <c r="A61" s="6" t="s">
        <v>9</v>
      </c>
      <c r="B61" s="5"/>
      <c r="C61" s="4"/>
      <c r="D61" s="4"/>
      <c r="E61" s="3"/>
    </row>
    <row r="62" spans="1:5" s="1" customFormat="1" x14ac:dyDescent="0.2">
      <c r="A62" s="8" t="s">
        <v>4</v>
      </c>
      <c r="B62" s="9">
        <v>45999</v>
      </c>
      <c r="C62" s="8" t="s">
        <v>8</v>
      </c>
      <c r="D62" s="8" t="s">
        <v>7</v>
      </c>
      <c r="E62" s="7">
        <v>-5703791</v>
      </c>
    </row>
    <row r="63" spans="1:5" s="1" customFormat="1" x14ac:dyDescent="0.2">
      <c r="A63" s="8" t="s">
        <v>4</v>
      </c>
      <c r="B63" s="9">
        <v>45999</v>
      </c>
      <c r="C63" s="8" t="s">
        <v>6</v>
      </c>
      <c r="D63" s="8" t="s">
        <v>5</v>
      </c>
      <c r="E63" s="7">
        <v>-960540</v>
      </c>
    </row>
    <row r="64" spans="1:5" s="1" customFormat="1" x14ac:dyDescent="0.2">
      <c r="A64" s="8" t="s">
        <v>4</v>
      </c>
      <c r="B64" s="9" t="s">
        <v>3</v>
      </c>
      <c r="C64" s="8" t="s">
        <v>2</v>
      </c>
      <c r="D64" s="8" t="s">
        <v>1</v>
      </c>
      <c r="E64" s="7">
        <v>-6000000</v>
      </c>
    </row>
    <row r="65" spans="1:5" s="1" customFormat="1" x14ac:dyDescent="0.2">
      <c r="A65" s="6" t="s">
        <v>0</v>
      </c>
      <c r="B65" s="5"/>
      <c r="C65" s="4"/>
      <c r="D65" s="4"/>
      <c r="E65" s="3"/>
    </row>
    <row r="73" spans="1:5" s="1" customFormat="1" x14ac:dyDescent="0.2">
      <c r="D73" s="2"/>
      <c r="E73" s="2"/>
    </row>
    <row r="74" spans="1:5" s="1" customFormat="1" x14ac:dyDescent="0.2">
      <c r="D74" s="2"/>
      <c r="E74" s="2"/>
    </row>
    <row r="75" spans="1:5" s="1" customFormat="1" x14ac:dyDescent="0.2">
      <c r="D75" s="2"/>
      <c r="E75" s="2"/>
    </row>
    <row r="76" spans="1:5" s="1" customFormat="1" x14ac:dyDescent="0.2">
      <c r="D76" s="2"/>
      <c r="E76" s="2"/>
    </row>
    <row r="77" spans="1:5" s="1" customFormat="1" x14ac:dyDescent="0.2">
      <c r="D77" s="2"/>
      <c r="E77" s="2"/>
    </row>
    <row r="78" spans="1:5" s="1" customFormat="1" x14ac:dyDescent="0.2">
      <c r="D78" s="2"/>
      <c r="E78" s="2"/>
    </row>
    <row r="79" spans="1:5" s="1" customFormat="1" x14ac:dyDescent="0.2">
      <c r="D79" s="2"/>
      <c r="E79" s="2"/>
    </row>
    <row r="80" spans="1:5" s="1" customFormat="1" x14ac:dyDescent="0.2">
      <c r="D80" s="2"/>
      <c r="E80" s="2"/>
    </row>
    <row r="81" spans="4:5" s="1" customFormat="1" x14ac:dyDescent="0.2">
      <c r="D81" s="2"/>
      <c r="E81" s="2"/>
    </row>
    <row r="82" spans="4:5" s="1" customFormat="1" x14ac:dyDescent="0.2">
      <c r="D82" s="2"/>
      <c r="E82" s="2"/>
    </row>
    <row r="83" spans="4:5" s="1" customFormat="1" x14ac:dyDescent="0.2">
      <c r="D83" s="2"/>
      <c r="E83" s="2"/>
    </row>
    <row r="84" spans="4:5" s="1" customFormat="1" x14ac:dyDescent="0.2">
      <c r="D84" s="2"/>
      <c r="E84" s="2"/>
    </row>
  </sheetData>
  <autoFilter ref="A1:E65" xr:uid="{CFE03B3B-C62C-4129-BB4A-082CF9BDF896}"/>
  <pageMargins left="0.19" right="0.28000000000000003" top="0.39" bottom="0.47" header="0.19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PIT+SI payment</vt:lpstr>
      <vt:lpstr>'PIT+SI payment'!Print_Area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2026-01-28T18:03:48Z</dcterms:created>
  <dcterms:modified xsi:type="dcterms:W3CDTF">2026-01-28T18:04:07Z</dcterms:modified>
</cp:coreProperties>
</file>